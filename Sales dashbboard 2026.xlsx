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e21d9fc73411c3de/Desktop/"/>
    </mc:Choice>
  </mc:AlternateContent>
  <xr:revisionPtr revIDLastSave="4048" documentId="8_{8C763BB8-4AFE-4FD9-AD65-06449B268D2F}" xr6:coauthVersionLast="47" xr6:coauthVersionMax="47" xr10:uidLastSave="{E0999F1A-901A-4412-8B51-2EF6AB98FFBF}"/>
  <bookViews>
    <workbookView xWindow="-108" yWindow="-108" windowWidth="23256" windowHeight="12456" xr2:uid="{D4A1F39B-E5AD-42E7-B2B5-26B360323C96}"/>
  </bookViews>
  <sheets>
    <sheet name="  Sales Dashboard 2026" sheetId="4" r:id="rId1"/>
    <sheet name="Kpi's" sheetId="3" r:id="rId2"/>
    <sheet name="Dashboard data " sheetId="1" r:id="rId3"/>
    <sheet name="Data check" sheetId="2" r:id="rId4"/>
  </sheets>
  <definedNames>
    <definedName name="_xlchart.v1.4" hidden="1">'Kpi''s'!$E$19:$E$28</definedName>
    <definedName name="_xlchart.v1.5" hidden="1">'Kpi''s'!$F$18</definedName>
    <definedName name="_xlchart.v1.6" hidden="1">'Kpi''s'!$F$19:$F$28</definedName>
    <definedName name="_xlchart.v1.7" hidden="1">'Kpi''s'!$E$19:$E$28</definedName>
    <definedName name="_xlchart.v1.8" hidden="1">'Kpi''s'!$F$18</definedName>
    <definedName name="_xlchart.v1.9" hidden="1">'Kpi''s'!$F$19:$F$28</definedName>
    <definedName name="_xlchart.v5.0" hidden="1">'Kpi''s'!$U$13</definedName>
    <definedName name="_xlchart.v5.1" hidden="1">'Kpi''s'!$U$14:$U$19</definedName>
    <definedName name="_xlchart.v5.10" hidden="1">'Kpi''s'!$U$13</definedName>
    <definedName name="_xlchart.v5.11" hidden="1">'Kpi''s'!$U$14:$U$19</definedName>
    <definedName name="_xlchart.v5.12" hidden="1">'Kpi''s'!$V$13</definedName>
    <definedName name="_xlchart.v5.13" hidden="1">'Kpi''s'!$V$14:$V$19</definedName>
    <definedName name="_xlchart.v5.2" hidden="1">'Kpi''s'!$V$13</definedName>
    <definedName name="_xlchart.v5.3" hidden="1">'Kpi''s'!$V$14:$V$19</definedName>
    <definedName name="NativeTimeline_OrderDate">#N/A</definedName>
    <definedName name="Slicer_Category">#N/A</definedName>
    <definedName name="Slicer_Gender">#N/A</definedName>
    <definedName name="Slicer_OrderChannel">#N/A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 i="3" l="1"/>
  <c r="AF2" i="3"/>
  <c r="AC2" i="3"/>
  <c r="U15" i="3"/>
  <c r="U16" i="3"/>
  <c r="U17" i="3"/>
  <c r="U18" i="3"/>
  <c r="U19" i="3"/>
  <c r="U14" i="3"/>
  <c r="V15" i="3"/>
  <c r="V16" i="3"/>
  <c r="V17" i="3"/>
  <c r="V18" i="3"/>
  <c r="V19" i="3"/>
  <c r="V14" i="3"/>
  <c r="E20" i="3"/>
  <c r="E21" i="3"/>
  <c r="E22" i="3"/>
  <c r="E23" i="3"/>
  <c r="E24" i="3"/>
  <c r="E25" i="3"/>
  <c r="E26" i="3"/>
  <c r="E27" i="3"/>
  <c r="E28" i="3"/>
  <c r="E19" i="3"/>
  <c r="F20" i="3"/>
  <c r="F21" i="3"/>
  <c r="F22" i="3"/>
  <c r="F23" i="3"/>
  <c r="F24" i="3"/>
  <c r="F25" i="3"/>
  <c r="F26" i="3"/>
  <c r="F27" i="3"/>
  <c r="F28" i="3"/>
  <c r="F19" i="3"/>
</calcChain>
</file>

<file path=xl/sharedStrings.xml><?xml version="1.0" encoding="utf-8"?>
<sst xmlns="http://schemas.openxmlformats.org/spreadsheetml/2006/main" count="15125" uniqueCount="1712">
  <si>
    <t>OrderID</t>
  </si>
  <si>
    <t>OrderDate</t>
  </si>
  <si>
    <t>CustomerID</t>
  </si>
  <si>
    <t>CustomerName</t>
  </si>
  <si>
    <t>Gender</t>
  </si>
  <si>
    <t>Age</t>
  </si>
  <si>
    <t>Product</t>
  </si>
  <si>
    <t>Category</t>
  </si>
  <si>
    <t>SubCategory</t>
  </si>
  <si>
    <t>Brand</t>
  </si>
  <si>
    <t>Quantity</t>
  </si>
  <si>
    <t>UnitPrice</t>
  </si>
  <si>
    <t>Discount</t>
  </si>
  <si>
    <t>DiscountAmount</t>
  </si>
  <si>
    <t>Tax</t>
  </si>
  <si>
    <t>ShippingCost</t>
  </si>
  <si>
    <t>TotalAmount</t>
  </si>
  <si>
    <t>PaymentMethod</t>
  </si>
  <si>
    <t>OrderChannel</t>
  </si>
  <si>
    <t>City</t>
  </si>
  <si>
    <t>State</t>
  </si>
  <si>
    <t>Region</t>
  </si>
  <si>
    <t>DeliveryDays</t>
  </si>
  <si>
    <t>ReturnStatus</t>
  </si>
  <si>
    <t>Rating</t>
  </si>
  <si>
    <t>Status</t>
  </si>
  <si>
    <t>ORD00001</t>
  </si>
  <si>
    <t>CUST883</t>
  </si>
  <si>
    <t>Rahul</t>
  </si>
  <si>
    <t>Female</t>
  </si>
  <si>
    <t>Headphones</t>
  </si>
  <si>
    <t>Electronics</t>
  </si>
  <si>
    <t>Sony</t>
  </si>
  <si>
    <t>Net Banking</t>
  </si>
  <si>
    <t>Website</t>
  </si>
  <si>
    <t>Mumbai</t>
  </si>
  <si>
    <t>Maharashtra</t>
  </si>
  <si>
    <t>West</t>
  </si>
  <si>
    <t>No Return</t>
  </si>
  <si>
    <t>Delivered</t>
  </si>
  <si>
    <t>ORD00002</t>
  </si>
  <si>
    <t>CUST657</t>
  </si>
  <si>
    <t>Neha</t>
  </si>
  <si>
    <t>Male</t>
  </si>
  <si>
    <t>Keyboard</t>
  </si>
  <si>
    <t>Cash on Delivery</t>
  </si>
  <si>
    <t>Pune</t>
  </si>
  <si>
    <t>Returned</t>
  </si>
  <si>
    <t>ORD00003</t>
  </si>
  <si>
    <t>CUST546</t>
  </si>
  <si>
    <t>Arjun</t>
  </si>
  <si>
    <t>Shoes</t>
  </si>
  <si>
    <t>Fashion</t>
  </si>
  <si>
    <t>Boat</t>
  </si>
  <si>
    <t>UPI</t>
  </si>
  <si>
    <t>Chandigarh</t>
  </si>
  <si>
    <t>Punjab</t>
  </si>
  <si>
    <t>North</t>
  </si>
  <si>
    <t>Cancelled</t>
  </si>
  <si>
    <t>ORD00004</t>
  </si>
  <si>
    <t>CUST355</t>
  </si>
  <si>
    <t>Priya</t>
  </si>
  <si>
    <t>Dell</t>
  </si>
  <si>
    <t>Mobile App</t>
  </si>
  <si>
    <t>ORD00005</t>
  </si>
  <si>
    <t>CUST595</t>
  </si>
  <si>
    <t>Vikas</t>
  </si>
  <si>
    <t>Backpack</t>
  </si>
  <si>
    <t>Accessories</t>
  </si>
  <si>
    <t>HP</t>
  </si>
  <si>
    <t>Patiala</t>
  </si>
  <si>
    <t>ORD00006</t>
  </si>
  <si>
    <t>CUST587</t>
  </si>
  <si>
    <t>Sneha</t>
  </si>
  <si>
    <t>Laptop</t>
  </si>
  <si>
    <t>Lenovo</t>
  </si>
  <si>
    <t>Jaipur</t>
  </si>
  <si>
    <t>Rajasthan</t>
  </si>
  <si>
    <t>ORD00007</t>
  </si>
  <si>
    <t>CUST842</t>
  </si>
  <si>
    <t>Amit</t>
  </si>
  <si>
    <t>ORD00008</t>
  </si>
  <si>
    <t>CUST666</t>
  </si>
  <si>
    <t>Card</t>
  </si>
  <si>
    <t>Bangalore</t>
  </si>
  <si>
    <t>Karnataka</t>
  </si>
  <si>
    <t>South</t>
  </si>
  <si>
    <t>ORD00009</t>
  </si>
  <si>
    <t>CUST794</t>
  </si>
  <si>
    <t>Karan</t>
  </si>
  <si>
    <t>Camera</t>
  </si>
  <si>
    <t>Shipped</t>
  </si>
  <si>
    <t>ORD00010</t>
  </si>
  <si>
    <t>CUST126</t>
  </si>
  <si>
    <t>Phone</t>
  </si>
  <si>
    <t>Lucknow</t>
  </si>
  <si>
    <t>Uttar Pradesh</t>
  </si>
  <si>
    <t>ORD00011</t>
  </si>
  <si>
    <t>CUST244</t>
  </si>
  <si>
    <t>Watch</t>
  </si>
  <si>
    <t>ORD00012</t>
  </si>
  <si>
    <t>CUST221</t>
  </si>
  <si>
    <t>Samsung</t>
  </si>
  <si>
    <t>Delhi</t>
  </si>
  <si>
    <t>ORD00013</t>
  </si>
  <si>
    <t>CUST100</t>
  </si>
  <si>
    <t>ORD00014</t>
  </si>
  <si>
    <t>CUST256</t>
  </si>
  <si>
    <t>Anjali</t>
  </si>
  <si>
    <t>ORD00015</t>
  </si>
  <si>
    <t>CUST217</t>
  </si>
  <si>
    <t>Riya</t>
  </si>
  <si>
    <t>Nike</t>
  </si>
  <si>
    <t>ORD00016</t>
  </si>
  <si>
    <t>CUST814</t>
  </si>
  <si>
    <t>ORD00017</t>
  </si>
  <si>
    <t>CUST829</t>
  </si>
  <si>
    <t>ORD00018</t>
  </si>
  <si>
    <t>CUST196</t>
  </si>
  <si>
    <t>ORD00019</t>
  </si>
  <si>
    <t>CUST776</t>
  </si>
  <si>
    <t>ORD00020</t>
  </si>
  <si>
    <t>CUST822</t>
  </si>
  <si>
    <t>ORD00021</t>
  </si>
  <si>
    <t>CUST383</t>
  </si>
  <si>
    <t>Apple</t>
  </si>
  <si>
    <t>ORD00022</t>
  </si>
  <si>
    <t>CUST330</t>
  </si>
  <si>
    <t>ORD00023</t>
  </si>
  <si>
    <t>CUST478</t>
  </si>
  <si>
    <t>ORD00024</t>
  </si>
  <si>
    <t>CUST158</t>
  </si>
  <si>
    <t>ORD00025</t>
  </si>
  <si>
    <t>CUST442</t>
  </si>
  <si>
    <t>Tablet</t>
  </si>
  <si>
    <t>ORD00026</t>
  </si>
  <si>
    <t>CUST924</t>
  </si>
  <si>
    <t>ORD00027</t>
  </si>
  <si>
    <t>CUST380</t>
  </si>
  <si>
    <t>Mouse</t>
  </si>
  <si>
    <t>ORD00028</t>
  </si>
  <si>
    <t>CUST512</t>
  </si>
  <si>
    <t>ORD00029</t>
  </si>
  <si>
    <t>CUST349</t>
  </si>
  <si>
    <t>ORD00030</t>
  </si>
  <si>
    <t>CUST583</t>
  </si>
  <si>
    <t>ORD00031</t>
  </si>
  <si>
    <t>CUST279</t>
  </si>
  <si>
    <t>ORD00032</t>
  </si>
  <si>
    <t>CUST354</t>
  </si>
  <si>
    <t>Noise</t>
  </si>
  <si>
    <t>ORD00033</t>
  </si>
  <si>
    <t>CUST837</t>
  </si>
  <si>
    <t>ORD00034</t>
  </si>
  <si>
    <t>CUST450</t>
  </si>
  <si>
    <t>ORD00035</t>
  </si>
  <si>
    <t>CUST697</t>
  </si>
  <si>
    <t>ORD00036</t>
  </si>
  <si>
    <t>CUST292</t>
  </si>
  <si>
    <t>ORD00037</t>
  </si>
  <si>
    <t>CUST537</t>
  </si>
  <si>
    <t>ORD00038</t>
  </si>
  <si>
    <t>CUST800</t>
  </si>
  <si>
    <t>ORD00039</t>
  </si>
  <si>
    <t>CUST563</t>
  </si>
  <si>
    <t>ORD00040</t>
  </si>
  <si>
    <t>CUST723</t>
  </si>
  <si>
    <t>ORD00041</t>
  </si>
  <si>
    <t>CUST427</t>
  </si>
  <si>
    <t>ORD00042</t>
  </si>
  <si>
    <t>CUST496</t>
  </si>
  <si>
    <t>ORD00043</t>
  </si>
  <si>
    <t>CUST930</t>
  </si>
  <si>
    <t>ORD00044</t>
  </si>
  <si>
    <t>CUST320</t>
  </si>
  <si>
    <t>ORD00045</t>
  </si>
  <si>
    <t>CUST558</t>
  </si>
  <si>
    <t>ORD00046</t>
  </si>
  <si>
    <t>CUST991</t>
  </si>
  <si>
    <t>ORD00047</t>
  </si>
  <si>
    <t>CUST863</t>
  </si>
  <si>
    <t>ORD00048</t>
  </si>
  <si>
    <t>CUST846</t>
  </si>
  <si>
    <t>ORD00049</t>
  </si>
  <si>
    <t>CUST434</t>
  </si>
  <si>
    <t>ORD00050</t>
  </si>
  <si>
    <t>ORD00051</t>
  </si>
  <si>
    <t>CUST678</t>
  </si>
  <si>
    <t>ORD00052</t>
  </si>
  <si>
    <t>CUST809</t>
  </si>
  <si>
    <t>ORD00053</t>
  </si>
  <si>
    <t>CUST615</t>
  </si>
  <si>
    <t>ORD00054</t>
  </si>
  <si>
    <t>CUST986</t>
  </si>
  <si>
    <t>ORD00055</t>
  </si>
  <si>
    <t>CUST622</t>
  </si>
  <si>
    <t>ORD00056</t>
  </si>
  <si>
    <t>ORD00057</t>
  </si>
  <si>
    <t>CUST665</t>
  </si>
  <si>
    <t>ORD00058</t>
  </si>
  <si>
    <t>CUST777</t>
  </si>
  <si>
    <t>Adidas</t>
  </si>
  <si>
    <t>ORD00059</t>
  </si>
  <si>
    <t>CUST228</t>
  </si>
  <si>
    <t>ORD00060</t>
  </si>
  <si>
    <t>CUST993</t>
  </si>
  <si>
    <t>ORD00061</t>
  </si>
  <si>
    <t>CUST778</t>
  </si>
  <si>
    <t>ORD00062</t>
  </si>
  <si>
    <t>CUST287</t>
  </si>
  <si>
    <t>ORD00063</t>
  </si>
  <si>
    <t>CUST955</t>
  </si>
  <si>
    <t>ORD00064</t>
  </si>
  <si>
    <t>CUST551</t>
  </si>
  <si>
    <t>ORD00065</t>
  </si>
  <si>
    <t>CUST193</t>
  </si>
  <si>
    <t>ORD00066</t>
  </si>
  <si>
    <t>CUST783</t>
  </si>
  <si>
    <t>ORD00067</t>
  </si>
  <si>
    <t>CUST284</t>
  </si>
  <si>
    <t>ORD00068</t>
  </si>
  <si>
    <t>CUST714</t>
  </si>
  <si>
    <t>ORD00069</t>
  </si>
  <si>
    <t>CUST307</t>
  </si>
  <si>
    <t>ORD00070</t>
  </si>
  <si>
    <t>CUST979</t>
  </si>
  <si>
    <t>ORD00071</t>
  </si>
  <si>
    <t>CUST660</t>
  </si>
  <si>
    <t>ORD00072</t>
  </si>
  <si>
    <t>CUST948</t>
  </si>
  <si>
    <t>ORD00073</t>
  </si>
  <si>
    <t>CUST325</t>
  </si>
  <si>
    <t>ORD00074</t>
  </si>
  <si>
    <t>CUST456</t>
  </si>
  <si>
    <t>ORD00075</t>
  </si>
  <si>
    <t>CUST838</t>
  </si>
  <si>
    <t>ORD00076</t>
  </si>
  <si>
    <t>CUST806</t>
  </si>
  <si>
    <t>ORD00077</t>
  </si>
  <si>
    <t>CUST580</t>
  </si>
  <si>
    <t>ORD00078</t>
  </si>
  <si>
    <t>CUST731</t>
  </si>
  <si>
    <t>ORD00079</t>
  </si>
  <si>
    <t>CUST687</t>
  </si>
  <si>
    <t>ORD00080</t>
  </si>
  <si>
    <t>CUST231</t>
  </si>
  <si>
    <t>ORD00081</t>
  </si>
  <si>
    <t>CUST890</t>
  </si>
  <si>
    <t>ORD00082</t>
  </si>
  <si>
    <t>CUST861</t>
  </si>
  <si>
    <t>ORD00083</t>
  </si>
  <si>
    <t>CUST490</t>
  </si>
  <si>
    <t>ORD00084</t>
  </si>
  <si>
    <t>CUST335</t>
  </si>
  <si>
    <t>ORD00085</t>
  </si>
  <si>
    <t>CUST122</t>
  </si>
  <si>
    <t>ORD00086</t>
  </si>
  <si>
    <t>CUST596</t>
  </si>
  <si>
    <t>ORD00087</t>
  </si>
  <si>
    <t>CUST253</t>
  </si>
  <si>
    <t>ORD00088</t>
  </si>
  <si>
    <t>ORD00089</t>
  </si>
  <si>
    <t>CUST261</t>
  </si>
  <si>
    <t>ORD00090</t>
  </si>
  <si>
    <t>CUST992</t>
  </si>
  <si>
    <t>ORD00091</t>
  </si>
  <si>
    <t>CUST689</t>
  </si>
  <si>
    <t>ORD00092</t>
  </si>
  <si>
    <t>CUST468</t>
  </si>
  <si>
    <t>ORD00093</t>
  </si>
  <si>
    <t>CUST532</t>
  </si>
  <si>
    <t>ORD00094</t>
  </si>
  <si>
    <t>ORD00095</t>
  </si>
  <si>
    <t>CUST264</t>
  </si>
  <si>
    <t>ORD00096</t>
  </si>
  <si>
    <t>CUST664</t>
  </si>
  <si>
    <t>ORD00097</t>
  </si>
  <si>
    <t>CUST168</t>
  </si>
  <si>
    <t>ORD00098</t>
  </si>
  <si>
    <t>CUST631</t>
  </si>
  <si>
    <t>ORD00099</t>
  </si>
  <si>
    <t>CUST643</t>
  </si>
  <si>
    <t>ORD00100</t>
  </si>
  <si>
    <t>CUST540</t>
  </si>
  <si>
    <t>ORD00101</t>
  </si>
  <si>
    <t>CUST796</t>
  </si>
  <si>
    <t>ORD00102</t>
  </si>
  <si>
    <t>CUST371</t>
  </si>
  <si>
    <t>ORD00103</t>
  </si>
  <si>
    <t>CUST769</t>
  </si>
  <si>
    <t>ORD00104</t>
  </si>
  <si>
    <t>CUST785</t>
  </si>
  <si>
    <t>ORD00105</t>
  </si>
  <si>
    <t>CUST968</t>
  </si>
  <si>
    <t>ORD00106</t>
  </si>
  <si>
    <t>CUST430</t>
  </si>
  <si>
    <t>ORD00107</t>
  </si>
  <si>
    <t>CUST756</t>
  </si>
  <si>
    <t>ORD00108</t>
  </si>
  <si>
    <t>CUST755</t>
  </si>
  <si>
    <t>ORD00109</t>
  </si>
  <si>
    <t>CUST588</t>
  </si>
  <si>
    <t>ORD00110</t>
  </si>
  <si>
    <t>CUST680</t>
  </si>
  <si>
    <t>ORD00111</t>
  </si>
  <si>
    <t>CUST923</t>
  </si>
  <si>
    <t>ORD00112</t>
  </si>
  <si>
    <t>CUST454</t>
  </si>
  <si>
    <t>ORD00113</t>
  </si>
  <si>
    <t>ORD00114</t>
  </si>
  <si>
    <t>CUST299</t>
  </si>
  <si>
    <t>ORD00115</t>
  </si>
  <si>
    <t>CUST447</t>
  </si>
  <si>
    <t>ORD00116</t>
  </si>
  <si>
    <t>CUST732</t>
  </si>
  <si>
    <t>ORD00117</t>
  </si>
  <si>
    <t>CUST185</t>
  </si>
  <si>
    <t>ORD00118</t>
  </si>
  <si>
    <t>CUST728</t>
  </si>
  <si>
    <t>ORD00119</t>
  </si>
  <si>
    <t>ORD00120</t>
  </si>
  <si>
    <t>CUST201</t>
  </si>
  <si>
    <t>ORD00121</t>
  </si>
  <si>
    <t>CUST978</t>
  </si>
  <si>
    <t>ORD00122</t>
  </si>
  <si>
    <t>CUST939</t>
  </si>
  <si>
    <t>ORD00123</t>
  </si>
  <si>
    <t>CUST385</t>
  </si>
  <si>
    <t>ORD00124</t>
  </si>
  <si>
    <t>ORD00125</t>
  </si>
  <si>
    <t>CUST323</t>
  </si>
  <si>
    <t>ORD00126</t>
  </si>
  <si>
    <t>CUST813</t>
  </si>
  <si>
    <t>ORD00127</t>
  </si>
  <si>
    <t>CUST709</t>
  </si>
  <si>
    <t>ORD00128</t>
  </si>
  <si>
    <t>CUST865</t>
  </si>
  <si>
    <t>ORD00129</t>
  </si>
  <si>
    <t>CUST339</t>
  </si>
  <si>
    <t>ORD00130</t>
  </si>
  <si>
    <t>CUST389</t>
  </si>
  <si>
    <t>ORD00131</t>
  </si>
  <si>
    <t>CUST455</t>
  </si>
  <si>
    <t>ORD00132</t>
  </si>
  <si>
    <t>CUST831</t>
  </si>
  <si>
    <t>ORD00133</t>
  </si>
  <si>
    <t>CUST726</t>
  </si>
  <si>
    <t>ORD00134</t>
  </si>
  <si>
    <t>ORD00135</t>
  </si>
  <si>
    <t>CUST262</t>
  </si>
  <si>
    <t>ORD00136</t>
  </si>
  <si>
    <t>CUST905</t>
  </si>
  <si>
    <t>ORD00137</t>
  </si>
  <si>
    <t>CUST630</t>
  </si>
  <si>
    <t>ORD00138</t>
  </si>
  <si>
    <t>CUST336</t>
  </si>
  <si>
    <t>ORD00139</t>
  </si>
  <si>
    <t>ORD00140</t>
  </si>
  <si>
    <t>ORD00141</t>
  </si>
  <si>
    <t>CUST688</t>
  </si>
  <si>
    <t>ORD00142</t>
  </si>
  <si>
    <t>ORD00143</t>
  </si>
  <si>
    <t>ORD00144</t>
  </si>
  <si>
    <t>CUST345</t>
  </si>
  <si>
    <t>ORD00145</t>
  </si>
  <si>
    <t>CUST280</t>
  </si>
  <si>
    <t>ORD00146</t>
  </si>
  <si>
    <t>CUST463</t>
  </si>
  <si>
    <t>ORD00147</t>
  </si>
  <si>
    <t>CUST400</t>
  </si>
  <si>
    <t>ORD00148</t>
  </si>
  <si>
    <t>CUST204</t>
  </si>
  <si>
    <t>ORD00149</t>
  </si>
  <si>
    <t>CUST237</t>
  </si>
  <si>
    <t>ORD00150</t>
  </si>
  <si>
    <t>CUST635</t>
  </si>
  <si>
    <t>ORD00151</t>
  </si>
  <si>
    <t>CUST742</t>
  </si>
  <si>
    <t>ORD00152</t>
  </si>
  <si>
    <t>CUST493</t>
  </si>
  <si>
    <t>ORD00153</t>
  </si>
  <si>
    <t>ORD00154</t>
  </si>
  <si>
    <t>CUST437</t>
  </si>
  <si>
    <t>ORD00155</t>
  </si>
  <si>
    <t>CUST774</t>
  </si>
  <si>
    <t>ORD00156</t>
  </si>
  <si>
    <t>CUST652</t>
  </si>
  <si>
    <t>ORD00157</t>
  </si>
  <si>
    <t>CUST395</t>
  </si>
  <si>
    <t>ORD00158</t>
  </si>
  <si>
    <t>CUST116</t>
  </si>
  <si>
    <t>ORD00159</t>
  </si>
  <si>
    <t>CUST707</t>
  </si>
  <si>
    <t>ORD00160</t>
  </si>
  <si>
    <t>ORD00161</t>
  </si>
  <si>
    <t>CUST275</t>
  </si>
  <si>
    <t>ORD00162</t>
  </si>
  <si>
    <t>CUST133</t>
  </si>
  <si>
    <t>ORD00163</t>
  </si>
  <si>
    <t>ORD00164</t>
  </si>
  <si>
    <t>ORD00165</t>
  </si>
  <si>
    <t>CUST169</t>
  </si>
  <si>
    <t>ORD00166</t>
  </si>
  <si>
    <t>ORD00167</t>
  </si>
  <si>
    <t>CUST715</t>
  </si>
  <si>
    <t>ORD00168</t>
  </si>
  <si>
    <t>CUST634</t>
  </si>
  <si>
    <t>ORD00169</t>
  </si>
  <si>
    <t>CUST198</t>
  </si>
  <si>
    <t>ORD00170</t>
  </si>
  <si>
    <t>CUST119</t>
  </si>
  <si>
    <t>ORD00171</t>
  </si>
  <si>
    <t>CUST117</t>
  </si>
  <si>
    <t>ORD00172</t>
  </si>
  <si>
    <t>CUST260</t>
  </si>
  <si>
    <t>ORD00173</t>
  </si>
  <si>
    <t>ORD00174</t>
  </si>
  <si>
    <t>CUST343</t>
  </si>
  <si>
    <t>ORD00175</t>
  </si>
  <si>
    <t>CUST273</t>
  </si>
  <si>
    <t>ORD00176</t>
  </si>
  <si>
    <t>CUST899</t>
  </si>
  <si>
    <t>ORD00177</t>
  </si>
  <si>
    <t>CUST737</t>
  </si>
  <si>
    <t>ORD00178</t>
  </si>
  <si>
    <t>CUST387</t>
  </si>
  <si>
    <t>ORD00179</t>
  </si>
  <si>
    <t>CUST825</t>
  </si>
  <si>
    <t>ORD00180</t>
  </si>
  <si>
    <t>ORD00181</t>
  </si>
  <si>
    <t>ORD00182</t>
  </si>
  <si>
    <t>CUST374</t>
  </si>
  <si>
    <t>ORD00183</t>
  </si>
  <si>
    <t>CUST172</t>
  </si>
  <si>
    <t>ORD00184</t>
  </si>
  <si>
    <t>CUST922</t>
  </si>
  <si>
    <t>ORD00185</t>
  </si>
  <si>
    <t>ORD00186</t>
  </si>
  <si>
    <t>CUST130</t>
  </si>
  <si>
    <t>ORD00187</t>
  </si>
  <si>
    <t>ORD00188</t>
  </si>
  <si>
    <t>CUST542</t>
  </si>
  <si>
    <t>ORD00189</t>
  </si>
  <si>
    <t>CUST301</t>
  </si>
  <si>
    <t>ORD00190</t>
  </si>
  <si>
    <t>CUST210</t>
  </si>
  <si>
    <t>ORD00191</t>
  </si>
  <si>
    <t>CUST908</t>
  </si>
  <si>
    <t>ORD00192</t>
  </si>
  <si>
    <t>CUST584</t>
  </si>
  <si>
    <t>ORD00193</t>
  </si>
  <si>
    <t>CUST912</t>
  </si>
  <si>
    <t>ORD00194</t>
  </si>
  <si>
    <t>CUST248</t>
  </si>
  <si>
    <t>ORD00195</t>
  </si>
  <si>
    <t>CUST509</t>
  </si>
  <si>
    <t>ORD00196</t>
  </si>
  <si>
    <t>CUST642</t>
  </si>
  <si>
    <t>ORD00197</t>
  </si>
  <si>
    <t>CUST315</t>
  </si>
  <si>
    <t>ORD00198</t>
  </si>
  <si>
    <t>CUST105</t>
  </si>
  <si>
    <t>ORD00199</t>
  </si>
  <si>
    <t>ORD00200</t>
  </si>
  <si>
    <t>CUST651</t>
  </si>
  <si>
    <t>ORD00201</t>
  </si>
  <si>
    <t>ORD00202</t>
  </si>
  <si>
    <t>CUST499</t>
  </si>
  <si>
    <t>ORD00203</t>
  </si>
  <si>
    <t>CUST550</t>
  </si>
  <si>
    <t>ORD00204</t>
  </si>
  <si>
    <t>CUST480</t>
  </si>
  <si>
    <t>ORD00205</t>
  </si>
  <si>
    <t>CUST402</t>
  </si>
  <si>
    <t>ORD00206</t>
  </si>
  <si>
    <t>CUST684</t>
  </si>
  <si>
    <t>ORD00207</t>
  </si>
  <si>
    <t>CUST510</t>
  </si>
  <si>
    <t>ORD00208</t>
  </si>
  <si>
    <t>CUST801</t>
  </si>
  <si>
    <t>ORD00209</t>
  </si>
  <si>
    <t>CUST132</t>
  </si>
  <si>
    <t>ORD00210</t>
  </si>
  <si>
    <t>ORD00211</t>
  </si>
  <si>
    <t>CUST485</t>
  </si>
  <si>
    <t>ORD00212</t>
  </si>
  <si>
    <t>CUST845</t>
  </si>
  <si>
    <t>ORD00213</t>
  </si>
  <si>
    <t>CUST164</t>
  </si>
  <si>
    <t>ORD00214</t>
  </si>
  <si>
    <t>ORD00215</t>
  </si>
  <si>
    <t>CUST155</t>
  </si>
  <si>
    <t>ORD00216</t>
  </si>
  <si>
    <t>CUST786</t>
  </si>
  <si>
    <t>ORD00217</t>
  </si>
  <si>
    <t>CUST870</t>
  </si>
  <si>
    <t>ORD00218</t>
  </si>
  <si>
    <t>CUST984</t>
  </si>
  <si>
    <t>ORD00219</t>
  </si>
  <si>
    <t>CUST500</t>
  </si>
  <si>
    <t>ORD00220</t>
  </si>
  <si>
    <t>CUST188</t>
  </si>
  <si>
    <t>ORD00221</t>
  </si>
  <si>
    <t>CUST969</t>
  </si>
  <si>
    <t>ORD00222</t>
  </si>
  <si>
    <t>CUST348</t>
  </si>
  <si>
    <t>ORD00223</t>
  </si>
  <si>
    <t>CUST897</t>
  </si>
  <si>
    <t>ORD00224</t>
  </si>
  <si>
    <t>CUST382</t>
  </si>
  <si>
    <t>ORD00225</t>
  </si>
  <si>
    <t>CUST507</t>
  </si>
  <si>
    <t>ORD00226</t>
  </si>
  <si>
    <t>CUST531</t>
  </si>
  <si>
    <t>ORD00227</t>
  </si>
  <si>
    <t>CUST528</t>
  </si>
  <si>
    <t>ORD00228</t>
  </si>
  <si>
    <t>CUST799</t>
  </si>
  <si>
    <t>ORD00229</t>
  </si>
  <si>
    <t>CUST311</t>
  </si>
  <si>
    <t>ORD00230</t>
  </si>
  <si>
    <t>CUST907</t>
  </si>
  <si>
    <t>ORD00231</t>
  </si>
  <si>
    <t>CUST934</t>
  </si>
  <si>
    <t>ORD00232</t>
  </si>
  <si>
    <t>ORD00233</t>
  </si>
  <si>
    <t>CUST860</t>
  </si>
  <si>
    <t>ORD00234</t>
  </si>
  <si>
    <t>CUST265</t>
  </si>
  <si>
    <t>ORD00235</t>
  </si>
  <si>
    <t>ORD00236</t>
  </si>
  <si>
    <t>CUST313</t>
  </si>
  <si>
    <t>ORD00237</t>
  </si>
  <si>
    <t>CUST218</t>
  </si>
  <si>
    <t>ORD00238</t>
  </si>
  <si>
    <t>ORD00239</t>
  </si>
  <si>
    <t>ORD00240</t>
  </si>
  <si>
    <t>ORD00241</t>
  </si>
  <si>
    <t>CUST997</t>
  </si>
  <si>
    <t>ORD00242</t>
  </si>
  <si>
    <t>CUST611</t>
  </si>
  <si>
    <t>ORD00243</t>
  </si>
  <si>
    <t>CUST885</t>
  </si>
  <si>
    <t>ORD00244</t>
  </si>
  <si>
    <t>CUST146</t>
  </si>
  <si>
    <t>ORD00245</t>
  </si>
  <si>
    <t>ORD00246</t>
  </si>
  <si>
    <t>CUST541</t>
  </si>
  <si>
    <t>ORD00247</t>
  </si>
  <si>
    <t>CUST161</t>
  </si>
  <si>
    <t>ORD00248</t>
  </si>
  <si>
    <t>CUST982</t>
  </si>
  <si>
    <t>ORD00249</t>
  </si>
  <si>
    <t>CUST564</t>
  </si>
  <si>
    <t>ORD00250</t>
  </si>
  <si>
    <t>CUST433</t>
  </si>
  <si>
    <t>ORD00251</t>
  </si>
  <si>
    <t>CUST671</t>
  </si>
  <si>
    <t>ORD00252</t>
  </si>
  <si>
    <t>CUST768</t>
  </si>
  <si>
    <t>ORD00253</t>
  </si>
  <si>
    <t>ORD00254</t>
  </si>
  <si>
    <t>CUST629</t>
  </si>
  <si>
    <t>ORD00255</t>
  </si>
  <si>
    <t>CUST717</t>
  </si>
  <si>
    <t>ORD00256</t>
  </si>
  <si>
    <t>CUST102</t>
  </si>
  <si>
    <t>ORD00257</t>
  </si>
  <si>
    <t>CUST579</t>
  </si>
  <si>
    <t>ORD00258</t>
  </si>
  <si>
    <t>CUST505</t>
  </si>
  <si>
    <t>ORD00259</t>
  </si>
  <si>
    <t>CUST841</t>
  </si>
  <si>
    <t>ORD00260</t>
  </si>
  <si>
    <t>CUST247</t>
  </si>
  <si>
    <t>ORD00261</t>
  </si>
  <si>
    <t>CUST916</t>
  </si>
  <si>
    <t>ORD00262</t>
  </si>
  <si>
    <t>CUST137</t>
  </si>
  <si>
    <t>ORD00263</t>
  </si>
  <si>
    <t>CUST655</t>
  </si>
  <si>
    <t>ORD00264</t>
  </si>
  <si>
    <t>CUST566</t>
  </si>
  <si>
    <t>ORD00265</t>
  </si>
  <si>
    <t>ORD00266</t>
  </si>
  <si>
    <t>CUST111</t>
  </si>
  <si>
    <t>ORD00267</t>
  </si>
  <si>
    <t>CUST919</t>
  </si>
  <si>
    <t>ORD00268</t>
  </si>
  <si>
    <t>ORD00269</t>
  </si>
  <si>
    <t>CUST708</t>
  </si>
  <si>
    <t>ORD00270</t>
  </si>
  <si>
    <t>CUST178</t>
  </si>
  <si>
    <t>ORD00271</t>
  </si>
  <si>
    <t>ORD00272</t>
  </si>
  <si>
    <t>ORD00273</t>
  </si>
  <si>
    <t>CUST187</t>
  </si>
  <si>
    <t>ORD00274</t>
  </si>
  <si>
    <t>CUST626</t>
  </si>
  <si>
    <t>ORD00275</t>
  </si>
  <si>
    <t>ORD00276</t>
  </si>
  <si>
    <t>CUST981</t>
  </si>
  <si>
    <t>ORD00277</t>
  </si>
  <si>
    <t>CUST425</t>
  </si>
  <si>
    <t>ORD00278</t>
  </si>
  <si>
    <t>ORD00279</t>
  </si>
  <si>
    <t>CUST741</t>
  </si>
  <si>
    <t>ORD00280</t>
  </si>
  <si>
    <t>ORD00281</t>
  </si>
  <si>
    <t>CUST112</t>
  </si>
  <si>
    <t>ORD00282</t>
  </si>
  <si>
    <t>CUST422</t>
  </si>
  <si>
    <t>ORD00283</t>
  </si>
  <si>
    <t>ORD00284</t>
  </si>
  <si>
    <t>CUST243</t>
  </si>
  <si>
    <t>ORD00285</t>
  </si>
  <si>
    <t>ORD00286</t>
  </si>
  <si>
    <t>CUST360</t>
  </si>
  <si>
    <t>ORD00287</t>
  </si>
  <si>
    <t>CUST789</t>
  </si>
  <si>
    <t>ORD00288</t>
  </si>
  <si>
    <t>CUST460</t>
  </si>
  <si>
    <t>ORD00289</t>
  </si>
  <si>
    <t>CUST266</t>
  </si>
  <si>
    <t>ORD00290</t>
  </si>
  <si>
    <t>CUST795</t>
  </si>
  <si>
    <t>ORD00291</t>
  </si>
  <si>
    <t>CUST337</t>
  </si>
  <si>
    <t>ORD00292</t>
  </si>
  <si>
    <t>CUST874</t>
  </si>
  <si>
    <t>ORD00293</t>
  </si>
  <si>
    <t>CUST936</t>
  </si>
  <si>
    <t>ORD00294</t>
  </si>
  <si>
    <t>CUST341</t>
  </si>
  <si>
    <t>ORD00295</t>
  </si>
  <si>
    <t>CUST947</t>
  </si>
  <si>
    <t>ORD00296</t>
  </si>
  <si>
    <t>CUST793</t>
  </si>
  <si>
    <t>ORD00297</t>
  </si>
  <si>
    <t>ORD00298</t>
  </si>
  <si>
    <t>CUST308</t>
  </si>
  <si>
    <t>ORD00299</t>
  </si>
  <si>
    <t>ORD00300</t>
  </si>
  <si>
    <t>CUST637</t>
  </si>
  <si>
    <t>ORD00301</t>
  </si>
  <si>
    <t>CUST353</t>
  </si>
  <si>
    <t>ORD00302</t>
  </si>
  <si>
    <t>CUST453</t>
  </si>
  <si>
    <t>ORD00303</t>
  </si>
  <si>
    <t>ORD00304</t>
  </si>
  <si>
    <t>CUST144</t>
  </si>
  <si>
    <t>ORD00305</t>
  </si>
  <si>
    <t>CUST457</t>
  </si>
  <si>
    <t>ORD00306</t>
  </si>
  <si>
    <t>CUST753</t>
  </si>
  <si>
    <t>ORD00307</t>
  </si>
  <si>
    <t>CUST705</t>
  </si>
  <si>
    <t>ORD00308</t>
  </si>
  <si>
    <t>CUST989</t>
  </si>
  <si>
    <t>ORD00309</t>
  </si>
  <si>
    <t>CUST565</t>
  </si>
  <si>
    <t>ORD00310</t>
  </si>
  <si>
    <t>ORD00311</t>
  </si>
  <si>
    <t>ORD00312</t>
  </si>
  <si>
    <t>ORD00313</t>
  </si>
  <si>
    <t>CUST970</t>
  </si>
  <si>
    <t>ORD00314</t>
  </si>
  <si>
    <t>CUST184</t>
  </si>
  <si>
    <t>ORD00315</t>
  </si>
  <si>
    <t>CUST894</t>
  </si>
  <si>
    <t>ORD00316</t>
  </si>
  <si>
    <t>CUST663</t>
  </si>
  <si>
    <t>ORD00317</t>
  </si>
  <si>
    <t>ORD00318</t>
  </si>
  <si>
    <t>CUST358</t>
  </si>
  <si>
    <t>ORD00319</t>
  </si>
  <si>
    <t>CUST603</t>
  </si>
  <si>
    <t>ORD00320</t>
  </si>
  <si>
    <t>CUST234</t>
  </si>
  <si>
    <t>ORD00321</t>
  </si>
  <si>
    <t>CUST370</t>
  </si>
  <si>
    <t>ORD00322</t>
  </si>
  <si>
    <t>CUST720</t>
  </si>
  <si>
    <t>ORD00323</t>
  </si>
  <si>
    <t>CUST508</t>
  </si>
  <si>
    <t>ORD00324</t>
  </si>
  <si>
    <t>CUST943</t>
  </si>
  <si>
    <t>ORD00325</t>
  </si>
  <si>
    <t>ORD00326</t>
  </si>
  <si>
    <t>ORD00327</t>
  </si>
  <si>
    <t>CUST186</t>
  </si>
  <si>
    <t>ORD00328</t>
  </si>
  <si>
    <t>ORD00329</t>
  </si>
  <si>
    <t>CUST203</t>
  </si>
  <si>
    <t>ORD00330</t>
  </si>
  <si>
    <t>CUST372</t>
  </si>
  <si>
    <t>ORD00331</t>
  </si>
  <si>
    <t>CUST444</t>
  </si>
  <si>
    <t>ORD00332</t>
  </si>
  <si>
    <t>ORD00333</t>
  </si>
  <si>
    <t>CUST278</t>
  </si>
  <si>
    <t>ORD00334</t>
  </si>
  <si>
    <t>CUST520</t>
  </si>
  <si>
    <t>ORD00335</t>
  </si>
  <si>
    <t>ORD00336</t>
  </si>
  <si>
    <t>ORD00337</t>
  </si>
  <si>
    <t>CUST976</t>
  </si>
  <si>
    <t>ORD00338</t>
  </si>
  <si>
    <t>ORD00339</t>
  </si>
  <si>
    <t>CUST712</t>
  </si>
  <si>
    <t>ORD00340</t>
  </si>
  <si>
    <t>CUST421</t>
  </si>
  <si>
    <t>ORD00341</t>
  </si>
  <si>
    <t>CUST272</t>
  </si>
  <si>
    <t>ORD00342</t>
  </si>
  <si>
    <t>CUST610</t>
  </si>
  <si>
    <t>ORD00343</t>
  </si>
  <si>
    <t>ORD00344</t>
  </si>
  <si>
    <t>ORD00345</t>
  </si>
  <si>
    <t>CUST568</t>
  </si>
  <si>
    <t>ORD00346</t>
  </si>
  <si>
    <t>ORD00347</t>
  </si>
  <si>
    <t>CUST269</t>
  </si>
  <si>
    <t>ORD00348</t>
  </si>
  <si>
    <t>CUST911</t>
  </si>
  <si>
    <t>ORD00349</t>
  </si>
  <si>
    <t>ORD00350</t>
  </si>
  <si>
    <t>ORD00351</t>
  </si>
  <si>
    <t>CUST213</t>
  </si>
  <si>
    <t>ORD00352</t>
  </si>
  <si>
    <t>CUST200</t>
  </si>
  <si>
    <t>ORD00353</t>
  </si>
  <si>
    <t>ORD00354</t>
  </si>
  <si>
    <t>ORD00355</t>
  </si>
  <si>
    <t>CUST408</t>
  </si>
  <si>
    <t>ORD00356</t>
  </si>
  <si>
    <t>ORD00357</t>
  </si>
  <si>
    <t>ORD00358</t>
  </si>
  <si>
    <t>CUST792</t>
  </si>
  <si>
    <t>ORD00359</t>
  </si>
  <si>
    <t>CUST810</t>
  </si>
  <si>
    <t>ORD00360</t>
  </si>
  <si>
    <t>CUST364</t>
  </si>
  <si>
    <t>ORD00361</t>
  </si>
  <si>
    <t>CUST474</t>
  </si>
  <si>
    <t>ORD00362</t>
  </si>
  <si>
    <t>CUST932</t>
  </si>
  <si>
    <t>ORD00363</t>
  </si>
  <si>
    <t>CUST719</t>
  </si>
  <si>
    <t>ORD00364</t>
  </si>
  <si>
    <t>ORD00365</t>
  </si>
  <si>
    <t>CUST721</t>
  </si>
  <si>
    <t>ORD00366</t>
  </si>
  <si>
    <t>CUST980</t>
  </si>
  <si>
    <t>ORD00367</t>
  </si>
  <si>
    <t>CUST713</t>
  </si>
  <si>
    <t>ORD00368</t>
  </si>
  <si>
    <t>CUST227</t>
  </si>
  <si>
    <t>ORD00369</t>
  </si>
  <si>
    <t>ORD00370</t>
  </si>
  <si>
    <t>CUST356</t>
  </si>
  <si>
    <t>ORD00371</t>
  </si>
  <si>
    <t>CUST878</t>
  </si>
  <si>
    <t>ORD00372</t>
  </si>
  <si>
    <t>CUST118</t>
  </si>
  <si>
    <t>ORD00373</t>
  </si>
  <si>
    <t>ORD00374</t>
  </si>
  <si>
    <t>CUST840</t>
  </si>
  <si>
    <t>ORD00375</t>
  </si>
  <si>
    <t>CUST350</t>
  </si>
  <si>
    <t>ORD00376</t>
  </si>
  <si>
    <t>CUST824</t>
  </si>
  <si>
    <t>ORD00377</t>
  </si>
  <si>
    <t>ORD00378</t>
  </si>
  <si>
    <t>CUST423</t>
  </si>
  <si>
    <t>ORD00379</t>
  </si>
  <si>
    <t>ORD00380</t>
  </si>
  <si>
    <t>CUST362</t>
  </si>
  <si>
    <t>ORD00381</t>
  </si>
  <si>
    <t>CUST618</t>
  </si>
  <si>
    <t>ORD00382</t>
  </si>
  <si>
    <t>CUST933</t>
  </si>
  <si>
    <t>ORD00383</t>
  </si>
  <si>
    <t>ORD00384</t>
  </si>
  <si>
    <t>CUST823</t>
  </si>
  <si>
    <t>ORD00385</t>
  </si>
  <si>
    <t>CUST259</t>
  </si>
  <si>
    <t>ORD00386</t>
  </si>
  <si>
    <t>CUST289</t>
  </si>
  <si>
    <t>ORD00387</t>
  </si>
  <si>
    <t>CUST854</t>
  </si>
  <si>
    <t>ORD00388</t>
  </si>
  <si>
    <t>CUST913</t>
  </si>
  <si>
    <t>ORD00389</t>
  </si>
  <si>
    <t>CUST779</t>
  </si>
  <si>
    <t>ORD00390</t>
  </si>
  <si>
    <t>ORD00391</t>
  </si>
  <si>
    <t>ORD00392</t>
  </si>
  <si>
    <t>CUST238</t>
  </si>
  <si>
    <t>ORD00393</t>
  </si>
  <si>
    <t>CUST677</t>
  </si>
  <si>
    <t>ORD00394</t>
  </si>
  <si>
    <t>CUST686</t>
  </si>
  <si>
    <t>ORD00395</t>
  </si>
  <si>
    <t>ORD00396</t>
  </si>
  <si>
    <t>ORD00397</t>
  </si>
  <si>
    <t>CUST271</t>
  </si>
  <si>
    <t>ORD00398</t>
  </si>
  <si>
    <t>CUST254</t>
  </si>
  <si>
    <t>ORD00399</t>
  </si>
  <si>
    <t>CUST999</t>
  </si>
  <si>
    <t>ORD00400</t>
  </si>
  <si>
    <t>CUST317</t>
  </si>
  <si>
    <t>ORD00401</t>
  </si>
  <si>
    <t>CUST465</t>
  </si>
  <si>
    <t>ORD00402</t>
  </si>
  <si>
    <t>CUST747</t>
  </si>
  <si>
    <t>ORD00403</t>
  </si>
  <si>
    <t>CUST285</t>
  </si>
  <si>
    <t>ORD00404</t>
  </si>
  <si>
    <t>CUST445</t>
  </si>
  <si>
    <t>ORD00405</t>
  </si>
  <si>
    <t>CUST598</t>
  </si>
  <si>
    <t>ORD00406</t>
  </si>
  <si>
    <t>CUST304</t>
  </si>
  <si>
    <t>ORD00407</t>
  </si>
  <si>
    <t>ORD00408</t>
  </si>
  <si>
    <t>ORD00409</t>
  </si>
  <si>
    <t>CUST881</t>
  </si>
  <si>
    <t>ORD00410</t>
  </si>
  <si>
    <t>CUST394</t>
  </si>
  <si>
    <t>ORD00411</t>
  </si>
  <si>
    <t>CUST749</t>
  </si>
  <si>
    <t>ORD00412</t>
  </si>
  <si>
    <t>CUST950</t>
  </si>
  <si>
    <t>ORD00413</t>
  </si>
  <si>
    <t>ORD00414</t>
  </si>
  <si>
    <t>ORD00415</t>
  </si>
  <si>
    <t>CUST282</t>
  </si>
  <si>
    <t>ORD00416</t>
  </si>
  <si>
    <t>CUST151</t>
  </si>
  <si>
    <t>ORD00417</t>
  </si>
  <si>
    <t>ORD00418</t>
  </si>
  <si>
    <t>ORD00419</t>
  </si>
  <si>
    <t>CUST407</t>
  </si>
  <si>
    <t>ORD00420</t>
  </si>
  <si>
    <t>CUST173</t>
  </si>
  <si>
    <t>ORD00421</t>
  </si>
  <si>
    <t>CUST876</t>
  </si>
  <si>
    <t>ORD00422</t>
  </si>
  <si>
    <t>ORD00423</t>
  </si>
  <si>
    <t>CUST867</t>
  </si>
  <si>
    <t>ORD00424</t>
  </si>
  <si>
    <t>CUST212</t>
  </si>
  <si>
    <t>ORD00425</t>
  </si>
  <si>
    <t>CUST649</t>
  </si>
  <si>
    <t>ORD00426</t>
  </si>
  <si>
    <t>ORD00427</t>
  </si>
  <si>
    <t>CUST108</t>
  </si>
  <si>
    <t>ORD00428</t>
  </si>
  <si>
    <t>CUST739</t>
  </si>
  <si>
    <t>ORD00429</t>
  </si>
  <si>
    <t>ORD00430</t>
  </si>
  <si>
    <t>CUST191</t>
  </si>
  <si>
    <t>ORD00431</t>
  </si>
  <si>
    <t>CUST850</t>
  </si>
  <si>
    <t>ORD00432</t>
  </si>
  <si>
    <t>CUST746</t>
  </si>
  <si>
    <t>ORD00433</t>
  </si>
  <si>
    <t>ORD00434</t>
  </si>
  <si>
    <t>CUST277</t>
  </si>
  <si>
    <t>ORD00435</t>
  </si>
  <si>
    <t>CUST851</t>
  </si>
  <si>
    <t>ORD00436</t>
  </si>
  <si>
    <t>CUST914</t>
  </si>
  <si>
    <t>ORD00437</t>
  </si>
  <si>
    <t>CUST567</t>
  </si>
  <si>
    <t>ORD00438</t>
  </si>
  <si>
    <t>ORD00439</t>
  </si>
  <si>
    <t>CUST645</t>
  </si>
  <si>
    <t>ORD00440</t>
  </si>
  <si>
    <t>CUST690</t>
  </si>
  <si>
    <t>ORD00441</t>
  </si>
  <si>
    <t>CUST578</t>
  </si>
  <si>
    <t>ORD00442</t>
  </si>
  <si>
    <t>ORD00443</t>
  </si>
  <si>
    <t>CUST109</t>
  </si>
  <si>
    <t>ORD00444</t>
  </si>
  <si>
    <t>CUST435</t>
  </si>
  <si>
    <t>ORD00445</t>
  </si>
  <si>
    <t>CUST772</t>
  </si>
  <si>
    <t>ORD00446</t>
  </si>
  <si>
    <t>ORD00447</t>
  </si>
  <si>
    <t>ORD00448</t>
  </si>
  <si>
    <t>CUST207</t>
  </si>
  <si>
    <t>ORD00449</t>
  </si>
  <si>
    <t>ORD00450</t>
  </si>
  <si>
    <t>CUST764</t>
  </si>
  <si>
    <t>ORD00451</t>
  </si>
  <si>
    <t>CUST804</t>
  </si>
  <si>
    <t>ORD00452</t>
  </si>
  <si>
    <t>CUST633</t>
  </si>
  <si>
    <t>ORD00453</t>
  </si>
  <si>
    <t>ORD00454</t>
  </si>
  <si>
    <t>CUST448</t>
  </si>
  <si>
    <t>ORD00455</t>
  </si>
  <si>
    <t>CUST889</t>
  </si>
  <si>
    <t>ORD00456</t>
  </si>
  <si>
    <t>ORD00457</t>
  </si>
  <si>
    <t>CUST174</t>
  </si>
  <si>
    <t>ORD00458</t>
  </si>
  <si>
    <t>CUST208</t>
  </si>
  <si>
    <t>ORD00459</t>
  </si>
  <si>
    <t>CUST503</t>
  </si>
  <si>
    <t>ORD00460</t>
  </si>
  <si>
    <t>CUST569</t>
  </si>
  <si>
    <t>ORD00461</t>
  </si>
  <si>
    <t>CUST359</t>
  </si>
  <si>
    <t>ORD00462</t>
  </si>
  <si>
    <t>CUST698</t>
  </si>
  <si>
    <t>ORD00463</t>
  </si>
  <si>
    <t>CUST957</t>
  </si>
  <si>
    <t>ORD00464</t>
  </si>
  <si>
    <t>ORD00465</t>
  </si>
  <si>
    <t>ORD00466</t>
  </si>
  <si>
    <t>CUST391</t>
  </si>
  <si>
    <t>ORD00467</t>
  </si>
  <si>
    <t>ORD00468</t>
  </si>
  <si>
    <t>CUST150</t>
  </si>
  <si>
    <t>ORD00469</t>
  </si>
  <si>
    <t>ORD00470</t>
  </si>
  <si>
    <t>ORD00471</t>
  </si>
  <si>
    <t>ORD00472</t>
  </si>
  <si>
    <t>ORD00473</t>
  </si>
  <si>
    <t>CUST586</t>
  </si>
  <si>
    <t>ORD00474</t>
  </si>
  <si>
    <t>CUST156</t>
  </si>
  <si>
    <t>ORD00475</t>
  </si>
  <si>
    <t>CUST781</t>
  </si>
  <si>
    <t>ORD00476</t>
  </si>
  <si>
    <t>CUST381</t>
  </si>
  <si>
    <t>ORD00477</t>
  </si>
  <si>
    <t>CUST124</t>
  </si>
  <si>
    <t>ORD00478</t>
  </si>
  <si>
    <t>CUST363</t>
  </si>
  <si>
    <t>ORD00479</t>
  </si>
  <si>
    <t>ORD00480</t>
  </si>
  <si>
    <t>ORD00481</t>
  </si>
  <si>
    <t>CUST614</t>
  </si>
  <si>
    <t>ORD00482</t>
  </si>
  <si>
    <t>CUST239</t>
  </si>
  <si>
    <t>ORD00483</t>
  </si>
  <si>
    <t>CUST477</t>
  </si>
  <si>
    <t>ORD00484</t>
  </si>
  <si>
    <t>CUST128</t>
  </si>
  <si>
    <t>ORD00485</t>
  </si>
  <si>
    <t>CUST113</t>
  </si>
  <si>
    <t>ORD00486</t>
  </si>
  <si>
    <t>ORD00487</t>
  </si>
  <si>
    <t>ORD00488</t>
  </si>
  <si>
    <t>CUST494</t>
  </si>
  <si>
    <t>ORD00489</t>
  </si>
  <si>
    <t>CUST202</t>
  </si>
  <si>
    <t>ORD00490</t>
  </si>
  <si>
    <t>ORD00491</t>
  </si>
  <si>
    <t>CUST636</t>
  </si>
  <si>
    <t>ORD00492</t>
  </si>
  <si>
    <t>ORD00493</t>
  </si>
  <si>
    <t>ORD00494</t>
  </si>
  <si>
    <t>ORD00495</t>
  </si>
  <si>
    <t>ORD00496</t>
  </si>
  <si>
    <t>CUST302</t>
  </si>
  <si>
    <t>ORD00497</t>
  </si>
  <si>
    <t>CUST549</t>
  </si>
  <si>
    <t>ORD00498</t>
  </si>
  <si>
    <t>CUST384</t>
  </si>
  <si>
    <t>ORD00499</t>
  </si>
  <si>
    <t>CUST559</t>
  </si>
  <si>
    <t>ORD00500</t>
  </si>
  <si>
    <t>ORD00501</t>
  </si>
  <si>
    <t>CUST497</t>
  </si>
  <si>
    <t>ORD00502</t>
  </si>
  <si>
    <t>ORD00503</t>
  </si>
  <si>
    <t>CUST157</t>
  </si>
  <si>
    <t>ORD00504</t>
  </si>
  <si>
    <t>CUST469</t>
  </si>
  <si>
    <t>ORD00505</t>
  </si>
  <si>
    <t>ORD00506</t>
  </si>
  <si>
    <t>ORD00507</t>
  </si>
  <si>
    <t>CUST523</t>
  </si>
  <si>
    <t>ORD00508</t>
  </si>
  <si>
    <t>ORD00509</t>
  </si>
  <si>
    <t>CUST258</t>
  </si>
  <si>
    <t>ORD00510</t>
  </si>
  <si>
    <t>ORD00511</t>
  </si>
  <si>
    <t>CUST140</t>
  </si>
  <si>
    <t>ORD00512</t>
  </si>
  <si>
    <t>CUST676</t>
  </si>
  <si>
    <t>ORD00513</t>
  </si>
  <si>
    <t>CUST214</t>
  </si>
  <si>
    <t>ORD00514</t>
  </si>
  <si>
    <t>CUST420</t>
  </si>
  <si>
    <t>ORD00515</t>
  </si>
  <si>
    <t>CUST167</t>
  </si>
  <si>
    <t>ORD00516</t>
  </si>
  <si>
    <t>CUST735</t>
  </si>
  <si>
    <t>ORD00517</t>
  </si>
  <si>
    <t>CUST722</t>
  </si>
  <si>
    <t>ORD00518</t>
  </si>
  <si>
    <t>CUST326</t>
  </si>
  <si>
    <t>ORD00519</t>
  </si>
  <si>
    <t>ORD00520</t>
  </si>
  <si>
    <t>ORD00521</t>
  </si>
  <si>
    <t>ORD00522</t>
  </si>
  <si>
    <t>ORD00523</t>
  </si>
  <si>
    <t>CUST464</t>
  </si>
  <si>
    <t>ORD00524</t>
  </si>
  <si>
    <t>CUST436</t>
  </si>
  <si>
    <t>ORD00525</t>
  </si>
  <si>
    <t>ORD00526</t>
  </si>
  <si>
    <t>CUST440</t>
  </si>
  <si>
    <t>ORD00527</t>
  </si>
  <si>
    <t>CUST543</t>
  </si>
  <si>
    <t>ORD00528</t>
  </si>
  <si>
    <t>ORD00529</t>
  </si>
  <si>
    <t>ORD00530</t>
  </si>
  <si>
    <t>CUST276</t>
  </si>
  <si>
    <t>ORD00531</t>
  </si>
  <si>
    <t>CUST597</t>
  </si>
  <si>
    <t>ORD00532</t>
  </si>
  <si>
    <t>ORD00533</t>
  </si>
  <si>
    <t>ORD00534</t>
  </si>
  <si>
    <t>CUST694</t>
  </si>
  <si>
    <t>ORD00535</t>
  </si>
  <si>
    <t>CUST607</t>
  </si>
  <si>
    <t>ORD00536</t>
  </si>
  <si>
    <t>ORD00537</t>
  </si>
  <si>
    <t>CUST871</t>
  </si>
  <si>
    <t>ORD00538</t>
  </si>
  <si>
    <t>CUST927</t>
  </si>
  <si>
    <t>ORD00539</t>
  </si>
  <si>
    <t>ORD00540</t>
  </si>
  <si>
    <t>ORD00541</t>
  </si>
  <si>
    <t>CUST504</t>
  </si>
  <si>
    <t>ORD00542</t>
  </si>
  <si>
    <t>ORD00543</t>
  </si>
  <si>
    <t>CUST784</t>
  </si>
  <si>
    <t>ORD00544</t>
  </si>
  <si>
    <t>CUST625</t>
  </si>
  <si>
    <t>ORD00545</t>
  </si>
  <si>
    <t>ORD00546</t>
  </si>
  <si>
    <t>ORD00547</t>
  </si>
  <si>
    <t>ORD00548</t>
  </si>
  <si>
    <t>CUST159</t>
  </si>
  <si>
    <t>ORD00549</t>
  </si>
  <si>
    <t>CUST754</t>
  </si>
  <si>
    <t>ORD00550</t>
  </si>
  <si>
    <t>ORD00551</t>
  </si>
  <si>
    <t>CUST399</t>
  </si>
  <si>
    <t>ORD00552</t>
  </si>
  <si>
    <t>CUST233</t>
  </si>
  <si>
    <t>ORD00553</t>
  </si>
  <si>
    <t>ORD00554</t>
  </si>
  <si>
    <t>CUST624</t>
  </si>
  <si>
    <t>ORD00555</t>
  </si>
  <si>
    <t>CUST410</t>
  </si>
  <si>
    <t>ORD00556</t>
  </si>
  <si>
    <t>CUST994</t>
  </si>
  <si>
    <t>ORD00557</t>
  </si>
  <si>
    <t>CUST131</t>
  </si>
  <si>
    <t>ORD00558</t>
  </si>
  <si>
    <t>ORD00559</t>
  </si>
  <si>
    <t>ORD00560</t>
  </si>
  <si>
    <t>ORD00561</t>
  </si>
  <si>
    <t>CUST242</t>
  </si>
  <si>
    <t>ORD00562</t>
  </si>
  <si>
    <t>ORD00563</t>
  </si>
  <si>
    <t>CUST246</t>
  </si>
  <si>
    <t>ORD00564</t>
  </si>
  <si>
    <t>CUST316</t>
  </si>
  <si>
    <t>ORD00565</t>
  </si>
  <si>
    <t>ORD00566</t>
  </si>
  <si>
    <t>ORD00567</t>
  </si>
  <si>
    <t>CUST990</t>
  </si>
  <si>
    <t>ORD00568</t>
  </si>
  <si>
    <t>CUST662</t>
  </si>
  <si>
    <t>ORD00569</t>
  </si>
  <si>
    <t>CUST179</t>
  </si>
  <si>
    <t>ORD00570</t>
  </si>
  <si>
    <t>ORD00571</t>
  </si>
  <si>
    <t>ORD00572</t>
  </si>
  <si>
    <t>ORD00573</t>
  </si>
  <si>
    <t>ORD00574</t>
  </si>
  <si>
    <t>ORD00575</t>
  </si>
  <si>
    <t>ORD00576</t>
  </si>
  <si>
    <t>ORD00577</t>
  </si>
  <si>
    <t>ORD00578</t>
  </si>
  <si>
    <t>CUST858</t>
  </si>
  <si>
    <t>ORD00579</t>
  </si>
  <si>
    <t>ORD00580</t>
  </si>
  <si>
    <t>CUST839</t>
  </si>
  <si>
    <t>ORD00581</t>
  </si>
  <si>
    <t>CUST585</t>
  </si>
  <si>
    <t>ORD00582</t>
  </si>
  <si>
    <t>CUST817</t>
  </si>
  <si>
    <t>ORD00583</t>
  </si>
  <si>
    <t>ORD00584</t>
  </si>
  <si>
    <t>ORD00585</t>
  </si>
  <si>
    <t>ORD00586</t>
  </si>
  <si>
    <t>ORD00587</t>
  </si>
  <si>
    <t>CUST910</t>
  </si>
  <si>
    <t>ORD00588</t>
  </si>
  <si>
    <t>ORD00589</t>
  </si>
  <si>
    <t>CUST536</t>
  </si>
  <si>
    <t>ORD00590</t>
  </si>
  <si>
    <t>ORD00591</t>
  </si>
  <si>
    <t>ORD00592</t>
  </si>
  <si>
    <t>CUST759</t>
  </si>
  <si>
    <t>ORD00593</t>
  </si>
  <si>
    <t>ORD00594</t>
  </si>
  <si>
    <t>ORD00595</t>
  </si>
  <si>
    <t>ORD00596</t>
  </si>
  <si>
    <t>CUST638</t>
  </si>
  <si>
    <t>ORD00597</t>
  </si>
  <si>
    <t>CUST376</t>
  </si>
  <si>
    <t>ORD00598</t>
  </si>
  <si>
    <t>ORD00599</t>
  </si>
  <si>
    <t>CUST439</t>
  </si>
  <si>
    <t>ORD00600</t>
  </si>
  <si>
    <t>CUST431</t>
  </si>
  <si>
    <t>ORD00601</t>
  </si>
  <si>
    <t>CUST143</t>
  </si>
  <si>
    <t>ORD00602</t>
  </si>
  <si>
    <t>ORD00603</t>
  </si>
  <si>
    <t>CUST767</t>
  </si>
  <si>
    <t>ORD00604</t>
  </si>
  <si>
    <t>ORD00605</t>
  </si>
  <si>
    <t>CUST351</t>
  </si>
  <si>
    <t>ORD00606</t>
  </si>
  <si>
    <t>CUST699</t>
  </si>
  <si>
    <t>ORD00607</t>
  </si>
  <si>
    <t>ORD00608</t>
  </si>
  <si>
    <t>ORD00609</t>
  </si>
  <si>
    <t>ORD00610</t>
  </si>
  <si>
    <t>ORD00611</t>
  </si>
  <si>
    <t>ORD00612</t>
  </si>
  <si>
    <t>CUST760</t>
  </si>
  <si>
    <t>ORD00613</t>
  </si>
  <si>
    <t>CUST673</t>
  </si>
  <si>
    <t>ORD00614</t>
  </si>
  <si>
    <t>ORD00615</t>
  </si>
  <si>
    <t>ORD00616</t>
  </si>
  <si>
    <t>CUST751</t>
  </si>
  <si>
    <t>ORD00617</t>
  </si>
  <si>
    <t>ORD00618</t>
  </si>
  <si>
    <t>CUST120</t>
  </si>
  <si>
    <t>ORD00619</t>
  </si>
  <si>
    <t>ORD00620</t>
  </si>
  <si>
    <t>ORD00621</t>
  </si>
  <si>
    <t>CUST808</t>
  </si>
  <si>
    <t>ORD00622</t>
  </si>
  <si>
    <t>ORD00623</t>
  </si>
  <si>
    <t>CUST972</t>
  </si>
  <si>
    <t>ORD00624</t>
  </si>
  <si>
    <t>CUST314</t>
  </si>
  <si>
    <t>ORD00625</t>
  </si>
  <si>
    <t>ORD00626</t>
  </si>
  <si>
    <t>CUST682</t>
  </si>
  <si>
    <t>ORD00627</t>
  </si>
  <si>
    <t>CUST901</t>
  </si>
  <si>
    <t>ORD00628</t>
  </si>
  <si>
    <t>CUST367</t>
  </si>
  <si>
    <t>ORD00629</t>
  </si>
  <si>
    <t>CUST491</t>
  </si>
  <si>
    <t>ORD00630</t>
  </si>
  <si>
    <t>CUST815</t>
  </si>
  <si>
    <t>ORD00631</t>
  </si>
  <si>
    <t>ORD00632</t>
  </si>
  <si>
    <t>CUST617</t>
  </si>
  <si>
    <t>ORD00633</t>
  </si>
  <si>
    <t>CUST306</t>
  </si>
  <si>
    <t>ORD00634</t>
  </si>
  <si>
    <t>ORD00635</t>
  </si>
  <si>
    <t>CUST946</t>
  </si>
  <si>
    <t>ORD00636</t>
  </si>
  <si>
    <t>CUST310</t>
  </si>
  <si>
    <t>ORD00637</t>
  </si>
  <si>
    <t>CUST101</t>
  </si>
  <si>
    <t>ORD00638</t>
  </si>
  <si>
    <t>CUST483</t>
  </si>
  <si>
    <t>ORD00639</t>
  </si>
  <si>
    <t>CUST612</t>
  </si>
  <si>
    <t>ORD00640</t>
  </si>
  <si>
    <t>ORD00641</t>
  </si>
  <si>
    <t>CUST944</t>
  </si>
  <si>
    <t>ORD00642</t>
  </si>
  <si>
    <t>ORD00643</t>
  </si>
  <si>
    <t>ORD00644</t>
  </si>
  <si>
    <t>CUST461</t>
  </si>
  <si>
    <t>ORD00645</t>
  </si>
  <si>
    <t>CUST121</t>
  </si>
  <si>
    <t>ORD00646</t>
  </si>
  <si>
    <t>ORD00647</t>
  </si>
  <si>
    <t>ORD00648</t>
  </si>
  <si>
    <t>ORD00649</t>
  </si>
  <si>
    <t>ORD00650</t>
  </si>
  <si>
    <t>ORD00651</t>
  </si>
  <si>
    <t>CUST659</t>
  </si>
  <si>
    <t>ORD00652</t>
  </si>
  <si>
    <t>ORD00653</t>
  </si>
  <si>
    <t>ORD00654</t>
  </si>
  <si>
    <t>ORD00655</t>
  </si>
  <si>
    <t>ORD00656</t>
  </si>
  <si>
    <t>ORD00657</t>
  </si>
  <si>
    <t>CUST328</t>
  </si>
  <si>
    <t>ORD00658</t>
  </si>
  <si>
    <t>CUST412</t>
  </si>
  <si>
    <t>ORD00659</t>
  </si>
  <si>
    <t>ORD00660</t>
  </si>
  <si>
    <t>ORD00661</t>
  </si>
  <si>
    <t>ORD00662</t>
  </si>
  <si>
    <t>ORD00663</t>
  </si>
  <si>
    <t>CUST604</t>
  </si>
  <si>
    <t>ORD00664</t>
  </si>
  <si>
    <t>CUST334</t>
  </si>
  <si>
    <t>ORD00665</t>
  </si>
  <si>
    <t>CUST718</t>
  </si>
  <si>
    <t>ORD00666</t>
  </si>
  <si>
    <t>ORD00667</t>
  </si>
  <si>
    <t>CUST424</t>
  </si>
  <si>
    <t>ORD00668</t>
  </si>
  <si>
    <t>CUST826</t>
  </si>
  <si>
    <t>ORD00669</t>
  </si>
  <si>
    <t>ORD00670</t>
  </si>
  <si>
    <t>CUST802</t>
  </si>
  <si>
    <t>ORD00671</t>
  </si>
  <si>
    <t>ORD00672</t>
  </si>
  <si>
    <t>CUST650</t>
  </si>
  <si>
    <t>ORD00673</t>
  </si>
  <si>
    <t>CUST513</t>
  </si>
  <si>
    <t>ORD00674</t>
  </si>
  <si>
    <t>ORD00675</t>
  </si>
  <si>
    <t>ORD00676</t>
  </si>
  <si>
    <t>CUST296</t>
  </si>
  <si>
    <t>ORD00677</t>
  </si>
  <si>
    <t>CUST344</t>
  </si>
  <si>
    <t>ORD00678</t>
  </si>
  <si>
    <t>ORD00679</t>
  </si>
  <si>
    <t>CUST683</t>
  </si>
  <si>
    <t>ORD00680</t>
  </si>
  <si>
    <t>ORD00681</t>
  </si>
  <si>
    <t>ORD00682</t>
  </si>
  <si>
    <t>ORD00683</t>
  </si>
  <si>
    <t>CUST996</t>
  </si>
  <si>
    <t>ORD00684</t>
  </si>
  <si>
    <t>CUST667</t>
  </si>
  <si>
    <t>ORD00685</t>
  </si>
  <si>
    <t>CUST835</t>
  </si>
  <si>
    <t>ORD00686</t>
  </si>
  <si>
    <t>ORD00687</t>
  </si>
  <si>
    <t>ORD00688</t>
  </si>
  <si>
    <t>ORD00689</t>
  </si>
  <si>
    <t>CUST700</t>
  </si>
  <si>
    <t>ORD00690</t>
  </si>
  <si>
    <t>ORD00691</t>
  </si>
  <si>
    <t>CUST195</t>
  </si>
  <si>
    <t>ORD00692</t>
  </si>
  <si>
    <t>CUST176</t>
  </si>
  <si>
    <t>ORD00693</t>
  </si>
  <si>
    <t>CUST511</t>
  </si>
  <si>
    <t>ORD00694</t>
  </si>
  <si>
    <t>CUST471</t>
  </si>
  <si>
    <t>ORD00695</t>
  </si>
  <si>
    <t>CUST451</t>
  </si>
  <si>
    <t>ORD00696</t>
  </si>
  <si>
    <t>ORD00697</t>
  </si>
  <si>
    <t>CUST104</t>
  </si>
  <si>
    <t>ORD00698</t>
  </si>
  <si>
    <t>ORD00699</t>
  </si>
  <si>
    <t>CUST149</t>
  </si>
  <si>
    <t>ORD00700</t>
  </si>
  <si>
    <t>ORD00701</t>
  </si>
  <si>
    <t>CUST724</t>
  </si>
  <si>
    <t>ORD00702</t>
  </si>
  <si>
    <t>CUST758</t>
  </si>
  <si>
    <t>ORD00703</t>
  </si>
  <si>
    <t>CUST573</t>
  </si>
  <si>
    <t>ORD00704</t>
  </si>
  <si>
    <t>ORD00705</t>
  </si>
  <si>
    <t>CUST915</t>
  </si>
  <si>
    <t>ORD00706</t>
  </si>
  <si>
    <t>CUST482</t>
  </si>
  <si>
    <t>ORD00707</t>
  </si>
  <si>
    <t>CUST346</t>
  </si>
  <si>
    <t>ORD00708</t>
  </si>
  <si>
    <t>ORD00709</t>
  </si>
  <si>
    <t>ORD00710</t>
  </si>
  <si>
    <t>ORD00711</t>
  </si>
  <si>
    <t>ORD00712</t>
  </si>
  <si>
    <t>ORD00713</t>
  </si>
  <si>
    <t>ORD00714</t>
  </si>
  <si>
    <t>CUST834</t>
  </si>
  <si>
    <t>ORD00715</t>
  </si>
  <si>
    <t>ORD00716</t>
  </si>
  <si>
    <t>CUST170</t>
  </si>
  <si>
    <t>ORD00717</t>
  </si>
  <si>
    <t>CUST898</t>
  </si>
  <si>
    <t>ORD00718</t>
  </si>
  <si>
    <t>ORD00719</t>
  </si>
  <si>
    <t>CUST189</t>
  </si>
  <si>
    <t>ORD00720</t>
  </si>
  <si>
    <t>ORD00721</t>
  </si>
  <si>
    <t>ORD00722</t>
  </si>
  <si>
    <t>CUST711</t>
  </si>
  <si>
    <t>ORD00723</t>
  </si>
  <si>
    <t>ORD00724</t>
  </si>
  <si>
    <t>ORD00725</t>
  </si>
  <si>
    <t>CUST628</t>
  </si>
  <si>
    <t>ORD00726</t>
  </si>
  <si>
    <t>ORD00727</t>
  </si>
  <si>
    <t>ORD00728</t>
  </si>
  <si>
    <t>ORD00729</t>
  </si>
  <si>
    <t>CUST403</t>
  </si>
  <si>
    <t>ORD00730</t>
  </si>
  <si>
    <t>CUST369</t>
  </si>
  <si>
    <t>ORD00731</t>
  </si>
  <si>
    <t>ORD00732</t>
  </si>
  <si>
    <t>ORD00733</t>
  </si>
  <si>
    <t>CUST192</t>
  </si>
  <si>
    <t>ORD00734</t>
  </si>
  <si>
    <t>ORD00735</t>
  </si>
  <si>
    <t>CUST693</t>
  </si>
  <si>
    <t>ORD00736</t>
  </si>
  <si>
    <t>ORD00737</t>
  </si>
  <si>
    <t>ORD00738</t>
  </si>
  <si>
    <t>ORD00739</t>
  </si>
  <si>
    <t>CUST426</t>
  </si>
  <si>
    <t>ORD00740</t>
  </si>
  <si>
    <t>ORD00741</t>
  </si>
  <si>
    <t>ORD00742</t>
  </si>
  <si>
    <t>ORD00743</t>
  </si>
  <si>
    <t>ORD00744</t>
  </si>
  <si>
    <t>ORD00745</t>
  </si>
  <si>
    <t>CUST327</t>
  </si>
  <si>
    <t>ORD00746</t>
  </si>
  <si>
    <t>CUST679</t>
  </si>
  <si>
    <t>ORD00747</t>
  </si>
  <si>
    <t>ORD00748</t>
  </si>
  <si>
    <t>ORD00749</t>
  </si>
  <si>
    <t>ORD00750</t>
  </si>
  <si>
    <t>ORD00751</t>
  </si>
  <si>
    <t>CUST875</t>
  </si>
  <si>
    <t>ORD00752</t>
  </si>
  <si>
    <t>ORD00753</t>
  </si>
  <si>
    <t>ORD00754</t>
  </si>
  <si>
    <t>ORD00755</t>
  </si>
  <si>
    <t>CUST701</t>
  </si>
  <si>
    <t>ORD00756</t>
  </si>
  <si>
    <t>ORD00757</t>
  </si>
  <si>
    <t>ORD00758</t>
  </si>
  <si>
    <t>ORD00759</t>
  </si>
  <si>
    <t>CUST518</t>
  </si>
  <si>
    <t>ORD00760</t>
  </si>
  <si>
    <t>ORD00761</t>
  </si>
  <si>
    <t>ORD00762</t>
  </si>
  <si>
    <t>ORD00763</t>
  </si>
  <si>
    <t>CUST836</t>
  </si>
  <si>
    <t>ORD00764</t>
  </si>
  <si>
    <t>ORD00765</t>
  </si>
  <si>
    <t>CUST438</t>
  </si>
  <si>
    <t>ORD00766</t>
  </si>
  <si>
    <t>ORD00767</t>
  </si>
  <si>
    <t>ORD00768</t>
  </si>
  <si>
    <t>ORD00769</t>
  </si>
  <si>
    <t>CUST849</t>
  </si>
  <si>
    <t>ORD00770</t>
  </si>
  <si>
    <t>ORD00771</t>
  </si>
  <si>
    <t>ORD00772</t>
  </si>
  <si>
    <t>CUST492</t>
  </si>
  <si>
    <t>ORD00773</t>
  </si>
  <si>
    <t>ORD00774</t>
  </si>
  <si>
    <t>ORD00775</t>
  </si>
  <si>
    <t>ORD00776</t>
  </si>
  <si>
    <t>ORD00777</t>
  </si>
  <si>
    <t>ORD00778</t>
  </si>
  <si>
    <t>ORD00779</t>
  </si>
  <si>
    <t>ORD00780</t>
  </si>
  <si>
    <t>CUST357</t>
  </si>
  <si>
    <t>ORD00781</t>
  </si>
  <si>
    <t>ORD00782</t>
  </si>
  <si>
    <t>CUST249</t>
  </si>
  <si>
    <t>ORD00783</t>
  </si>
  <si>
    <t>CUST417</t>
  </si>
  <si>
    <t>ORD00784</t>
  </si>
  <si>
    <t>ORD00785</t>
  </si>
  <si>
    <t>ORD00786</t>
  </si>
  <si>
    <t>ORD00787</t>
  </si>
  <si>
    <t>CUST942</t>
  </si>
  <si>
    <t>ORD00788</t>
  </si>
  <si>
    <t>CUST538</t>
  </si>
  <si>
    <t>ORD00789</t>
  </si>
  <si>
    <t>CUST882</t>
  </si>
  <si>
    <t>ORD00790</t>
  </si>
  <si>
    <t>ORD00791</t>
  </si>
  <si>
    <t>CUST545</t>
  </si>
  <si>
    <t>ORD00792</t>
  </si>
  <si>
    <t>ORD00793</t>
  </si>
  <si>
    <t>CUST641</t>
  </si>
  <si>
    <t>ORD00794</t>
  </si>
  <si>
    <t>ORD00795</t>
  </si>
  <si>
    <t>ORD00796</t>
  </si>
  <si>
    <t>CUST414</t>
  </si>
  <si>
    <t>ORD00797</t>
  </si>
  <si>
    <t>CUST487</t>
  </si>
  <si>
    <t>ORD00798</t>
  </si>
  <si>
    <t>ORD00799</t>
  </si>
  <si>
    <t>CUST552</t>
  </si>
  <si>
    <t>ORD00800</t>
  </si>
  <si>
    <t>ORD00801</t>
  </si>
  <si>
    <t>ORD00802</t>
  </si>
  <si>
    <t>ORD00803</t>
  </si>
  <si>
    <t>CUST818</t>
  </si>
  <si>
    <t>ORD00804</t>
  </si>
  <si>
    <t>ORD00805</t>
  </si>
  <si>
    <t>ORD00806</t>
  </si>
  <si>
    <t>ORD00807</t>
  </si>
  <si>
    <t>CUST827</t>
  </si>
  <si>
    <t>ORD00808</t>
  </si>
  <si>
    <t>CUST654</t>
  </si>
  <si>
    <t>ORD00809</t>
  </si>
  <si>
    <t>ORD00810</t>
  </si>
  <si>
    <t>CUST917</t>
  </si>
  <si>
    <t>ORD00811</t>
  </si>
  <si>
    <t>CUST745</t>
  </si>
  <si>
    <t>ORD00812</t>
  </si>
  <si>
    <t>ORD00813</t>
  </si>
  <si>
    <t>CUST765</t>
  </si>
  <si>
    <t>ORD00814</t>
  </si>
  <si>
    <t>ORD00815</t>
  </si>
  <si>
    <t>ORD00816</t>
  </si>
  <si>
    <t>ORD00817</t>
  </si>
  <si>
    <t>ORD00818</t>
  </si>
  <si>
    <t>CUST514</t>
  </si>
  <si>
    <t>ORD00819</t>
  </si>
  <si>
    <t>ORD00820</t>
  </si>
  <si>
    <t>ORD00821</t>
  </si>
  <si>
    <t>CUST190</t>
  </si>
  <si>
    <t>ORD00822</t>
  </si>
  <si>
    <t>ORD00823</t>
  </si>
  <si>
    <t>ORD00824</t>
  </si>
  <si>
    <t>ORD00825</t>
  </si>
  <si>
    <t>CUST869</t>
  </si>
  <si>
    <t>ORD00826</t>
  </si>
  <si>
    <t>CUST730</t>
  </si>
  <si>
    <t>ORD00827</t>
  </si>
  <si>
    <t>ORD00828</t>
  </si>
  <si>
    <t>ORD00829</t>
  </si>
  <si>
    <t>CUST773</t>
  </si>
  <si>
    <t>ORD00830</t>
  </si>
  <si>
    <t>ORD00831</t>
  </si>
  <si>
    <t>ORD00832</t>
  </si>
  <si>
    <t>ORD00833</t>
  </si>
  <si>
    <t>ORD00834</t>
  </si>
  <si>
    <t>ORD00835</t>
  </si>
  <si>
    <t>CUST594</t>
  </si>
  <si>
    <t>ORD00836</t>
  </si>
  <si>
    <t>CUST305</t>
  </si>
  <si>
    <t>ORD00837</t>
  </si>
  <si>
    <t>ORD00838</t>
  </si>
  <si>
    <t>ORD00839</t>
  </si>
  <si>
    <t>ORD00840</t>
  </si>
  <si>
    <t>ORD00841</t>
  </si>
  <si>
    <t>CUST397</t>
  </si>
  <si>
    <t>ORD00842</t>
  </si>
  <si>
    <t>CUST288</t>
  </si>
  <si>
    <t>ORD00843</t>
  </si>
  <si>
    <t>ORD00844</t>
  </si>
  <si>
    <t>ORD00845</t>
  </si>
  <si>
    <t>CUST162</t>
  </si>
  <si>
    <t>ORD00846</t>
  </si>
  <si>
    <t>CUST459</t>
  </si>
  <si>
    <t>ORD00847</t>
  </si>
  <si>
    <t>ORD00848</t>
  </si>
  <si>
    <t>CUST891</t>
  </si>
  <si>
    <t>ORD00849</t>
  </si>
  <si>
    <t>CUST681</t>
  </si>
  <si>
    <t>ORD00850</t>
  </si>
  <si>
    <t>ORD00851</t>
  </si>
  <si>
    <t>ORD00852</t>
  </si>
  <si>
    <t>CUST495</t>
  </si>
  <si>
    <t>ORD00853</t>
  </si>
  <si>
    <t>ORD00854</t>
  </si>
  <si>
    <t>ORD00855</t>
  </si>
  <si>
    <t>CUST177</t>
  </si>
  <si>
    <t>ORD00856</t>
  </si>
  <si>
    <t>CUST219</t>
  </si>
  <si>
    <t>ORD00857</t>
  </si>
  <si>
    <t>CUST763</t>
  </si>
  <si>
    <t>ORD00858</t>
  </si>
  <si>
    <t>CUST418</t>
  </si>
  <si>
    <t>ORD00859</t>
  </si>
  <si>
    <t>CUST830</t>
  </si>
  <si>
    <t>ORD00860</t>
  </si>
  <si>
    <t>ORD00861</t>
  </si>
  <si>
    <t>CUST312</t>
  </si>
  <si>
    <t>ORD00862</t>
  </si>
  <si>
    <t>ORD00863</t>
  </si>
  <si>
    <t>ORD00864</t>
  </si>
  <si>
    <t>CUST293</t>
  </si>
  <si>
    <t>ORD00865</t>
  </si>
  <si>
    <t>ORD00866</t>
  </si>
  <si>
    <t>CUST379</t>
  </si>
  <si>
    <t>ORD00867</t>
  </si>
  <si>
    <t>CUST366</t>
  </si>
  <si>
    <t>ORD00868</t>
  </si>
  <si>
    <t>CUST770</t>
  </si>
  <si>
    <t>ORD00869</t>
  </si>
  <si>
    <t>ORD00870</t>
  </si>
  <si>
    <t>CUST103</t>
  </si>
  <si>
    <t>ORD00871</t>
  </si>
  <si>
    <t>ORD00872</t>
  </si>
  <si>
    <t>CUST685</t>
  </si>
  <si>
    <t>ORD00873</t>
  </si>
  <si>
    <t>ORD00874</t>
  </si>
  <si>
    <t>ORD00875</t>
  </si>
  <si>
    <t>ORD00876</t>
  </si>
  <si>
    <t>CUST458</t>
  </si>
  <si>
    <t>ORD00877</t>
  </si>
  <si>
    <t>CUST929</t>
  </si>
  <si>
    <t>ORD00878</t>
  </si>
  <si>
    <t>ORD00879</t>
  </si>
  <si>
    <t>CUST419</t>
  </si>
  <si>
    <t>ORD00880</t>
  </si>
  <si>
    <t>ORD00881</t>
  </si>
  <si>
    <t>ORD00882</t>
  </si>
  <si>
    <t>ORD00883</t>
  </si>
  <si>
    <t>CUST321</t>
  </si>
  <si>
    <t>ORD00884</t>
  </si>
  <si>
    <t>CUST575</t>
  </si>
  <si>
    <t>ORD00885</t>
  </si>
  <si>
    <t>CUST250</t>
  </si>
  <si>
    <t>ORD00886</t>
  </si>
  <si>
    <t>ORD00887</t>
  </si>
  <si>
    <t>CUST553</t>
  </si>
  <si>
    <t>ORD00888</t>
  </si>
  <si>
    <t>ORD00889</t>
  </si>
  <si>
    <t>ORD00890</t>
  </si>
  <si>
    <t>CUST935</t>
  </si>
  <si>
    <t>ORD00891</t>
  </si>
  <si>
    <t>ORD00892</t>
  </si>
  <si>
    <t>ORD00893</t>
  </si>
  <si>
    <t>ORD00894</t>
  </si>
  <si>
    <t>ORD00895</t>
  </si>
  <si>
    <t>CUST900</t>
  </si>
  <si>
    <t>ORD00896</t>
  </si>
  <si>
    <t>ORD00897</t>
  </si>
  <si>
    <t>ORD00898</t>
  </si>
  <si>
    <t>ORD00899</t>
  </si>
  <si>
    <t>ORD00900</t>
  </si>
  <si>
    <t>CUST294</t>
  </si>
  <si>
    <t>ORD00901</t>
  </si>
  <si>
    <t>ORD00902</t>
  </si>
  <si>
    <t>ORD00903</t>
  </si>
  <si>
    <t>ORD00904</t>
  </si>
  <si>
    <t>CUST702</t>
  </si>
  <si>
    <t>ORD00905</t>
  </si>
  <si>
    <t>CUST703</t>
  </si>
  <si>
    <t>ORD00906</t>
  </si>
  <si>
    <t>ORD00907</t>
  </si>
  <si>
    <t>ORD00908</t>
  </si>
  <si>
    <t>CUST853</t>
  </si>
  <si>
    <t>ORD00909</t>
  </si>
  <si>
    <t>ORD00910</t>
  </si>
  <si>
    <t>ORD00911</t>
  </si>
  <si>
    <t>ORD00912</t>
  </si>
  <si>
    <t>ORD00913</t>
  </si>
  <si>
    <t>CUST107</t>
  </si>
  <si>
    <t>ORD00914</t>
  </si>
  <si>
    <t>ORD00915</t>
  </si>
  <si>
    <t>CUST605</t>
  </si>
  <si>
    <t>ORD00916</t>
  </si>
  <si>
    <t>ORD00917</t>
  </si>
  <si>
    <t>CUST223</t>
  </si>
  <si>
    <t>ORD00918</t>
  </si>
  <si>
    <t>CUST283</t>
  </si>
  <si>
    <t>ORD00919</t>
  </si>
  <si>
    <t>ORD00920</t>
  </si>
  <si>
    <t>ORD00921</t>
  </si>
  <si>
    <t>ORD00922</t>
  </si>
  <si>
    <t>CUST251</t>
  </si>
  <si>
    <t>ORD00923</t>
  </si>
  <si>
    <t>CUST613</t>
  </si>
  <si>
    <t>ORD00924</t>
  </si>
  <si>
    <t>ORD00925</t>
  </si>
  <si>
    <t>ORD00926</t>
  </si>
  <si>
    <t>CUST300</t>
  </si>
  <si>
    <t>ORD00927</t>
  </si>
  <si>
    <t>ORD00928</t>
  </si>
  <si>
    <t>ORD00929</t>
  </si>
  <si>
    <t>ORD00930</t>
  </si>
  <si>
    <t>CUST222</t>
  </si>
  <si>
    <t>ORD00931</t>
  </si>
  <si>
    <t>ORD00932</t>
  </si>
  <si>
    <t>ORD00933</t>
  </si>
  <si>
    <t>ORD00934</t>
  </si>
  <si>
    <t>ORD00935</t>
  </si>
  <si>
    <t>ORD00936</t>
  </si>
  <si>
    <t>CUST368</t>
  </si>
  <si>
    <t>ORD00937</t>
  </si>
  <si>
    <t>ORD00938</t>
  </si>
  <si>
    <t>ORD00939</t>
  </si>
  <si>
    <t>ORD00940</t>
  </si>
  <si>
    <t>CUST232</t>
  </si>
  <si>
    <t>ORD00941</t>
  </si>
  <si>
    <t>CUST928</t>
  </si>
  <si>
    <t>ORD00942</t>
  </si>
  <si>
    <t>ORD00943</t>
  </si>
  <si>
    <t>ORD00944</t>
  </si>
  <si>
    <t>CUST621</t>
  </si>
  <si>
    <t>ORD00945</t>
  </si>
  <si>
    <t>ORD00946</t>
  </si>
  <si>
    <t>CUST501</t>
  </si>
  <si>
    <t>ORD00947</t>
  </si>
  <si>
    <t>ORD00948</t>
  </si>
  <si>
    <t>ORD00949</t>
  </si>
  <si>
    <t>CUST787</t>
  </si>
  <si>
    <t>ORD00950</t>
  </si>
  <si>
    <t>CUST171</t>
  </si>
  <si>
    <t>ORD00951</t>
  </si>
  <si>
    <t>CUST398</t>
  </si>
  <si>
    <t>ORD00952</t>
  </si>
  <si>
    <t>ORD00953</t>
  </si>
  <si>
    <t>ORD00954</t>
  </si>
  <si>
    <t>CUST761</t>
  </si>
  <si>
    <t>ORD00955</t>
  </si>
  <si>
    <t>ORD00956</t>
  </si>
  <si>
    <t>ORD00957</t>
  </si>
  <si>
    <t>ORD00958</t>
  </si>
  <si>
    <t>ORD00959</t>
  </si>
  <si>
    <t>ORD00960</t>
  </si>
  <si>
    <t>ORD00961</t>
  </si>
  <si>
    <t>ORD00962</t>
  </si>
  <si>
    <t>ORD00963</t>
  </si>
  <si>
    <t>ORD00964</t>
  </si>
  <si>
    <t>ORD00965</t>
  </si>
  <si>
    <t>CUST175</t>
  </si>
  <si>
    <t>ORD00966</t>
  </si>
  <si>
    <t>ORD00967</t>
  </si>
  <si>
    <t>ORD00968</t>
  </si>
  <si>
    <t>ORD00969</t>
  </si>
  <si>
    <t>CUST466</t>
  </si>
  <si>
    <t>ORD00970</t>
  </si>
  <si>
    <t>CUST886</t>
  </si>
  <si>
    <t>ORD00971</t>
  </si>
  <si>
    <t>CUST692</t>
  </si>
  <si>
    <t>ORD00972</t>
  </si>
  <si>
    <t>ORD00973</t>
  </si>
  <si>
    <t>CUST798</t>
  </si>
  <si>
    <t>ORD00974</t>
  </si>
  <si>
    <t>ORD00975</t>
  </si>
  <si>
    <t>ORD00976</t>
  </si>
  <si>
    <t>ORD00977</t>
  </si>
  <si>
    <t>ORD00978</t>
  </si>
  <si>
    <t>ORD00979</t>
  </si>
  <si>
    <t>ORD00980</t>
  </si>
  <si>
    <t>ORD00981</t>
  </si>
  <si>
    <t>CUST139</t>
  </si>
  <si>
    <t>ORD00982</t>
  </si>
  <si>
    <t>CUST106</t>
  </si>
  <si>
    <t>ORD00983</t>
  </si>
  <si>
    <t>ORD00984</t>
  </si>
  <si>
    <t>CUST396</t>
  </si>
  <si>
    <t>ORD00985</t>
  </si>
  <si>
    <t>ORD00986</t>
  </si>
  <si>
    <t>CUST180</t>
  </si>
  <si>
    <t>ORD00987</t>
  </si>
  <si>
    <t>CUST544</t>
  </si>
  <si>
    <t>ORD00988</t>
  </si>
  <si>
    <t>ORD00989</t>
  </si>
  <si>
    <t>CUST852</t>
  </si>
  <si>
    <t>ORD00990</t>
  </si>
  <si>
    <t>ORD00991</t>
  </si>
  <si>
    <t>ORD00992</t>
  </si>
  <si>
    <t>ORD00993</t>
  </si>
  <si>
    <t>CUST225</t>
  </si>
  <si>
    <t>ORD00994</t>
  </si>
  <si>
    <t>ORD00995</t>
  </si>
  <si>
    <t>CUST205</t>
  </si>
  <si>
    <t>ORD00996</t>
  </si>
  <si>
    <t>ORD00997</t>
  </si>
  <si>
    <t>CUST522</t>
  </si>
  <si>
    <t>ORD00998</t>
  </si>
  <si>
    <t>CUST640</t>
  </si>
  <si>
    <t>ORD00999</t>
  </si>
  <si>
    <t>ORD01000</t>
  </si>
  <si>
    <t>Row Labels</t>
  </si>
  <si>
    <t>Grand Total</t>
  </si>
  <si>
    <t>Jan</t>
  </si>
  <si>
    <t>Feb</t>
  </si>
  <si>
    <t>Mar</t>
  </si>
  <si>
    <t>Apr</t>
  </si>
  <si>
    <t>May</t>
  </si>
  <si>
    <t>Jun</t>
  </si>
  <si>
    <t>Jul</t>
  </si>
  <si>
    <t>Aug</t>
  </si>
  <si>
    <t>Sep</t>
  </si>
  <si>
    <t>Oct</t>
  </si>
  <si>
    <t>Nov</t>
  </si>
  <si>
    <t>Dec</t>
  </si>
  <si>
    <t>Sum of TotalAmount</t>
  </si>
  <si>
    <t>Average of DeliveryDays</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</si>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</sst>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6" formatCode="_(* #,##0.0_);_(* \(#,##0.0\);_(* &quot;-&quot;??_);_(@_)"/>
  </numFmts>
  <fonts count="4" x14ac:knownFonts="1">
    <font>
      <sz val="11"/>
      <color theme="1"/>
      <name val="Aptos Narrow"/>
      <family val="2"/>
      <scheme val="minor"/>
    </font>
    <font>
      <sz val="10"/>
      <color indexed="9"/>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indexed="20"/>
        <bgColor indexed="24"/>
      </patternFill>
    </fill>
    <fill>
      <patternFill patternType="solid">
        <fgColor theme="4" tint="0.79998168889431442"/>
        <bgColor theme="4" tint="0.79998168889431442"/>
      </patternFill>
    </fill>
    <fill>
      <patternFill patternType="solid">
        <fgColor theme="0"/>
        <bgColor indexed="64"/>
      </patternFill>
    </fill>
  </fills>
  <borders count="4">
    <border>
      <left/>
      <right/>
      <top/>
      <bottom/>
      <diagonal/>
    </border>
    <border>
      <left/>
      <right/>
      <top style="medium">
        <color indexed="64"/>
      </top>
      <bottom style="thin">
        <color indexed="64"/>
      </bottom>
      <diagonal/>
    </border>
    <border>
      <left/>
      <right/>
      <top/>
      <bottom style="medium">
        <color indexed="64"/>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2" borderId="1" xfId="0" applyFont="1" applyFill="1" applyBorder="1" applyAlignment="1">
      <alignment horizontal="right"/>
    </xf>
    <xf numFmtId="15" fontId="0" fillId="0" borderId="0" xfId="0" applyNumberFormat="1"/>
    <xf numFmtId="0" fontId="0" fillId="0" borderId="0" xfId="0" applyAlignment="1">
      <alignment horizontal="center"/>
    </xf>
    <xf numFmtId="0" fontId="0" fillId="0" borderId="2" xfId="0" applyBorder="1"/>
    <xf numFmtId="15" fontId="0" fillId="0" borderId="2" xfId="0" applyNumberFormat="1" applyBorder="1"/>
    <xf numFmtId="0" fontId="0" fillId="0" borderId="0" xfId="0" pivotButton="1"/>
    <xf numFmtId="0" fontId="0" fillId="0" borderId="0" xfId="0" applyAlignment="1">
      <alignment horizontal="left"/>
    </xf>
    <xf numFmtId="10" fontId="0" fillId="0" borderId="0" xfId="0" applyNumberFormat="1"/>
    <xf numFmtId="43" fontId="0" fillId="0" borderId="0" xfId="0" applyNumberFormat="1"/>
    <xf numFmtId="164" fontId="0" fillId="0" borderId="0" xfId="0" applyNumberFormat="1"/>
    <xf numFmtId="0" fontId="3" fillId="3" borderId="3" xfId="0" applyFont="1" applyFill="1" applyBorder="1"/>
    <xf numFmtId="9" fontId="0" fillId="0" borderId="0" xfId="1" applyFont="1"/>
    <xf numFmtId="0" fontId="0" fillId="4" borderId="0" xfId="0" applyFill="1"/>
    <xf numFmtId="166" fontId="0" fillId="0" borderId="0" xfId="0" applyNumberFormat="1"/>
  </cellXfs>
  <cellStyles count="2">
    <cellStyle name="Normal" xfId="0" builtinId="0"/>
    <cellStyle name="Percent" xfId="1" builtinId="5"/>
  </cellStyles>
  <dxfs count="3">
    <dxf>
      <numFmt numFmtId="164" formatCode="_(* #,##0_);_(* \(#,##0\);_(* &quot;-&quot;??_);_(@_)"/>
    </dxf>
    <dxf>
      <numFmt numFmtId="164" formatCode="_(* #,##0_);_(* \(#,##0\);_(* &quot;-&quot;??_);_(@_)"/>
    </dxf>
    <dxf>
      <numFmt numFmtId="164" formatCode="_(* #,##0_);_(* \(#,##0\);_(* &quot;-&quot;??_);_(@_)"/>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dashbboard 2026.xlsx]Kpi's!month</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88341530178643"/>
          <c:y val="6.4428472218634666E-2"/>
          <c:w val="0.71938949818340936"/>
          <c:h val="0.84204505686789155"/>
        </c:manualLayout>
      </c:layout>
      <c:barChart>
        <c:barDir val="bar"/>
        <c:grouping val="clustered"/>
        <c:varyColors val="0"/>
        <c:ser>
          <c:idx val="0"/>
          <c:order val="0"/>
          <c:tx>
            <c:strRef>
              <c:f>'Kpi''s'!$B$3</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0.00%</c:formatCode>
                <c:ptCount val="12"/>
                <c:pt idx="0">
                  <c:v>8.56446883512961E-2</c:v>
                </c:pt>
                <c:pt idx="1">
                  <c:v>6.2402314359933889E-2</c:v>
                </c:pt>
                <c:pt idx="2">
                  <c:v>8.407114888656364E-2</c:v>
                </c:pt>
                <c:pt idx="3">
                  <c:v>8.0622742011264376E-2</c:v>
                </c:pt>
                <c:pt idx="4">
                  <c:v>7.8644186091685345E-2</c:v>
                </c:pt>
                <c:pt idx="5">
                  <c:v>6.8126935856369378E-2</c:v>
                </c:pt>
                <c:pt idx="6">
                  <c:v>8.9830498646926327E-2</c:v>
                </c:pt>
                <c:pt idx="7">
                  <c:v>8.8095021606248089E-2</c:v>
                </c:pt>
                <c:pt idx="8">
                  <c:v>8.9153586182441749E-2</c:v>
                </c:pt>
                <c:pt idx="9">
                  <c:v>8.6356432973028044E-2</c:v>
                </c:pt>
                <c:pt idx="10">
                  <c:v>8.2522954184893166E-2</c:v>
                </c:pt>
                <c:pt idx="11">
                  <c:v>0.10452949084934995</c:v>
                </c:pt>
              </c:numCache>
            </c:numRef>
          </c:val>
          <c:extLst>
            <c:ext xmlns:c16="http://schemas.microsoft.com/office/drawing/2014/chart" uri="{C3380CC4-5D6E-409C-BE32-E72D297353CC}">
              <c16:uniqueId val="{00000000-07BD-445D-A0CB-D71BEEF15E33}"/>
            </c:ext>
          </c:extLst>
        </c:ser>
        <c:dLbls>
          <c:dLblPos val="outEnd"/>
          <c:showLegendKey val="0"/>
          <c:showVal val="1"/>
          <c:showCatName val="0"/>
          <c:showSerName val="0"/>
          <c:showPercent val="0"/>
          <c:showBubbleSize val="0"/>
        </c:dLbls>
        <c:gapWidth val="182"/>
        <c:axId val="818791568"/>
        <c:axId val="690010288"/>
      </c:barChart>
      <c:catAx>
        <c:axId val="818791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10288"/>
        <c:crosses val="autoZero"/>
        <c:auto val="1"/>
        <c:lblAlgn val="ctr"/>
        <c:lblOffset val="100"/>
        <c:noMultiLvlLbl val="0"/>
      </c:catAx>
      <c:valAx>
        <c:axId val="690010288"/>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9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dashbboard 2026.xlsx]Kpi's!brand</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16188949417538"/>
          <c:y val="7.3938576962715288E-2"/>
          <c:w val="0.70723506342370224"/>
          <c:h val="0.84204505686789155"/>
        </c:manualLayout>
      </c:layout>
      <c:barChart>
        <c:barDir val="bar"/>
        <c:grouping val="clustered"/>
        <c:varyColors val="0"/>
        <c:ser>
          <c:idx val="0"/>
          <c:order val="0"/>
          <c:tx>
            <c:strRef>
              <c:f>'Kpi''s'!$J$3</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'Kpi''s'!$I$4:$I$14</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'Kpi''s'!$J$4:$J$14</c:f>
              <c:numCache>
                <c:formatCode>0.00%</c:formatCode>
                <c:ptCount val="10"/>
                <c:pt idx="0">
                  <c:v>7.5605540794069045E-2</c:v>
                </c:pt>
                <c:pt idx="1">
                  <c:v>9.8825594954492446E-2</c:v>
                </c:pt>
                <c:pt idx="2">
                  <c:v>0.11045782681432896</c:v>
                </c:pt>
                <c:pt idx="3">
                  <c:v>0.11831345304834903</c:v>
                </c:pt>
                <c:pt idx="4">
                  <c:v>9.4789188088422544E-2</c:v>
                </c:pt>
                <c:pt idx="5">
                  <c:v>9.7033368233294004E-2</c:v>
                </c:pt>
                <c:pt idx="6">
                  <c:v>0.10066246753645394</c:v>
                </c:pt>
                <c:pt idx="7">
                  <c:v>0.10197751335383029</c:v>
                </c:pt>
                <c:pt idx="8">
                  <c:v>8.4144933724196513E-2</c:v>
                </c:pt>
                <c:pt idx="9">
                  <c:v>0.11819011345256311</c:v>
                </c:pt>
              </c:numCache>
            </c:numRef>
          </c:val>
          <c:extLst>
            <c:ext xmlns:c16="http://schemas.microsoft.com/office/drawing/2014/chart" uri="{C3380CC4-5D6E-409C-BE32-E72D297353CC}">
              <c16:uniqueId val="{00000000-9042-4188-A3BE-3C48E9DBCAB8}"/>
            </c:ext>
          </c:extLst>
        </c:ser>
        <c:dLbls>
          <c:dLblPos val="outEnd"/>
          <c:showLegendKey val="0"/>
          <c:showVal val="1"/>
          <c:showCatName val="0"/>
          <c:showSerName val="0"/>
          <c:showPercent val="0"/>
          <c:showBubbleSize val="0"/>
        </c:dLbls>
        <c:gapWidth val="182"/>
        <c:axId val="927864768"/>
        <c:axId val="690088048"/>
      </c:barChart>
      <c:catAx>
        <c:axId val="927864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88048"/>
        <c:crosses val="autoZero"/>
        <c:auto val="1"/>
        <c:lblAlgn val="ctr"/>
        <c:lblOffset val="100"/>
        <c:noMultiLvlLbl val="0"/>
      </c:catAx>
      <c:valAx>
        <c:axId val="6900880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6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2000">
          <a:schemeClr val="bg1"/>
        </a:gs>
        <a:gs pos="96000">
          <a:schemeClr val="accent4">
            <a:lumMod val="97000"/>
            <a:lumOff val="3000"/>
          </a:schemeClr>
        </a:gs>
        <a:gs pos="12000">
          <a:srgbClr val="FFFF66"/>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dashbboard 2026.xlsx]Kpi's!payment method</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tx2">
                <a:lumMod val="90000"/>
                <a:lumOff val="1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31000946177686"/>
          <c:y val="7.4074204433344087E-2"/>
          <c:w val="0.77591101591686285"/>
          <c:h val="0.79118839311752698"/>
        </c:manualLayout>
      </c:layout>
      <c:barChart>
        <c:barDir val="col"/>
        <c:grouping val="clustered"/>
        <c:varyColors val="0"/>
        <c:ser>
          <c:idx val="0"/>
          <c:order val="0"/>
          <c:tx>
            <c:strRef>
              <c:f>'Kpi''s'!$N$3</c:f>
              <c:strCache>
                <c:ptCount val="1"/>
                <c:pt idx="0">
                  <c:v>Total</c:v>
                </c:pt>
              </c:strCache>
            </c:strRef>
          </c:tx>
          <c:spPr>
            <a:solidFill>
              <a:schemeClr val="accent1"/>
            </a:solidFill>
            <a:ln>
              <a:noFill/>
            </a:ln>
            <a:effectLst/>
          </c:spPr>
          <c:invertIfNegative val="0"/>
          <c:dLbls>
            <c:spPr>
              <a:solidFill>
                <a:schemeClr val="tx2">
                  <a:lumMod val="90000"/>
                  <a:lumOff val="1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'Kpi''s'!$M$4:$M$8</c:f>
              <c:strCache>
                <c:ptCount val="4"/>
                <c:pt idx="0">
                  <c:v>Card</c:v>
                </c:pt>
                <c:pt idx="1">
                  <c:v>Cash on Delivery</c:v>
                </c:pt>
                <c:pt idx="2">
                  <c:v>Net Banking</c:v>
                </c:pt>
                <c:pt idx="3">
                  <c:v>UPI</c:v>
                </c:pt>
              </c:strCache>
            </c:strRef>
          </c:cat>
          <c:val>
            <c:numRef>
              <c:f>'Kpi''s'!$N$4:$N$8</c:f>
              <c:numCache>
                <c:formatCode>0.00%</c:formatCode>
                <c:ptCount val="4"/>
                <c:pt idx="0">
                  <c:v>0.23484261593252237</c:v>
                </c:pt>
                <c:pt idx="1">
                  <c:v>0.24382527603609319</c:v>
                </c:pt>
                <c:pt idx="2">
                  <c:v>0.25601057741513</c:v>
                </c:pt>
                <c:pt idx="3">
                  <c:v>0.26532153061625435</c:v>
                </c:pt>
              </c:numCache>
            </c:numRef>
          </c:val>
          <c:extLst>
            <c:ext xmlns:c16="http://schemas.microsoft.com/office/drawing/2014/chart" uri="{C3380CC4-5D6E-409C-BE32-E72D297353CC}">
              <c16:uniqueId val="{00000000-0EC7-4AD6-B81B-4E07F350326B}"/>
            </c:ext>
          </c:extLst>
        </c:ser>
        <c:dLbls>
          <c:dLblPos val="outEnd"/>
          <c:showLegendKey val="0"/>
          <c:showVal val="1"/>
          <c:showCatName val="0"/>
          <c:showSerName val="0"/>
          <c:showPercent val="0"/>
          <c:showBubbleSize val="0"/>
        </c:dLbls>
        <c:gapWidth val="219"/>
        <c:overlap val="-27"/>
        <c:axId val="927804448"/>
        <c:axId val="689994928"/>
      </c:barChart>
      <c:catAx>
        <c:axId val="92780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94928"/>
        <c:crosses val="autoZero"/>
        <c:auto val="1"/>
        <c:lblAlgn val="ctr"/>
        <c:lblOffset val="100"/>
        <c:noMultiLvlLbl val="0"/>
      </c:catAx>
      <c:valAx>
        <c:axId val="6899949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04448"/>
        <c:crosses val="autoZero"/>
        <c:crossBetween val="between"/>
      </c:valAx>
      <c:spPr>
        <a:gradFill>
          <a:gsLst>
            <a:gs pos="48000">
              <a:schemeClr val="bg1"/>
            </a:gs>
            <a:gs pos="96000">
              <a:schemeClr val="accent4">
                <a:lumMod val="97000"/>
                <a:lumOff val="3000"/>
              </a:schemeClr>
            </a:gs>
            <a:gs pos="12000">
              <a:srgbClr val="FFFF00"/>
            </a:gs>
          </a:gsLst>
          <a:lin ang="162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8000">
          <a:schemeClr val="bg1"/>
        </a:gs>
        <a:gs pos="96000">
          <a:schemeClr val="accent4">
            <a:lumMod val="97000"/>
            <a:lumOff val="3000"/>
          </a:schemeClr>
        </a:gs>
        <a:gs pos="12000">
          <a:srgbClr val="FFFF66"/>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dashbboard 2026.xlsx]Kpi's!order channel</c:name>
    <c:fmtId val="6"/>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76000"/>
            </a:schemeClr>
          </a:solidFill>
          <a:ln w="19050">
            <a:solidFill>
              <a:schemeClr val="lt1"/>
            </a:solidFill>
          </a:ln>
          <a:effectLst/>
        </c:spPr>
      </c:pivotFmt>
      <c:pivotFmt>
        <c:idx val="3"/>
        <c:spPr>
          <a:solidFill>
            <a:schemeClr val="accent4">
              <a:tint val="77000"/>
            </a:schemeClr>
          </a:solidFill>
          <a:ln w="19050">
            <a:solidFill>
              <a:schemeClr val="lt1"/>
            </a:solidFill>
          </a:ln>
          <a:effectLst/>
        </c:spPr>
      </c:pivotFmt>
      <c:pivotFmt>
        <c:idx val="4"/>
        <c:spPr>
          <a:solidFill>
            <a:schemeClr val="accent4"/>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a:scene3d>
            <a:camera prst="orthographicFront"/>
            <a:lightRig rig="threePt" dir="t"/>
          </a:scene3d>
          <a:sp3d>
            <a:bevelT/>
          </a:sp3d>
        </c:spPr>
      </c:pivotFmt>
      <c:pivotFmt>
        <c:idx val="6"/>
        <c:spPr>
          <a:solidFill>
            <a:schemeClr val="accent1">
              <a:lumMod val="75000"/>
            </a:schemeClr>
          </a:solidFill>
          <a:ln w="19050">
            <a:solidFill>
              <a:schemeClr val="lt1"/>
            </a:solidFill>
          </a:ln>
          <a:effectLst/>
          <a:scene3d>
            <a:camera prst="orthographicFront"/>
            <a:lightRig rig="threePt" dir="t"/>
          </a:scene3d>
          <a:sp3d>
            <a:bevelT/>
          </a:sp3d>
        </c:spPr>
      </c:pivotFmt>
    </c:pivotFmts>
    <c:plotArea>
      <c:layout>
        <c:manualLayout>
          <c:layoutTarget val="inner"/>
          <c:xMode val="edge"/>
          <c:yMode val="edge"/>
          <c:x val="0.18379568033501048"/>
          <c:y val="0.11342592592592593"/>
          <c:w val="0.63240863932997904"/>
          <c:h val="0.77314814814814814"/>
        </c:manualLayout>
      </c:layout>
      <c:pieChart>
        <c:varyColors val="1"/>
        <c:ser>
          <c:idx val="0"/>
          <c:order val="0"/>
          <c:tx>
            <c:strRef>
              <c:f>'Kpi''s'!$R$3</c:f>
              <c:strCache>
                <c:ptCount val="1"/>
                <c:pt idx="0">
                  <c:v>Total</c:v>
                </c:pt>
              </c:strCache>
            </c:strRef>
          </c:tx>
          <c:spPr>
            <a:scene3d>
              <a:camera prst="orthographicFront"/>
              <a:lightRig rig="threePt" dir="t"/>
            </a:scene3d>
            <a:sp3d>
              <a:bevelT/>
            </a:sp3d>
          </c:spPr>
          <c:dPt>
            <c:idx val="0"/>
            <c:bubble3D val="0"/>
            <c:spPr>
              <a:solidFill>
                <a:srgbClr val="FFC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A6B0-47CA-874D-961B8C962075}"/>
              </c:ext>
            </c:extLst>
          </c:dPt>
          <c:dPt>
            <c:idx val="1"/>
            <c:bubble3D val="0"/>
            <c:spPr>
              <a:solidFill>
                <a:schemeClr val="accent1">
                  <a:lumMod val="7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A6B0-47CA-874D-961B8C9620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'Kpi''s'!$Q$4:$Q$6</c:f>
              <c:strCache>
                <c:ptCount val="2"/>
                <c:pt idx="0">
                  <c:v>Mobile App</c:v>
                </c:pt>
                <c:pt idx="1">
                  <c:v>Website</c:v>
                </c:pt>
              </c:strCache>
            </c:strRef>
          </c:cat>
          <c:val>
            <c:numRef>
              <c:f>'Kpi''s'!$R$4:$R$6</c:f>
              <c:numCache>
                <c:formatCode>0.00%</c:formatCode>
                <c:ptCount val="2"/>
                <c:pt idx="0">
                  <c:v>0.50859993267120218</c:v>
                </c:pt>
                <c:pt idx="1">
                  <c:v>0.49140006732879776</c:v>
                </c:pt>
              </c:numCache>
            </c:numRef>
          </c:val>
          <c:extLst>
            <c:ext xmlns:c16="http://schemas.microsoft.com/office/drawing/2014/chart" uri="{C3380CC4-5D6E-409C-BE32-E72D297353CC}">
              <c16:uniqueId val="{00000004-A6B0-47CA-874D-961B8C96207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lumMod val="90000"/>
                  <a:lumOff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6000">
          <a:schemeClr val="accent4">
            <a:lumMod val="67000"/>
          </a:schemeClr>
        </a:gs>
        <a:gs pos="39000">
          <a:schemeClr val="accent4">
            <a:lumMod val="97000"/>
            <a:lumOff val="3000"/>
          </a:schemeClr>
        </a:gs>
        <a:gs pos="63000">
          <a:schemeClr val="accent4">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dashbboard 2026.xlsx]Kpi's!return</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scene3d>
            <a:camera prst="orthographicFront"/>
            <a:lightRig rig="threePt" dir="t"/>
          </a:scene3d>
          <a:sp3d>
            <a:bevelT/>
          </a:sp3d>
        </c:spPr>
      </c:pivotFmt>
      <c:pivotFmt>
        <c:idx val="6"/>
        <c:spPr>
          <a:solidFill>
            <a:srgbClr val="FFC000"/>
          </a:solidFill>
          <a:ln w="19050">
            <a:solidFill>
              <a:schemeClr val="lt1"/>
            </a:solidFill>
          </a:ln>
          <a:effectLst/>
          <a:scene3d>
            <a:camera prst="orthographicFront"/>
            <a:lightRig rig="threePt" dir="t"/>
          </a:scene3d>
          <a:sp3d>
            <a:bevelT/>
          </a:sp3d>
        </c:spPr>
      </c:pivotFmt>
    </c:pivotFmts>
    <c:plotArea>
      <c:layout/>
      <c:doughnutChart>
        <c:varyColors val="1"/>
        <c:ser>
          <c:idx val="0"/>
          <c:order val="0"/>
          <c:tx>
            <c:strRef>
              <c:f>'Kpi''s'!$Z$3</c:f>
              <c:strCache>
                <c:ptCount val="1"/>
                <c:pt idx="0">
                  <c:v>Total</c:v>
                </c:pt>
              </c:strCache>
            </c:strRef>
          </c:tx>
          <c:dPt>
            <c:idx val="0"/>
            <c:bubble3D val="0"/>
            <c:explosion val="2"/>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13FF-40A9-8D94-896B3F81ABAD}"/>
              </c:ext>
            </c:extLst>
          </c:dPt>
          <c:dPt>
            <c:idx val="1"/>
            <c:bubble3D val="0"/>
            <c:spPr>
              <a:solidFill>
                <a:srgbClr val="FFC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13FF-40A9-8D94-896B3F81ABA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'Kpi''s'!$Y$4:$Y$6</c:f>
              <c:strCache>
                <c:ptCount val="2"/>
                <c:pt idx="0">
                  <c:v>No Return</c:v>
                </c:pt>
                <c:pt idx="1">
                  <c:v>Returned</c:v>
                </c:pt>
              </c:strCache>
            </c:strRef>
          </c:cat>
          <c:val>
            <c:numRef>
              <c:f>'Kpi''s'!$Z$4:$Z$6</c:f>
              <c:numCache>
                <c:formatCode>0.00%</c:formatCode>
                <c:ptCount val="2"/>
                <c:pt idx="0">
                  <c:v>0.50130134262318327</c:v>
                </c:pt>
                <c:pt idx="1">
                  <c:v>0.49869865737681679</c:v>
                </c:pt>
              </c:numCache>
            </c:numRef>
          </c:val>
          <c:extLst>
            <c:ext xmlns:c16="http://schemas.microsoft.com/office/drawing/2014/chart" uri="{C3380CC4-5D6E-409C-BE32-E72D297353CC}">
              <c16:uniqueId val="{00000004-13FF-40A9-8D94-896B3F81ABAD}"/>
            </c:ext>
          </c:extLst>
        </c:ser>
        <c:dLbls>
          <c:showLegendKey val="0"/>
          <c:showVal val="1"/>
          <c:showCatName val="0"/>
          <c:showSerName val="0"/>
          <c:showPercent val="0"/>
          <c:showBubbleSize val="0"/>
          <c:showLeaderLines val="1"/>
        </c:dLbls>
        <c:firstSliceAng val="9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000">
          <a:schemeClr val="accent4">
            <a:lumMod val="67000"/>
          </a:schemeClr>
        </a:gs>
        <a:gs pos="51000">
          <a:schemeClr val="bg1"/>
        </a:gs>
        <a:gs pos="63000">
          <a:schemeClr val="accent4">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dashbboard 2026.xlsx]Kpi's!month</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95309926573082"/>
          <c:y val="7.407407407407407E-2"/>
          <c:w val="0.71938949818340936"/>
          <c:h val="0.84204505686789155"/>
        </c:manualLayout>
      </c:layout>
      <c:barChart>
        <c:barDir val="bar"/>
        <c:grouping val="clustered"/>
        <c:varyColors val="0"/>
        <c:ser>
          <c:idx val="0"/>
          <c:order val="0"/>
          <c:tx>
            <c:strRef>
              <c:f>'Kpi''s'!$B$3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0.00%</c:formatCode>
                <c:ptCount val="12"/>
                <c:pt idx="0">
                  <c:v>8.56446883512961E-2</c:v>
                </c:pt>
                <c:pt idx="1">
                  <c:v>6.2402314359933889E-2</c:v>
                </c:pt>
                <c:pt idx="2">
                  <c:v>8.407114888656364E-2</c:v>
                </c:pt>
                <c:pt idx="3">
                  <c:v>8.0622742011264376E-2</c:v>
                </c:pt>
                <c:pt idx="4">
                  <c:v>7.8644186091685345E-2</c:v>
                </c:pt>
                <c:pt idx="5">
                  <c:v>6.8126935856369378E-2</c:v>
                </c:pt>
                <c:pt idx="6">
                  <c:v>8.9830498646926327E-2</c:v>
                </c:pt>
                <c:pt idx="7">
                  <c:v>8.8095021606248089E-2</c:v>
                </c:pt>
                <c:pt idx="8">
                  <c:v>8.9153586182441749E-2</c:v>
                </c:pt>
                <c:pt idx="9">
                  <c:v>8.6356432973028044E-2</c:v>
                </c:pt>
                <c:pt idx="10">
                  <c:v>8.2522954184893166E-2</c:v>
                </c:pt>
                <c:pt idx="11">
                  <c:v>0.10452949084934995</c:v>
                </c:pt>
              </c:numCache>
            </c:numRef>
          </c:val>
          <c:extLst>
            <c:ext xmlns:c16="http://schemas.microsoft.com/office/drawing/2014/chart" uri="{C3380CC4-5D6E-409C-BE32-E72D297353CC}">
              <c16:uniqueId val="{00000000-9C39-4574-8A39-E229B61AD252}"/>
            </c:ext>
          </c:extLst>
        </c:ser>
        <c:dLbls>
          <c:dLblPos val="outEnd"/>
          <c:showLegendKey val="0"/>
          <c:showVal val="1"/>
          <c:showCatName val="0"/>
          <c:showSerName val="0"/>
          <c:showPercent val="0"/>
          <c:showBubbleSize val="0"/>
        </c:dLbls>
        <c:gapWidth val="182"/>
        <c:axId val="818791568"/>
        <c:axId val="690010288"/>
      </c:barChart>
      <c:catAx>
        <c:axId val="818791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10288"/>
        <c:crosses val="autoZero"/>
        <c:auto val="1"/>
        <c:lblAlgn val="ctr"/>
        <c:lblOffset val="100"/>
        <c:noMultiLvlLbl val="0"/>
      </c:catAx>
      <c:valAx>
        <c:axId val="690010288"/>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9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dashbboard 2026.xlsx]Kpi's!brand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29835924812871"/>
          <c:y val="4.6296296296296294E-2"/>
          <c:w val="0.70723506342370224"/>
          <c:h val="0.84204505686789155"/>
        </c:manualLayout>
      </c:layout>
      <c:barChart>
        <c:barDir val="bar"/>
        <c:grouping val="clustered"/>
        <c:varyColors val="0"/>
        <c:ser>
          <c:idx val="0"/>
          <c:order val="0"/>
          <c:tx>
            <c:strRef>
              <c:f>'Kpi''s'!$J$3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'Kpi''s'!$I$4:$I$14</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'Kpi''s'!$J$4:$J$14</c:f>
              <c:numCache>
                <c:formatCode>0.00%</c:formatCode>
                <c:ptCount val="10"/>
                <c:pt idx="0">
                  <c:v>7.5605540794069045E-2</c:v>
                </c:pt>
                <c:pt idx="1">
                  <c:v>9.8825594954492446E-2</c:v>
                </c:pt>
                <c:pt idx="2">
                  <c:v>0.11045782681432896</c:v>
                </c:pt>
                <c:pt idx="3">
                  <c:v>0.11831345304834903</c:v>
                </c:pt>
                <c:pt idx="4">
                  <c:v>9.4789188088422544E-2</c:v>
                </c:pt>
                <c:pt idx="5">
                  <c:v>9.7033368233294004E-2</c:v>
                </c:pt>
                <c:pt idx="6">
                  <c:v>0.10066246753645394</c:v>
                </c:pt>
                <c:pt idx="7">
                  <c:v>0.10197751335383029</c:v>
                </c:pt>
                <c:pt idx="8">
                  <c:v>8.4144933724196513E-2</c:v>
                </c:pt>
                <c:pt idx="9">
                  <c:v>0.11819011345256311</c:v>
                </c:pt>
              </c:numCache>
            </c:numRef>
          </c:val>
          <c:extLst>
            <c:ext xmlns:c16="http://schemas.microsoft.com/office/drawing/2014/chart" uri="{C3380CC4-5D6E-409C-BE32-E72D297353CC}">
              <c16:uniqueId val="{00000000-3052-400F-991F-CA5E4B0CD4C7}"/>
            </c:ext>
          </c:extLst>
        </c:ser>
        <c:dLbls>
          <c:dLblPos val="outEnd"/>
          <c:showLegendKey val="0"/>
          <c:showVal val="1"/>
          <c:showCatName val="0"/>
          <c:showSerName val="0"/>
          <c:showPercent val="0"/>
          <c:showBubbleSize val="0"/>
        </c:dLbls>
        <c:gapWidth val="182"/>
        <c:axId val="927864768"/>
        <c:axId val="690088048"/>
      </c:barChart>
      <c:catAx>
        <c:axId val="927864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88048"/>
        <c:crosses val="autoZero"/>
        <c:auto val="1"/>
        <c:lblAlgn val="ctr"/>
        <c:lblOffset val="100"/>
        <c:noMultiLvlLbl val="0"/>
      </c:catAx>
      <c:valAx>
        <c:axId val="6900880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6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dashbboard 2026.xlsx]Kpi's!payment method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04150926635794"/>
          <c:y val="7.407407407407407E-2"/>
          <c:w val="0.77591101591686285"/>
          <c:h val="0.79118839311752698"/>
        </c:manualLayout>
      </c:layout>
      <c:barChart>
        <c:barDir val="col"/>
        <c:grouping val="clustered"/>
        <c:varyColors val="0"/>
        <c:ser>
          <c:idx val="0"/>
          <c:order val="0"/>
          <c:tx>
            <c:strRef>
              <c:f>'Kpi''s'!$N$3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'Kpi''s'!$M$4:$M$8</c:f>
              <c:strCache>
                <c:ptCount val="4"/>
                <c:pt idx="0">
                  <c:v>Card</c:v>
                </c:pt>
                <c:pt idx="1">
                  <c:v>Cash on Delivery</c:v>
                </c:pt>
                <c:pt idx="2">
                  <c:v>Net Banking</c:v>
                </c:pt>
                <c:pt idx="3">
                  <c:v>UPI</c:v>
                </c:pt>
              </c:strCache>
            </c:strRef>
          </c:cat>
          <c:val>
            <c:numRef>
              <c:f>'Kpi''s'!$N$4:$N$8</c:f>
              <c:numCache>
                <c:formatCode>0.00%</c:formatCode>
                <c:ptCount val="4"/>
                <c:pt idx="0">
                  <c:v>0.23484261593252237</c:v>
                </c:pt>
                <c:pt idx="1">
                  <c:v>0.24382527603609319</c:v>
                </c:pt>
                <c:pt idx="2">
                  <c:v>0.25601057741513</c:v>
                </c:pt>
                <c:pt idx="3">
                  <c:v>0.26532153061625435</c:v>
                </c:pt>
              </c:numCache>
            </c:numRef>
          </c:val>
          <c:extLst>
            <c:ext xmlns:c16="http://schemas.microsoft.com/office/drawing/2014/chart" uri="{C3380CC4-5D6E-409C-BE32-E72D297353CC}">
              <c16:uniqueId val="{00000000-738F-4035-AD80-9AA885998EE3}"/>
            </c:ext>
          </c:extLst>
        </c:ser>
        <c:dLbls>
          <c:dLblPos val="outEnd"/>
          <c:showLegendKey val="0"/>
          <c:showVal val="1"/>
          <c:showCatName val="0"/>
          <c:showSerName val="0"/>
          <c:showPercent val="0"/>
          <c:showBubbleSize val="0"/>
        </c:dLbls>
        <c:gapWidth val="219"/>
        <c:overlap val="-27"/>
        <c:axId val="927804448"/>
        <c:axId val="689994928"/>
      </c:barChart>
      <c:catAx>
        <c:axId val="92780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94928"/>
        <c:crosses val="autoZero"/>
        <c:auto val="1"/>
        <c:lblAlgn val="ctr"/>
        <c:lblOffset val="100"/>
        <c:noMultiLvlLbl val="0"/>
      </c:catAx>
      <c:valAx>
        <c:axId val="6899949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0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dashbboard 2026.xlsx]Kpi's!order channel</c:name>
    <c:fmtId val="0"/>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s>
    <c:plotArea>
      <c:layout>
        <c:manualLayout>
          <c:layoutTarget val="inner"/>
          <c:xMode val="edge"/>
          <c:yMode val="edge"/>
          <c:x val="0.18379568033501048"/>
          <c:y val="0.11342592592592593"/>
          <c:w val="0.63240863932997904"/>
          <c:h val="0.77314814814814814"/>
        </c:manualLayout>
      </c:layout>
      <c:pieChart>
        <c:varyColors val="1"/>
        <c:ser>
          <c:idx val="0"/>
          <c:order val="0"/>
          <c:tx>
            <c:strRef>
              <c:f>'Kpi''s'!$R$3</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EF30-4E9D-93BE-D40FF11A83DB}"/>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EF30-4E9D-93BE-D40FF11A83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'Kpi''s'!$Q$4:$Q$6</c:f>
              <c:strCache>
                <c:ptCount val="2"/>
                <c:pt idx="0">
                  <c:v>Mobile App</c:v>
                </c:pt>
                <c:pt idx="1">
                  <c:v>Website</c:v>
                </c:pt>
              </c:strCache>
            </c:strRef>
          </c:cat>
          <c:val>
            <c:numRef>
              <c:f>'Kpi''s'!$R$4:$R$6</c:f>
              <c:numCache>
                <c:formatCode>0.00%</c:formatCode>
                <c:ptCount val="2"/>
                <c:pt idx="0">
                  <c:v>0.50859993267120218</c:v>
                </c:pt>
                <c:pt idx="1">
                  <c:v>0.49140006732879776</c:v>
                </c:pt>
              </c:numCache>
            </c:numRef>
          </c:val>
          <c:extLst>
            <c:ext xmlns:c16="http://schemas.microsoft.com/office/drawing/2014/chart" uri="{C3380CC4-5D6E-409C-BE32-E72D297353CC}">
              <c16:uniqueId val="{00000000-9667-4F5C-AF66-B9BC93C1D11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dashbboard 2026.xlsx]Kpi's!return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'Kpi''s'!$Z$3</c:f>
              <c:strCache>
                <c:ptCount val="1"/>
                <c:pt idx="0">
                  <c:v>Total</c:v>
                </c:pt>
              </c:strCache>
            </c:strRef>
          </c:tx>
          <c:dPt>
            <c:idx val="0"/>
            <c:bubble3D val="0"/>
            <c:explosion val="2"/>
            <c:spPr>
              <a:solidFill>
                <a:schemeClr val="accent1"/>
              </a:solidFill>
              <a:ln w="19050">
                <a:solidFill>
                  <a:schemeClr val="lt1"/>
                </a:solidFill>
              </a:ln>
              <a:effectLst/>
            </c:spPr>
            <c:extLst>
              <c:ext xmlns:c16="http://schemas.microsoft.com/office/drawing/2014/chart" uri="{C3380CC4-5D6E-409C-BE32-E72D297353CC}">
                <c16:uniqueId val="{00000002-8707-4DC3-9C31-AFF4B44FCF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2B-4581-A9A0-A2C7A7F1DE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'Kpi''s'!$Y$4:$Y$6</c:f>
              <c:strCache>
                <c:ptCount val="2"/>
                <c:pt idx="0">
                  <c:v>No Return</c:v>
                </c:pt>
                <c:pt idx="1">
                  <c:v>Returned</c:v>
                </c:pt>
              </c:strCache>
            </c:strRef>
          </c:cat>
          <c:val>
            <c:numRef>
              <c:f>'Kpi''s'!$Z$4:$Z$6</c:f>
              <c:numCache>
                <c:formatCode>0.00%</c:formatCode>
                <c:ptCount val="2"/>
                <c:pt idx="0">
                  <c:v>0.50130134262318327</c:v>
                </c:pt>
                <c:pt idx="1">
                  <c:v>0.49869865737681679</c:v>
                </c:pt>
              </c:numCache>
            </c:numRef>
          </c:val>
          <c:extLst>
            <c:ext xmlns:c16="http://schemas.microsoft.com/office/drawing/2014/chart" uri="{C3380CC4-5D6E-409C-BE32-E72D297353CC}">
              <c16:uniqueId val="{00000000-8707-4DC3-9C31-AFF4B44FCF35}"/>
            </c:ext>
          </c:extLst>
        </c:ser>
        <c:dLbls>
          <c:showLegendKey val="0"/>
          <c:showVal val="1"/>
          <c:showCatName val="0"/>
          <c:showSerName val="0"/>
          <c:showPercent val="0"/>
          <c:showBubbleSize val="0"/>
          <c:showLeaderLines val="1"/>
        </c:dLbls>
        <c:firstSliceAng val="9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plotArea>
      <cx:plotAreaRegion>
        <cx:series layoutId="treemap" uniqueId="{00000000-E83C-4344-8F46-4AB0E4C56618}">
          <cx:tx>
            <cx:txData>
              <cx:f>_xlchart.v1.5</cx:f>
              <cx:v>Sum of TotalAmount</cx:v>
            </cx:txData>
          </cx:tx>
          <cx:dataLabels pos="inEnd">
            <cx:spPr>
              <a:noFill/>
            </cx:spPr>
            <cx:txPr>
              <a:bodyPr spcFirstLastPara="1" vertOverflow="ellipsis" horzOverflow="overflow" wrap="square" lIns="0" tIns="0" rIns="0" bIns="0" anchor="ctr" anchorCtr="1"/>
              <a:lstStyle/>
              <a:p>
                <a:pPr algn="ctr" rtl="0">
                  <a:defRPr b="1">
                    <a:solidFill>
                      <a:schemeClr val="accent1">
                        <a:lumMod val="50000"/>
                      </a:schemeClr>
                    </a:solidFill>
                  </a:defRPr>
                </a:pPr>
                <a:endParaRPr lang="en-US" sz="900" b="1" i="0" u="none" strike="noStrike" baseline="0">
                  <a:solidFill>
                    <a:schemeClr val="accent1">
                      <a:lumMod val="50000"/>
                    </a:schemeClr>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spPr>
    <a:gradFill>
      <a:gsLst>
        <a:gs pos="48000">
          <a:schemeClr val="bg1"/>
        </a:gs>
        <a:gs pos="96000">
          <a:schemeClr val="accent4">
            <a:lumMod val="97000"/>
            <a:lumOff val="3000"/>
          </a:schemeClr>
        </a:gs>
        <a:gs pos="12000">
          <a:srgbClr val="FFFF00"/>
        </a:gs>
      </a:gsLst>
      <a:lin ang="162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gradFill>
              <a:gsLst>
                <a:gs pos="16000">
                  <a:schemeClr val="accent4">
                    <a:lumMod val="67000"/>
                  </a:schemeClr>
                </a:gs>
                <a:gs pos="39000">
                  <a:srgbClr val="FFFF66"/>
                </a:gs>
                <a:gs pos="63000">
                  <a:schemeClr val="accent4">
                    <a:lumMod val="60000"/>
                    <a:lumOff val="40000"/>
                  </a:schemeClr>
                </a:gs>
              </a:gsLst>
              <a:lin ang="16200000" scaled="1"/>
            </a:gradFill>
            <a:effectLst>
              <a:softEdge rad="0"/>
            </a:effectLst>
          </cx:spPr>
        </cx:plotSurface>
        <cx:series layoutId="regionMap" uniqueId="{00000000-CA75-4B79-A594-F233D1DEDD17}">
          <cx:tx>
            <cx:txData>
              <cx:f>_xlchart.v5.2</cx:f>
              <cx:v>Sum of TotalAmount</cx:v>
            </cx:txData>
          </cx:tx>
          <cx:spPr>
            <a:solidFill>
              <a:schemeClr val="tx1">
                <a:lumMod val="65000"/>
                <a:lumOff val="35000"/>
              </a:schemeClr>
            </a:solidFill>
            <a:effectLst>
              <a:outerShdw blurRad="50800" dist="50800" dir="5400000" algn="ctr" rotWithShape="0">
                <a:schemeClr val="accent1">
                  <a:lumMod val="60000"/>
                  <a:lumOff val="40000"/>
                </a:schemeClr>
              </a:outerShdw>
            </a:effectLst>
          </cx:spPr>
          <cx:dataLabels>
            <cx:spPr>
              <a:solidFill>
                <a:schemeClr val="tx1"/>
              </a:solidFill>
            </cx:spPr>
            <cx:txPr>
              <a:bodyPr spcFirstLastPara="1" vertOverflow="ellipsis" horzOverflow="overflow" wrap="square" lIns="0" tIns="0" rIns="0" bIns="0" anchor="ctr" anchorCtr="1"/>
              <a:lstStyle/>
              <a:p>
                <a:pPr algn="ctr" rtl="0">
                  <a:defRPr b="1">
                    <a:solidFill>
                      <a:schemeClr val="bg2"/>
                    </a:solidFill>
                  </a:defRPr>
                </a:pPr>
                <a:endParaRPr lang="en-US" sz="850" b="1" i="0" u="none" strike="noStrike" baseline="0">
                  <a:solidFill>
                    <a:schemeClr val="bg2"/>
                  </a:solidFill>
                  <a:latin typeface="Aptos Narrow" panose="02110004020202020204"/>
                </a:endParaRPr>
              </a:p>
            </cx:txPr>
            <cx:visibility seriesName="0" categoryName="0" value="1"/>
            <cx:separator>, </cx:separator>
            <cx:dataLabel idx="4">
              <cx:spPr>
                <a:solidFill>
                  <a:schemeClr val="tx1"/>
                </a:solidFill>
              </cx:spPr>
              <cx:txPr>
                <a:bodyPr spcFirstLastPara="1" vertOverflow="ellipsis" horzOverflow="overflow" wrap="square" lIns="0" tIns="0" rIns="0" bIns="0" anchor="ctr" anchorCtr="1"/>
                <a:lstStyle/>
                <a:p>
                  <a:pPr algn="ctr" rtl="0">
                    <a:defRPr/>
                  </a:pPr>
                  <a:r>
                    <a:rPr lang="en-US" sz="850" b="1" i="0" u="none" strike="noStrike" baseline="0">
                      <a:solidFill>
                        <a:schemeClr val="bg1"/>
                      </a:solidFill>
                      <a:latin typeface="Aptos Narrow" panose="02110004020202020204"/>
                    </a:rPr>
                    <a:t>11%</a:t>
                  </a:r>
                </a:p>
              </cx:txPr>
            </cx:dataLabel>
            <cx:dataLabel idx="5">
              <cx:spPr>
                <a:solidFill>
                  <a:schemeClr val="tx1"/>
                </a:solidFill>
              </cx:spPr>
              <cx:txPr>
                <a:bodyPr spcFirstLastPara="1" vertOverflow="ellipsis" horzOverflow="overflow" wrap="square" lIns="0" tIns="0" rIns="0" bIns="0" anchor="ctr" anchorCtr="1"/>
                <a:lstStyle/>
                <a:p>
                  <a:pPr algn="ctr" rtl="0">
                    <a:defRPr/>
                  </a:pPr>
                  <a:r>
                    <a:rPr lang="en-US" sz="850" b="1" i="0" u="none" strike="noStrike" baseline="0">
                      <a:solidFill>
                        <a:schemeClr val="bg1"/>
                      </a:solidFill>
                      <a:latin typeface="Aptos Narrow" panose="02110004020202020204"/>
                    </a:rPr>
                    <a:t>12%</a:t>
                  </a:r>
                </a:p>
              </cx:txPr>
            </cx:dataLabel>
          </cx:dataLabels>
          <cx:dataId val="0"/>
          <cx:layoutPr>
            <cx:geography cultureLanguage="en-US" cultureRegion="IN" attribution="Powered by Bing">
              <cx:geoCache provider="{E9337A44-BEBE-4D9F-B70C-5C5E7DAFC167}">
                <cx:binary>1H1pb9040u5faeTzVZo7qcH0AFfSOfKWxEmc9YvgdhztGylq+/W3TpLO+DBeZvQOLt4xgjZ8FrJU
VU9VsRb232/mv91Ut9f6t7muGvO3m/mPZ9kwdH/7/Xdzk93W1+Z5nd/o1rRfh+c3bf17+/VrfnP7
+xd9PeVN+jtBmP1+k13r4XZ+9o+/w2rpbXvR3lwPedu8trd6eXNrbDWYR967963frr/UeRPlZtD5
zYD/eBbdVln+7LfbZsiH5Wrpbv94dvSRZ7/97i70y6a/VUDXYL/Ad4l6LhilPhICffvBz36r2ib9
8baUzzHmTCqO/W8/4q+tX17X8PUnqflGy/WXL/rWGHiWb79/fu2IcHj14tlvN61thgO3UmDcH89O
my/59bPfctOG398I2wPVpy+/Pebvx3z+x9+dF+DBnVfuiMLl0lNv/SKJS9sU13/+xY//uSgoeq4Y
Ub5k5FgG/Dk7yID69LsM1F97fpfB03TcL4S/vudI4TL4r5LC+bVurofrErTkP4UJzJ5LjBhhjNyL
CfEcC+ljDrD59kP/2vq7PP4liu4XyZ2vOlI5/7//VVJ5cQ228Npkg/5PysV/zjhBinL/Ibkg5VPC
vovF58dy+Rdpul8yR192ZPPi5L9KNm+ui2szZNfNX+z5n5suIp5zxbgQ+AdiHAtGwbL54GP8H17E
kcy/RNH9crnzVUcqb87+V0vlfkd314QdfeLfdevkOeVECfzDRPngM+66df85FZQqxOh3JMm/dOG7
Cfvhdh+m5n5h/PjaEeH/u334u2GAmO9SX3+5NdlfPPiP4MEnlAuMv7MX4SP2K/QcsHIQ0P0e5F+m
6n4xOF93cPHu8v8vLh6OwH7GpRE48N23gPZOEPb4u9+eHGJs56uPxQDftfn0yx/PsPQFAOJnoHxY
5Mc3v+v/xXVpsusv0+1t95dS3PneLZjPP55J9hwTCjZNCooPPok9+226/fYOeY4QRgIxxUHCisE7
TauHDHbGzyXi4J+oZFT5ggEZprWHt9RzAvpC4B2fSMIE8n8eJC7baknb5idHfvz9W2PryzZvBvPH
Mwoa1n3/2IFScYgVJZYSYSGIQtiHIKW7uX4DhxX4NP4/vJ2STNOGRWKqz/zaxP6kqou01p8Hk08B
kygqxdQEhbZxolIbconeZ4lAF60ZP9Kp+GQ7/VLodYnnbLQnQz9cFmkjQ3iKPGqtl0d9Z1ioefVx
UKYKkF9+nHgb+eNyRn1BgsaKLpw6LyRT8eqONO55Ojh1uA+nKMUcUUUlVsx5uAJV2bAuLYvmuogw
t/sy+dro7hIJGf57OzGQJBcK+xj+MeaDobzLxtTTWI51zSKD2yBPm7BovItlaCPcpdHjW1H/6Kkk
E0xIhg+/KIdfBLzk3b0WkU+1N/Ve1IjxRia9DGXdfBiWRgfax6fJ2KZhJcYyQr3oIjlaEyLBxkCm
fRYneBpOVtvFLJef4FNXTVO/8DhZI871x9Sbzlshr0kWMd6JiIv2Tz3XS9jRbA3mpr9YWKqDhufT
PqHorKbWnFKTmXAYy3nHUD5FWbJci3H91Pf5Z9rLOqhKxJ9gNz5I7p9q+40HyueIEyG44Jgc1PqO
2iZcZuNCPT9qlYqzoglwPfdhlw37rk1iv/3Y1eLaU2NIsiqY8yQP2Fh/qbzs9nFhfNvomBCJMSVU
IjgJKIUdQpZsntM65dmuGmwe4L5fwtGTH1VqdDTj6qay5TkrliCvqnNt16uWL6/HpJAx7bwqqH3y
mlr9tpjzaOZ9zFJ5vRbp53rB+7Xib54gFjlck0IoMEKMCCQlBxNyzLWmUMorhznbIbQWIR/aM4mm
Kzait70nXnRDfmVse1r44mSdRZz36L2XzTqwjAbZnEV6LaIRr4EcMA3XKgszIa6mTjM4Kv40ovfA
9hfpAp0+VxCXMIASB0t3TCdPeynyXHrRmFdvO1X0+6mup6Cf5lcTt+cmMTioiwkFTAwsKPX6eezX
t0utd9akTxBz4MldATu0qANP72gaEh2uKlklUdJkwdyhoPRxgBIaMEVi8+R232ySu98hx8IYSEpC
wuh4P0mTUq2V9CM6rHVg064N1KAjW0+gFewtTiuyV0vdRmPrZWFfy/xSZMspQ9lnuVAaFEVidulU
V0HjNx8Ty8PU+Pu6MFdrXpXnJBNVaBN/3ic8f+3XyEZD4QceXS/UYNhJIZI56HDTh3okwUJavJtS
e658vwi9htc7xvqLqvfSfbJUOuh8Y04GhZZdy/s14HVbBESndDfQFQKMx7Ti2JhLdhCEIIcEFBZY
MvB7R4JYKKpMO4Ag1pXtVpbui+7lXKiorF88vhH5FSYSCQpOUTHYiHLHbfBV9KRJANO0kOf5WN42
HJcg786Eq09t5JvsQzFPb1m/ng52eUMX8ilRtQlGk3zWiQobbr6kcg0aVJ7oilwNg34xt1X8OJ3s
V9U8phPihyPVTHyZkq4vd8kqLhY87U0pixAV9ccEHHQg0ThGWTfmQeZlJqjm5oWeuyVUXf8xXesm
bKfVeymY8Xbz3NMTWuTjC210HRVkKk94o5I47QU7W4Uu39uJtWHXDy/HdhoD1lkTdMM4Bx7pGKga
bCzQuETZulRB0jMSeNMyBF6f17uWDDZuWPthHorrJOsI4GhaPi/cvierEtEKkcPXuhurcE5SvU9s
n543ol33ZVa9f5xnvyoRRDucHeJpDP/lDprLwYdwgzZ+lPLk5dCWYATHMKcyTjqyf3wrfN9eEHNI
COApZOaw46fnAvXW0NaPRrLSM2vXD2ve0fNOL+n7bMIsqPo+EM3ywqRfU5lPYUtNFxAfHOw0tDpa
FyxAKFxfYn95grjD3sdWRlLKAbU+gAriXEfFq2LENVdlEhV1dbake8m987V/9wQH3EhFCqmQD0ZM
wh6YSIcDmpSpHUWV7gqcBWqW88nC8zJK+BCvedZGi7FvprTrrquevyum5TU3dFegloWSNXbXr3UX
9DpvdtLMl0rz7KLyhjLQiWRPBBT3USoUA6cIakEg/XAMpaGgSTXzPImUaMGq5PV+LOqAZ10WpAhV
gcjkHqHkXJHhCf8CkfyxJCBpToQSQnLwytw1NqOqh7VN2ySqO/k+mSSYGB3WfhvRhrwZFxvmdf/E
lvi+PSEHQwTzwcNS7sjFrxfEZMn9yO+TuCYeDkjezWcdJJcjkkNoX9ubrBzf9Rm7LnJxTVaShYn3
JxQf0jDz2valmpuvhaSnuJVhXlw9rjfsFwOsCATTPgS4UgoFkfuxNGavxy0igxcZZaO80HHCk31S
AFzWKROBLtfqnIESTTP5WvDszK7is2n1vB9E8kn3axcUgr0h0/i1yLJ9PaN9OrZ94JX55STKuMsm
cFVtHvhdeyPA3+6kTfdj6vmnLby9dmw6K0raB/VsomW2/b7k5nap0ZVd2Cds0sgszX7U5Z6lybQb
qS6fkJA8PpaBs1NEwLFFQpAL2PHd+LbJ8wFOG5mMzCivSM1fr6o9kc3oBV03V2HlD3pnePaim9Mq
xAm80vIm0EtldkNq3gx6esN0Ac7AIyrMSxbORIODlyhQNfooe5FGtW+mAFN9kZphCPwFjHc/pXs9
CRzIuryQKZuiPEmuFW+bQKTq7Uj9T5jkL3BKo7Iip7oAb1AsTTQhoYPVrl+yYuwiS/qX2ubRCIRi
VL+qqvliLoqLsip5MPf8ehyGyKM0DYpmiodBvGi9Mu7hDLKb/VIGuBHrnjWU7Gba71oP4QBNOA2G
eo4WXM77jJmQzsIL4K0zwrubSaev2uqjXP1dPtw+roy/OFlFIVwGaMLRDlFITx7rohVN0sieQjxG
wn494fJkbE96GuD2R6T5I7HxI+79fji/absFsJL9KPT9/PMfV20N/76Vo/754qFO+M+/4tv2kH0w
7ocO+/z8FGzzY99D0uLoj18yKA/kSL5XIh948yiBcpTIO0qEHCL7nzHeL+mTo/Tht8TJ4fPf0ya+
hGoWBt/JKQPbCG7qr7SJUM+xD3VGBQkSpAg6pDR+pE2ofA4HG8F9EJgP/u2Qa/mRNhHPJSRaIMsi
CRyehe+Tfydtcois/uk+PYIZQJTzQ+ngbsRlkjlpyxzORxmOfP7KjJBc/vn8PzTgbjrmoXUPr985
ZPgkH4WpZrkbeFZlwbouy4eMiPl7ffN7efPfWN7x9oX0ymWaG7nLdK/1m0msKL1K57X9+jj5xxHP
P9lCHPLrtVS2TMTOJ9ysrztc+yjIIHTBAWKoJgGj/ZA8EcI8xCvngGRA9sWUNmI3G0j7BApRCJja
RajPjz/MMfD/+TBOiCj9HnWFv4idxR17gfHE6rcTKhCE2Gpo5tiTEA8H9dJ3bx7f8IEHUo6F6RTq
RnnYcKx8OZ+1mU1syIzN8t3jGxwWukdrleNOVb5OaLCU76bSyOlMLDQhYVcakl3wMivIC2xLW4a9
6ZtFBqhiuN+jJhv1yeP742O//pOl6sDqO+rdydqAB134zqbp2Idw8o8lxV878LFTGfTpNMJJd5He
RTuluNxZ0raqCbxUkRp6ATYATB009w4FVbrUY8UnYAGEHiHV7VfJp/yJ53tIgI5VaAGpk1oGvlsW
Iz+idmmDZLRPJTMfWv3w+l3SFURghmq+K2me3yLoPblovLy0T0TADy3v2IbWm3jXZ5xDAkuO7/HU
s2BOVrnN8ijHMuhqKrqO9Hw3tN667tDsjToSXQth4zbBOtaAzClWS1WANWiZLcJFiJkFfQ9Qih7f
4AHbdigI3GV/7Y8TL2wq47oyffJG1nVv39N+9dHZ4GW+fA0peSpOH9/sIWE4tocUi9e0pvPipl2k
uDQ5lM7f18Pgfd20vptYMwpZNM1cxWuL692SMk9DdrQ0+glpHDT+HksjHWb5bckqS5Ykbj211vtJ
427cVdMCpYA+z5i/cRvHnlDWJgoqBhKCR0uGE8gVNGi3Nriad10+TPM2XEvHaPTt2Cd0rlXckXK9
KvWSvWqk8K8el8VDvHKsxlTOCk8Q48TEm/NdZbSkFylb2v5DCSfz+QlWPaBR8vD6HeuRqbQrlexU
rCu2nHr1il75KdbVEweWh5anx8u3Sb4gYI6IrezJHKBiZp/E2na7x3n00PKO+bCjbCHDIEQ8ViCB
oUoh/2g92W2k3jEeNqfNUi2FipkZS5DBomYvMGjJ140bOHgufY/3/gzc93HdN6cd5s2004Vcp8tN
DDpEyXfFK8lCDfYgWQ85yfy9VMZcznnaL9voFw7Q5KKhJRBxGXeUDfnJsNLZD7KyntA2iAkHYnO+
9GIgWsalSTt2amoyqqCwTD/lmw+W5x6LJByULWmRonoCEffJ0umoSCHlcFl76yjO0iGpy92ckqX5
WNWKfrZNOjVPWPKHYh7hAK+a00S26wSmsFJVd5Z5JpEQ2Zc+hHVqmAo2BM1QrJB9zERX78t5TWUk
2ETbtyMahN3IYAegSyI8qUoP0jzSsxHNJxkrWdEn9ONbmes+9pJj/ePjMOc96f2YolW3uxUn47Dj
ybpWJx3Un5ZXqanbr53HpvqErarhL2dKSfOCSKWKj6oknD9BygOmQjhYVk3Bu3bKWdzJxNBQrP5t
N89Tv82OCgfJlaYCLzPU7bTXTXE6YFYFKVXpl0045g6OLdZCFUXK4rSb1ScO3u2lQV69zYzyAzju
OIGepk3hedKPeQUnmdBiVa+BzfVintCyB1DGHTth8n7hZNYqHpYpIaeKaY3+nDsMiMtIhtqgyW1X
B2QVXXrT1ash28TCHftBp6YCJdIiFiqpbdD1xNTBYpm30YK7qdKVrWVvhZY723O8E8uYRqtovWib
2B0jIRIfNUU/r7GxKeTEG1kEQnfFEzboAUi4qWWBUeZBCm2NC5LXIRlwESVLSzYqlQN9OPW0Cuft
GhM4NwYowx+alD0VSD5EuoNmLLqGzVW6xqlchhd2aRC45z7DxUa9ceCcFXboqF7W2Etq/5SMM1Ql
qGLxJrEyB820G3k3lLD6kBAWTlSawNQ430b7oTfoLppVA0WzUYJYvQHS8iW1YyBK+VQR/gHOfys6
3rEVBfI0mhKzxj3Oq73xmzQcOVv3j3Pm4Hbv8RfMweuhqrqu2JviyeO3cOwsxz0byq6Jh0mKbZ6A
OS6fjnJsijKZYgrAfeMPbbHDrC2f6C16iD+H1+/wZ2ggFJpWMcUtNLqeQv7eRpAC32hu3I4lPNRV
otbCxqmp2Hle1RJS/NVG0h3EgqNOyhLTIe7bIsHQkkVMKLO5zKLHhfsQaxzQ8iQ1pbdCmqdr8vms
HNLhwibJk2XvB1THgSzkR70R22LYa5tO5i2dkKpeca1Etk1vvvVd3ZFsifOxT0cyQ0ho17Ds+KfF
hzrPJt5QB7S88EqmVDLu+irDATWWBL3v242kO/6XdgUjSaFG4Lz3SROI7xp/TraJlTqYLbtVe54R
P0hnpCcBH8VW0l20cpVYleFx50+QNCaH1c12xjhoLdHYJZWB1efCz0KrShtAI2Sxke302BZkjCuo
UyJYnZHbPmfVPs3TjZkt6qC1hAk0laewuL/aOoaOIA0nLzFviw2+9YXeUfZ5oDKplnLc8SGZghlD
sw/ukmGbi6IOVmvo8WhaiuyuGdcmmLL81hYr3sZ14nhXs+qha7PJ7uoyY4Fg/JM3GrJxcQenKOGa
Lpk37GSPmsjM+bWxq9m4uAPT3vhzAZGw3RXCzwJR5FVgNZEbV3dwKmnhpbnnA+m+xS8MlEcuE5lW
20pUbtfpbBlpGKwcrxjmH4O1UYJH3uAps01niANV0s9+bbt0jBdWQyurRzsedxMZbjYZYOJgFecJ
0e1cg2dNTHXmFwZHpiyWbcEwIceWwOqkoyk0NMWDTz/jgrw2jL7eRrjjVWezFPWyeEOcZ95LMI+f
FiI3pu++dcLdsQJ+ntcSN3KIiylTkc34VVsm7TaBYgenTWk87StrYy8f8rAq5IUkPdqm7G6LCJSF
p87Myts11fwlX/AHwuvzTQzHDkpVPqUe+OslhmXNEKzEQM/JYmi6zfR+6xu7w/Qx5TYrmR5i6M5C
H9kAdiAw+Yq3RRpu25ntK4KqpLVx3eo1amf5Z5Z3yUa2OyBNVN7LMYdZAL7oJazrDkgvn6q8Hha5
53BwaAa4G1r7jWB559VDDEMS/gtlUvyi8pLuwzaxOhAlAxk0NDCBOmZJFtB6+ihVvlGkDkZX1vpF
kpU21nyE1hA1f6p6dbmNbseXsonNU05hba8wV8wuLzgzT3S8PsBwt6UWZj+SdKDpsEOJ54VekVzk
K9qYH0COJ8W46+TqEW8HIyyv6kV+UtCetM20IAeiXgZxum6BJ1XWvIbuuX1SZ9ssOXK8KIPOVDpD
Tn3XruOJngg0mm3zoMiJdLuFD6Lt4Gwn6vRCtXPc6GRbmRU5sMwraOq3Foju6nfraMNCvt+kfMiB
ZOUXultLECLLSpgE8V+rVWyzU8jBo+1hYmSZxBAvpsBX6zKQuLDURNsIdxBJm2RuitwfYuNBKwFp
yhM/8T9uW9tBZFnlhsNkuLfjOUS3HhLXzKfbHNsv/Wag2H1fIXDJWS7mgBvmRTDCNW4CDjvMe941
sQraCQfGR2/Xi7e6jRRksbfw5JcBqCzNetZnyxBbBc0c06GTGffiatviDiYnqL8vSwNzDTjrTqYK
avs9LYZNmgLzJscs0dai0qtgcVXxS2q7m5wteiNXHFz6jC+oV77Z6Zpeclh7tuPWtR1o4imHFu8Z
Q9oYxg8vrEqLs57NYiNXHHRmho0VxLOgKDAOEayoeFeJbFOAxXwHm7Nv2VT6gPyZLgP0qLJEtNB3
vOJ8k2lhvgPQbqpZArWaIU5Zd+1N4wcoPrzbpIpus9ZIKdKCAl+sTXnU2zIPqCJyUxwBCSFHF7NR
Qj56BsLn+dK26Gwe+40IdZuwilpC03dGTaxK+qKChsOdkvKpoYeDQv8aujG3v8qmGnou7TjEqKte
M68KC51tClJgVtbhCfeaJaUwmUoIJ+FUYx1iVnzdJk4HoAtUFAx04BtoMBCfUjOf5ZK/3ba0g89Z
D9BZTjwdL7iagqqV/b6pi22dETBrdsyVlk+NP0L7TgwlpDVq1valpGZb2Z8pB6C2I6bM8KTjFtpf
qsBY7Z17I1rebOOMA8/Jo2AVmQWJjssXAxHcbNSfm5Z2G5wGcDxZJ1oTlyJ9M3fdKaqfGg97QMXd
3qYxUaUoKqbjdeyz3TilJPKq5mYb3U5Am68sMXouYfw668KSLS9r9VTYecDJPdB0u5gmD/LBYyd1
nNUjt4GWongBg8FzMBXELuE2+h2Q8rKZm7LlOq5y+rnK2AevK6+2Le1AdIaOx0rIRAP+R3MyGo0D
PLJtpToYcDnGUUoynmtKgHCGP9Sj1wTM695vo9zBaDb3XalRZmJOcjbtVgrjI0GjqqyMtm3g4JRl
aaqsqkAlZ+91XpOrvN92Focx/2O+VDnv4cAMSyeL/3pA+auEik1lKOb2LFVqSep+XHRMk5rEniLD
a5xO+aZOX+b2axI5Ij7moIkJWpdg0X1M2caGMZjDP+ZKPSfeMJtMx80Ik8BolHsYmdmWHYaph+PF
B82sZT6wHMzj+biQ84rP2zDkdkH5U1rZok91LJO0CeS6nPs631Y3g3sJjun2QUvQTEod43a8pLi/
0GjYSLeDTp1DdUJMXh8boT7kWL+uyn7TIQ6uUTimOplZXaYdzJYJ4EzgQxN60C+12mYP3W6kgRa9
V7R+D3WbDEapSfnaev62ENRtRUIIzlkNR32c5rQuggkSFTuLPLGNMW4rUlH40JVWLIAbf6lDZYV4
U+Vo3SZRtxVpLLhIoNeuj2HMkYTYsJfgSbdVz5nbhmS9RrV8bkFdWp+hEmztAhe4BMofy005HKjw
H2sNtOciP4V7MOI0zWBWs4HkWZwkrN9WR2Buu9FSWqt0nXSx8kzZh+PU1V+tL6eNh0buYBXXBLHJ
97pYZ4uJ6lQUAXCI7zf5I7fhSMp5VmhEXWwrQeDSEegrh9ttNtpH7iB2qKADz9Cmiw2T6RDglZTX
5TI3T934cODBPYESd7zpnGuhpxl402YFXOIy1O/mCm/zee7ceUVauLNFwrUrulHdyWKQ2U9Vm51s
4rvbbzTSkS5dNXVxkfD1A2qT9AQmTLunplIfYIzbcETBTnKygFj9JunNXlpFWcCTVjw1mPzQBo5b
hWJc2TbdCJynZjrVWr3L+mpbbp65LUeyrAn0GOsulmx4m6fm9VQOb7fx3Yl602SZaFWlfSwb/3PT
TjjIYNw62La4A9UeUubKs3UXU12ozzAkPZ/Ysh43qozjWQfkzctKeRsDUv1AQOtL4C2e3G2j3YGq
Xjyo0VewOocJ9oDj7qxsnupi+haC3oNT5uC0z2dor1OkjUdRpkkA1eICjI3M5zJMaz8tT+pumd7a
2lRwNRH1RDxkWc+vYMRN9peQ/zP6rS9rcVJCXbI9KcqGiUBWOSTj07lXaApWVvT63dQTz4Zo6Zvy
us0yrw8FBJYE7pGCXPtOdna2UYUhSxYKqFLPp7b3VBETOWfsNGnhNgMYfoZswkcPOnuXPaaFkRGV
M6w5Vfmw7tPeh1s5UEVWu68JmVeY9a5p83mWjCWXAxNe8afBvO9jtRJ/jPUMzxt1w8rhioSRwy0j
kuAyFItM7UkK48j+hVANzIWhfiVv4QLZKRiJ0KddbvQao9ZXC1yjU40sGjVL+W6UE4MUdpWNLEyr
rm4hnvV9uB5Ew30YQd3mGp9PTVL4pxXFA4tX4PYUclqOp+vq1S91MyIWMbhkZA2KRCfr2woXrdwW
hXy7IuBOkbSemRWlpW0seNZC1scLSEr9bdByO70og7tryr7q4kzUtwkr3yYy30a32+c1QiVmrgjQ
zW0SG786Szjelhx0b2/iI3SmYMggxcT35yDx/DLwK7hubBNk3S4vjVIqSijaxSkpimAu+6+i0Ffb
1nbsZAHjrWMjURvbxXYvYUArP2npUG8zZdQxlJnIkW2IMHGqS3bBIH6Fzn87fNpGu2ModZ2O49iN
bVzC7XfvtepXSOY36qlrQB5wfW6XV9/kA4yJ+G0MFwt5ASfFRbam24a/4EKp42gVAYQ5XFvUxkvb
JXXUoqmI5x7lG085bpsXbnK8ehQ0UqQ1n3fENBZuB/N42UebmO+2eg11PyVeNrQxFKq+Th07457Z
NtEBl7cdM6ezkx77RbZxhnzoIxuMhPsqqF+Qr9tod4KaEe7DoqMlXVz1/qoC2fYUauyKkG29GHCp
2/EDTF1TYTSnECDArfOBlVOxy/N8Y4Dg9nt1ckqKNQUXDjUaHUJHmQg7b0LxNuY4mJ0QjErzvGlh
0LWqzgQd+RCIXott/f3M7fYyRZNCI1MLZrix8ixrKPoMZ9plW0nC7faScw1XExmIVyGVNZ8mLLGx
RIPcqPQOagmtrJ8fvBNcQ5SGZurTwA51vc3Ouy1fWOPZznBOjr2lobcZdJvfrrWtt3V+MrfpC67C
aoqsKLuYCzl6p6Xf4BAl08SfqB0+MFfH3MYvGDeFy80q1cRrBZfXXHVlPrZhIhvSRZNpvSsYOHvp
eX5VRBDFlX6Y+nAY3Wce5+026bv9YTCnK5AtIP6clj5ToVcXcAFFnTVdte0Y7TaICURXOLMcLFMy
4OS8zlOYO1v6ZUDbslNui9iKrIaJV9LEcHlqXgbzVEwsKEo2bgywsANvYdZaNwQ2WCyBtuXVfoDu
/ZtNpsPtEquGehl8uzZxpxsTzin9ug58K+HOwSXtV2zgFr06hth2X5HyjBCzLQXg3hRaex5KJ7hB
JB7YaMLSY1BqmNY325jipOuHrNIpnsYmTqxWO5uRNKh5vtFVun1ik4T/CUcDEo1zPXt/ws2b9EZ7
4G420e42ipmCNS1rcB1DrPVSjuv5/+PszJYlxZFu/USYAQIh3UKMe9457BxusMqhJJAEAgRCPP2/
os1OZ2d0VdexuK2BTQgN7q7l69OD+Acvl8t8+4tU8VonJlbcM9Kx747Tmsq7RI+sBFDE33aIXUvF
vKINWxQxR6IY3KDgrjrcyWLu5G3L9FowlvG1J7SLzbHIu7YaODupLAm3nQPXkrHRdkLUvOmOPJP+
Aa6PMN1z7fL6v7/pJbL/q4G/ipq5V2HxCc53vWUDQv54Enyv46Tv9xRZXXdTjAU/x99DILh/1LV1
oz5uY/ENifqjKeSn//0L/nrqkIuV1H8qpWCKi6tBtGOhQ7Cv23KY5uWnJ8Nt1gNgtvz++Aaxcifr
Th+5ZTWqOxM7G5rPNy0pArOr316+T9t53Ua8fC0kcvwktSUsJW7bDsi1fofTrQj5hGIHvKSTsOsa
XP7C8Lprl9sy3WtpIAu0ZpSI/hjPxNkS36G97JgxXBFv+bjZtcmuiZppWHiDLSdP388ufieS+qah
hy/41dAvA+xwR7w7iqb5rhlxQ7PNSXfTqoWN6e9P/+XgnBRjDXvIyL7vZH5bkxrM0n5/um66ZI7T
SV+OVvZqDcmPrsnZTYNOrj3SLYpGcW0uU16i2NQP7DXKRHPjwFwlQ3NwXZhDoyH8gDNXhZ7S4cum
eb/c+Pyrz8oWX1tEtvqYSBp2DKagL7Aer9/dMh9xJ/L7wP+ydBeJWPu7FtiApzS1+fwPC4r89X5M
roVlYHulK6UzdjM65+Z5SJJuPjVqGcYDErE5PcBLj067Iddr/xAFZAUPtmgH8yVNSHaYabqdiywK
ecm3eoa7QoiUejZdvqaVged5U21C1tu3vg7NfOgsztxqztv1OzFZdr/Y1t2FRi4HUs8ej4AHhixj
02TbB5mgv+VVXXwqPnQNLJZ3SNiyDf929JWMofx8aq2Mth3+66l5JGndLzcFkuRaEPfL5lnUSfu0
cMUf0iYVtx2w5FoSB0/LvEd1VB3TNf5J0+GVJ+Lltulydewh1wwmol4dyQadrU6zc9pP/2SkcVkx
/310o+n997k4z5ER27TCkdPCq+M8Tpv2Ox6geth5ZAjiDEdhLb/c9kuujsFk4DnQBLk6Rjai+0x5
fdisFh9ve3r6+0+RoZ6RIxJ1XPpM7qJ6++Ta9J/G6e+W1FWansSimdU4qyPVc/MeqursmUmx/rG2
SfQPlc2/+xNXm078b4PvaSWK7qQbxqEplxHF9nPj0dH2D0n133zya9XcL59m8P6UOsz5mkAdFul9
YzaWVlB031ZVgr/t719ESNRO6lFj0Lo0gtCNfsJGdGNMVVxV3CIYjqAQ0Kljgus4R/zBkeQfNui/
+RLXIrpfrvwKbAJ35nrKDz3juPenYtHxTeoCcu2X/Yt7UF+MBNHrLj7zobittZVcW4FNgQ9NE8b2
WBS5O0BzzcpaJrclK3A9//3LLg1KkWRO5LHJWHawSzA7xpub8jhSXC3kXxCGZGnu/gVf6OmNY361
jH/HCtR8OJgmvSk/BCLk9yEJMEJrJg6TddWk9xeH9YHeVsUj1xo6yAovRrjwK7etH+7aaXLHKCfv
b9o2ryV0v+AqKhHT3l4AH4Hr7HDb069WKfg/Y53HUXMsmsneQ/X6aRDhNnNYcq2hE7QQ0ZLOzVGH
VB9m7rpTPOjbpKjkWkYXhRX3KWZsjk3bDjsr2UNUjNP+tnG5Ond/4QKcyZr1kKb+ox2Vuq2oCKzb
75NR9twNOgP5oFuGJ6X7Yzv2tx3i11K6KwZON3cx6DD/BK+5/Py/CEeulXS//PHVtPTlxRzfUjgK
3zbmVyt0g0nPtDjboGsJkKMOsJWhrMeO3yZIgyH174P+y2ifZf2WlkzX432/qua2PkgAHX5//i9z
cuOBZ1Kv/zYl/1vL6H+Vav9i3K+1dBndEphTCXlMQkSW+7gxORqMBLw8P8ApqT82Od9IWQyLyfcU
1TVfDU7lCxwyLQ2HYebxsN9sItI/TJGnC+BhpCluqsCTa4cfuN+TjbB82jfFOh7y2sFTOFK33auR
C5btPys/xKdk08pNe+KNhMrCfUBL5XrbjLsWEP5CG8CE04lzQ2I27+Wkpm5305S+VhD+Igeso6TY
W0M7d5UEg5B8v+0PXA3P6NS8LbWd93Mv7d4wUAIsz24qkv8XegfRZk4sMfMenAFT+Rw4LZMVN0nD
gWX5/cPaYsmm2uHhywzbaT1lQ9nr9DZ5ItBsvz89kzMa+WdgS9I2sRVRSVuivvfttkG/2qh6xVgc
k9rtl1SakkURes/WLL7tSL7WDwrIZOMsIm7fQxRU9moUT7og7u2md7+WD2beWpLQwe0jjgubTG1i
34T8toG5titrRp/0uEN2e9hrpi+dWdU3Gm/FbRHctXZwy6Uf3LxM+64DNgum2zCzyerbDFvItdnX
7AdYZhVh2ocCVDUVq7Eq1I2xygUW/p+7WK5mGpEBr74Z2LV4F/6MR7DwbvukV3M92qwZak3mvUD3
zI57KSvwWm67vCfX2q8NbRB1syCwKmz6bTLkvZHpbe3V5Fr6JQ1qj73N5n0TjzE4VGm9r2vI6P73
uPxNmnit/tKJGlLVE3agtc6XFzkbkIQCTfV4yEaLU/B//5m/iYmulWD1QuosafEjgI4FJC/NRdWt
821KMHKtBLOyLgBlwdOF6BoAkVrIP/rw47ZXv4zcf+j6VIs1BT3juLcXFBnYRu1uMvVtp8e1Eozb
LHYGHMv9oublYCRLSxgYb7cdH+Qqgg4G6cY2+nHv5KYPyaQ+bkmb3/hJr5brJk229YC57S2TRWX0
2laQpN4m+8et/u+j3hWhcAWr7T4y0Vi1m+1KYsNtzk3ogP796XWW6TFpqQV8Z5DVlhtdMTjX3xbQ
XGvA5iSg5DwKdmjbbvuwxXZ9a+Pun6zk/2YpXavAauJ9MkOsvM/HBP0ol1Pbpsk/1Qj/7ulXuS4I
NyhXB84PWYTS+RJ973X34aaFdK3+UmCi1uBnFAf4fNW6XDaoE51cp8+3Pf5qnSa6J/0Wj/yQW9NB
gNuuVD7QRHfstrV6bfdlgfYC5cvyA5+SsuXpnY5vDGeuxV8w4hpcSPFok+H4u+ghutsEieRa+QU+
Q1PLYuAHoOmaUoHiV2WS+duO1Wvq1y9eMVy4Tv9/oOK/m4lXazTOISoiF0AxhfzhAifOuub1pqny
X5KvfyOkUzqb5JhZjb5r6c388bbnXyW5nU2GVs99ccj6ZIWFejZld5dWvX/yE7wsxr/IdK/1XE2k
bMZ8TQ/GRoCZ1stinqYiFmKPPtWiPgsD6tyj2+r/R/z6H8n1v/K9v/qjl1L8f5yDRUjrbmkHjdxv
9d1aJbrRqd0rhVWnD7JelS6H3gBXU3ZkwNm+tmHsinOvLZXmgMS6VUArb2oJZxCXo/oPQjxkd10M
SasqSRs270sEOXZ4UDRh9hFwUp/Q8xplxQCG4qZF1JQx4Q1AbKMrLAKhnuLTlTkfevGHHaWZkzJT
RWPOZFOwe94FJPSF2IVh8WOlAmnX97CQ8yCM5gqIH9h8h2adAGPmc0QzMOVgDa9OiVUU1vcGNUtn
SvQVgIkMB9Si7z7a1CAbaIuWgf9p8I/HeciWHUiNsDCdMUKqWhafNsctzCuoSyomU/dHj6JtMZfr
mMSJL3NGhfzSNZni342YAfpBI+fWj6aE21cbPl9Eeie7mbCWHUyjpsr7ZkrUrkDjZL3fcGWT7qO0
XqeqZphpvFqoD7nZpcuWx/cJWyg/NPm8GfSFDX04gRLQVQW1C31s47lhu7ghnlSyoAOiMGbYjhkY
4IJ0J+jQQb/Z9lLsHEfSXFSokKyix5sN3ViUgAAW6BtZmmOdFQgbsZdQM9/ha/WyKUeGyK7kSaQN
8L9d+nVwhu582Nbi+9xsgRzs2OfqaRtBUn6TQ1oUT8TVhDxstWSz2OkNPSrZgfs5gSPCRotZP6JD
g+F72aaxeDkRb1zMhxiuxojGTNxv6hQoWf23gZkGHPF+AWn7XKADiX9IAPCcQqW7DCQxwaKLDaSe
decjdLFsEG3BQaeYl3kf8C37/pzmKKSlZ6o6JktFFT9QJUGdpas3I0oSIZqWS2S5TPfxPKm9H7FH
PdFezO2HdU1FxzAd+nQ+tCSf1qoXMkvhEiuD3iGvkewLc6Tr7/m6oQgk83gGqtpbB0ZwyVlepIig
nCOEVEBMk/Y1UWykBxisqPW+S32Cqnbs4K224ZrZLQK9W3GYqIOSk8JkLdbzt1RH6JkZlyKz74vc
JAxs8ylvvyH3YRqLxmT9spvavJ+e1BwL+gHyrMEc2lCgTYj3cZ/fbXmUqodEerX9aDrdz+iYGaM+
exqwaOW+szKkZ2uSdvgkI8PiFNubEjQHgTHj9il2TiXfsrauWShrwY04er8s+V08Nln/ufU05BU8
72N0owtPEg5r55zq77XzQolSDYp9ywkd7Cd0l2+yAlUbZxf6PPrwCFXfxPA/91H2vW/HZTub1Ibw
QW1xkgCljpX0vc0wzU9CpduT47E4xOnA2mc2zgXdx6yx8t2g5Lq9eDR4pBFuouEbwHYXJ2J6nrzr
uj8V8NnyvqUDCce+b3V9HFKejPfzAG5s1WYkS78wmmb8R+JV/YQW8ugO10jbd7S2mLL1udgJGARF
u7XZmL8DQ2LZTjAPIp81bzK+sxqdjq9FkLp7SkTdJGffN3PYR4Ns1xMPY0yPBV1V/CkG6bN+Jwcu
bGWDi+CJ2MZ8QhONoQD5LduUj49TvLn4TCy1+iPAHXX/POe8kIdYqr7YubVdsHf6nI3yAP10Mj4O
fKHfNTwBuqoGsdM/yzUesZXIfvV7mvduFLs46+lyr1oYHB9qMVu010TFIj5INvHsbKy1tHR1NNJv
UvLWVqKblGtL1iV1DPZQRtbzpM3kds6ncbRzU5cmZac3b78Qx/EGuzwWCewMV7xFE4lpLNs1mrp9
d7HkKWFot6mnwaMxbZ/b0X9N4+Ap8Gqigy8nUBD0EeGS+FljCRdVq2VqKmp83n8KA/iMMDgyBpZn
JVHb1py9Q5fshwA+3ViXcnDFiv1+s77vy9bhmPYl0LLL9N3PC8nfgOAYcSAouNXwdxpPuXxI6+Zx
D4gjCO/7zoNuWqL3s8uPmidc7ZdFEB1KkTi23ft1EqharCBL8VNcB8SI6GST8jyBshaV29g00Xua
qzHdyYzOIMbGS8J3Rdi29m2MN9KeFrd5fpxNH9UAnKZ1eCCAd73EydQ271FFToMqG60dP8A1Xrg7
rpDBPAXUldghUw3OO1fX+QCddybXByPiVlX9NiauyuxYROhbGKe68eie26bknYuVQTNGlzn30qxx
kZ56XBm3Tz2c7pqhXEIGgA58xQGzH3lyTgif3HM+DVH3R9qsTD9QTSbMsU4aLX8QzTbMBAPLtmnf
C9YsB/yytd3nRmXTR6oWWd9NomnJGU20VD/OYwrm1h7bkaY7oJJI/XODVTI8zSfZ5qepb4SAthkd
WJgjDD5Kd7J1wZ5sawg0wyk0xPF+sqAelosLXfoef5O9LYl061cN03j0pPNUAtA8wH5RVBH2pxrU
bru+b1PqyIlxi16XvOsgVjXLyKIq2NkBKTf2fkUDyVIkFS4UmHzB6+b58+qDaE5Rl2ZzUza1iuYP
xmx9dwfprtwQFXXb+h2nxtQpeKTGcfJ6uakhcUXkUGyPW8wzcNdHs4X6zAC15jCapQCOPXhsyMMz
6BfTeI6d5O60Osrzy8m9SngCCAzjNJWOY5XH8KsT2yyqofEhvBK+al4CZMboocgM9rdSEd+Oz7FL
2PDHNk42a0sN+Hl+DhmJ16cMs19+bqcVCBr8SNLXzwrlMP+OKQzi3Za247rryJy7E87/yAoMbmqW
vd+KwgsET67f8DFHsRwWryLzsUiCMy8gra/L3dBCP/jcLo1sqqyV/fR5tUWafzFpEZgp4RAWdxYj
RbT40cEzNX6Ba33G/+jhvKK+DnpQKfIrGCKSyrRpW5xM4aaA+E3GgF2XQzQHHIV6xfGBaA+WsTTK
F4CHYdLQB8hGi+gbXOVDVsU41NvzNg/qQzFjfu9V7DWtmnXD/YspuuxTnkIXUZHA6rZCLpoVICL2
xXxMNeDXS0nW2AxPVg4SLccJ7DsPlre6fyTG+giMbXRg/dH2g1sPedJky3PSxSP8d3HPyj9krPPy
sGiQcl6GVJLPbALlZTdlNUoBrIkcfQqdrUHpHlufPuP+iXTvtCqm7T5pu6HHhplhbUAWD6EaOyqY
qI6PtdHcrhXLMvESoHyJqpU2Znk3bX5AQzT6XlNfwcawVhXwwI19VhNqTKU0Qg97EtBXqw9oUUv2
rCZdtxvjOsWXaKROHrPZXkiudLoEPwxqXykqzpY83Zl5iJO5VNsaPrVMwzWp3Ay6Fj9YNLeRNzHR
/mHsZkRclRRtVCUtXOFChd19KQtPifuUzrA9OAnqLc77Yo0RphM08FpXBpJF7tzgFeLXue9cUQG0
PexUkHN3VCuW+pc8Hv1ySAulE5BJRlieJVlD2I5o6EjLiSTbgeMw8q4c87qdnmZIp3hXGWoK/aCm
OjyzcAGgbuNG7ifGVLxnINisOEYRcuzGDbzxN6+XSJwV7XL3YdZ1srzrxjmpcNEwpF+Drv1S1V5m
J4RroGYqdNH0uHUrx7WVJ+ksjDUy9FXjsCXVtjluyx4wJLpzY5yeBOKBT94U5F7ASsmUlLfDVMkk
pQKerTYt+z5r6R3zIvzI0P3TPqZYOua4tdPGH4coHV9iD4tXpEDEPQjK0g2xU5KNL0tkoSR3a1FR
tJE/4lIEzdqAlxK4kaMN+TGMLP3Y+0jsVdpSVRqzuvtFaf4sPBz0dwrTuMrX2VeprJsT0Ov8YaYi
3Ilk1V+DWNr3nOixamL6qvPRfMxb3nEA5u0E2cmslRrKNW64n0qBaDccAuhx4USXVLzRZLV3rg2M
7zCdaWWA214P3djmdwHyxeyjj1jxXmgP1cIudV0RnWpTLF6XNWYuQ5t8kPGPxtXBfcxzSkO5NGZl
kHImiw+75uIHcNZh3WCbwsYkWJB1h2FKkcc0pG93gi5JdLckGbqx0Vbq47tRJjV/mqJ1cocFff7x
20Z1SisessXdz5nNxVdErmbY5y6N0pNtbJM9tOuiAXsV3aJLn9iRvZFZ2/h5IDOxe9g0hA6WBBOV
5z5auP4SSbCE2yoPTd7s4qmVrpzzBqEod3PRVKNGjOLLmoAnrsuQh7n5vrKcDA/L2i/bN0CpPMIh
6ViO2a2xtnLA4dEw1O7holOnx5Hppn1dE+T++77LiDm4AvvODhmNKM6DSFGSHQqTkmc01bT5PfSz
JNklfM35OUHb1Ppng/4A8zxPjtm4Clws8m4aJhLTEoYiDHeMW5vq8IrUuEiRBUOyud1Pk56wL8iu
8MmjNViS7xWSVf9F5Yqfsx73TGQyvgBsnqjoq8EtJdLktc8BQUQRWlaYHQiWynpesLtP47zuFiNG
9omip9+9MY+9/fM0DTxtd3kxRDiv6i6PlvfUb+0qyihNC1I6V4+m4jXR6dO0sTX8maHdX/8YG3Sz
7VkLkuC7oOXKYTiQ9+MLGM+5WvfdAnfXI2+itH+hWGXYEWMyDgzbk1wLFAtlh7bmU0ti6U9ESRWb
XbaNCAFKTSkVsIHvkX8g4muHKiz2EosA4+L8a+vGUfgjV0KNb3qK+uXQt5Hj52nic44vtnE/7oZU
r8tXxXP0IlGp+PTVeTUsBytiE1Vczcl9M4iaVgNuk91DaNtM4JMUDZoBJ1TZq9EuA4LSgcJO5m3e
4JKLBumhfuhFOhx9vbJ3A0mDQ3SQb5t9DlrrcgSus0RTmJgJ+GKs7Q/BszxUAoTT+byRCQma5HNR
Ts73kS3d7Pz0WiS+kH8uQJuw/abiWO6ov5yrpZjAmDjVCLMfGlhzYdaRxJC7ugUy9d6K0H/iDIOw
I85liS7jJhqSt0lvbYQoNcTRcd0wr4+IA5LizuEIaP/wnjRHpAAJ/9LD4ryQVc5F3LyzSy4lLKET
Q5u5xCTLScWwqwZkcxEa57ZCJs0Ta328VSMW/EeV5Gav64Z2WGr1fNfHqGA8ol5B8hfWrVTd+WXk
31CJ+YzQw6UUSBUKCXgPRkz6rktF/RV+Fm2zEwabYtOO6tG5GJHZBoMRf9YFk5XdAoAj0P/Hp6YY
iX4cHJn041jP0/1sbd/+AUC0+xkNapp26xzhM2Zr8abm7HK5oxjO9jXzbxSxhNuJbUCsDl2TW0vt
C3NAszKnZWu9QGyAq8oFsDu2ol6LnXBCfce1Tx7tCCAwskulB43f45tCMFamORToZ5TS+fRABjZE
L6SAiA+ioKITy3mhQjiNjzKHeEJHd902+zUmrC32LaPNqxjAht8naHMY/lyXVC1VJFG5+gqvBgBq
x5xN2b6TaUgxNZv0/dggHzmGrp3KtMUGastlHkGxE+ksv7PcTOkb8bNcqmCmBNlOkellLduF6ehL
0yT1N3YJTU5sRZf5x0DtT6e0yxDu8iFBMGsyNZ84mCCs4nQ0P/scS7ZkQHZUwILE2V7zjP2r+KfI
hkEIbA9/yzpDKgOo+mFNC198tiLi6D9ueI3KYMQNnJEmC4uCHYIS4+9y2vfftV5Jgn0uk233Bqc2
3lbpKD05tS4LP5A6i+1+1Gn900i98Rz877CkD0b6bPgY1THNfyZAZuQ/kFpKVEZakT/wflTYO2IZ
qlQkg38ZeV1YtBrhbikTVMQvTUQpqtkIPeL73MNQ9MCXkaa71W0x2S90mZZSm3l9D0/kJPtkR768
RlE2fWJ1kXyEgMJtx75Gt8gp6pEYr9qsy55mDIa+W7vYTxhzdd8lKpd72gLADY+TrD/3kvOhym1n
fGmjWn1Gp+5aDjm6fKzNPL0fVxu9FNSvj5Rvkh36GtYLe52H9TgAK3FMrI7PGTDJ2PM6Mr1JLvLw
bEWP7uFlgd9PmQ9z7d77GRavX2EgguRsCj6Tn1EaJkVJl4BxSH3bYlvgJCE9Io4C/ccsdh/lShEk
EpQShECU0eYR7GGLLdqNkMHn+5wJ1E088OrglBTj1hxTG9s32K+36l3KejSBryAwvGvwIiVplsTO
Fbbt4Hw5ojZGnq2SRVYRi9f52Pe17w/tULeySrPC+m8Xreu577Qx92tRbBp/Q0XTO5VkXj8TUXgE
bKEhB8Zs1J8goSz8K0rR3R7bRNcdxjxvp10qF53Alxxg2H3vY2wi8Me4w7dAOaK2eW+RbnuIlpcQ
3Lspku1Sdfmc6LsoWsx2hP3Y9iPKgU0qNdCQ92LrVyyfmmE4lI/3imdzNQzO35E+QcApm+4+WJm/
g3p5QIcA/B1R54BRA8mK+nO0QU5+YOiQCR9RZ1oXHERTnPxwbBRpAQaO2lAemPRsu3OHG4rmq9yG
yVT4Umh4Z0oiMseOqRdTyaG28C+HeRF/hEUaKyruqZ3Pa58N7FgAyw00ar1Q1pRRDtvDg+fksgij
dhECdMUBGRM2H7Vrt4n7s0NTBi/TfnUayxj3XT9nnJ312Y4uFrsFjtpxU3YmzZK3PkOEtls8H2VV
ZAtFr4+jQb01FDY1uxh+881njYJGVppulvJjvG7YPUQU0eSOFonJK8NTne56VMOWqu8WlLZKNEGt
YteiCy1+zuwwslcAQZqlDHCBtvs51HlfhnTLEMFwm7jv0QiqQpmj1YO/gmWzFEcZrC++U/wo/2lC
gEof8inRRZXpQqUvWvgYpskWSYFsJmPeBTTwq0PaTrEJZY5m+wUFTNltAom6Q8kBk3pFUAhsej2A
dc2n+lH2cbOdkyxeu0duUactqSUefulWjj/jnDTyKd3qDuKeOlbdaWZLlL6gibegWFMj2Tzuf7pg
D+A3+vEAuZg1FW5V8vlb580UAZC4OXaONMopn2NtLl+IIvHZJSO3LboWkYCZpxn1Q1UpMbtpLuHF
kqT3MU1zJJe5i7pTA53F8s2ngU+7mtLaHT32a78bc2vVXhPChl0KIo1T5TCaIA/IBjW/rzPYr0F8
qS94MNDS+l0rG77e1S4uWIU+EcHzHZwYYiyopja4z8ZVaC/u6LKSDTGLs9kJRYIet/UDYrsSddhE
lZFyW7sbMA30IVvnZPhZNLnSEXKHJHMEvFuYmPxpldHo51K4IXM4TA3ixKyK9MiPNLVpWM8qYYS9
wTPauAeP1H61+OFN1maIQVbSP+dFo9dPEX4Nj0qZONLPh4ubNRLShW1L9jRfMuj7OurViuALelkY
TIVaiOdgkgnJyjgTigWeKdSsigp3LTmy1XgyvPveBGTXEMiFwsQ/R7dEA4KBIkfC1Du02y6g1fTj
3cT7mT3n2DwEQkXWbj+UxG3E17b1vTpkIusij9G1pAOLmY7Na4ZwH2s55UWWHyxCo+GntFnuWekS
DrdmX2Qz+5CgPtcA/4L6v/vGx2xWbzaa++ilF7jweV0uiSocCwLTaVUsA3yN0TZnR32WBvdemCSZ
JYexQOJD9+AozsM9OgBF7qsNd0g9Mt1mLJpiF+fUsXtvcZP0gOia0QeERdn0vtOtGu8KQXx/jmaw
0r+SOK7jil5itsPcm2gudZH66KGP4U71Gs3T3GCPgw19xREZd/swGzY+NZMr+M7kcbF82DR0gRWL
J1zyNER3sJgZReS+MzrZ+gPxEzb/DnyDdtnuog34boSs8DXUZ28FCYingLiukmJ18yn0HSenEVV2
f9SKbvEbqop5ftco3ARWNjYQAOzReBqPbIe5uaG2damoRYdhTNO5ItS0UYk190jtFDLcNeawxzjE
CaTVw6GJEtz30A5XPKHUQKyxMgyrzXejLPLs5NaZbyebrVHcwdIt9TNHTU+AldbPPGkf8mScprd8
gqv6z0Jks3lAYNsUB53Lmb/3HlczOy1YK9CdCEHaS9N1mt7XQnfqvWcYmPuQMjXdxTOQOo8L3jUF
0Txs+Us7F0bcre3I1Uckek29VPGMaHnYtT0zKFtn8Ghr4mrGYrZRBe8PGuwO94AF4wcFOeDFwrj4
AgfDeEoqzmGAafbm/6g7s93YrSxNv0ohr4suzgNQmRdkjArN0pGOdENoOpyHTe7N6en7Y9jVSB+k
nd1G3zRsGJBDCkWEyL3W+qcFFdSrIw1YxwcrvbztbqnTNcAzYhyoNHq3YH6w+NgxVwVOWizfYE/i
aTdwJ++CZfEuGaJd7WRqcUBj5+qk15krjeebez133XZf5J5wLpeywaJrmHMjX8ZMBYRWFIrokJ1M
2mlOQ2N0HQ+O00R0pYveHyIXYKN/rQYi628bYhd6c7dGvRpgGpPDcne/W4Ihj4JqHIvNXHXrRjnZ
u9dOF9v10cZcPh5E3SprkwxzW1+aPTk1QKQ6fGszd57aZYD4Rqj1hqHt4Chltin9JGDsbEXf0iFZ
VWa9TR5b5E/xkuTTPZEMtgR7T+Nu+bRqx0re26LRy6NuYXU86qC+4gp7eScfSyKp6W1qx54uDVvr
5x+zcPL2cp4TrQfgm0w/WgLakRB8WcGtZH2P2E9I+0rpVT9GcmZx6LHjJeQbtZhmEaGNd+HMbXvV
qA7+LkAefF0ObAb+po9F0l91cjHqC4+1d8v61/ZiDEOBnNkM33t2/g7Mp1mb3PG1tieslXkm6muu
9mpLZ11QIDlI1zF/7NrxJtC6wYpmTTM6bhZfdNglWmf9BIMWuIpOonOCm94bSg1feuZln2qtj5+e
wmdPvIGTHEUTzEaoc96VD1bXmZJ7L3EqIcPW7zH6AzGxKMpL9UzfWKajIa+xEhFfm6knxx3HKFmI
Q1lnw5fMp3a6bBavcp67Sbk2w4vI1cU8e8v07HtVO9ysGY7Woa9UHFaE3YiQbjRZwfJ2Gqi5EJi3
/jwH3kWf4jS4hiipyGCgN16AtkQBauWwuNJ25BvGVeGHGIvMcTu5bQFq14n0HpmEQUc0sJT5PkfZ
SF1kxwbZjcHgx8GT1+oBcu1ah88a9nXciUaGGX4/O2x8dARWBPfdqS+ApATwFsBGl2+gFUumha6k
fc1Dh1NWgiGWzazbISH1zJ27CXsoy4HqyXbTFxzWs+pCNbLERuyrQTpZHo2C/HD6UN2dHGPTWSlS
js1/9p0knldz/D1MlSUjPZWsn9R8KeKIoGTrm8VPa6dhTJP2GKQr9pswfk/temba8U1j9t0WtGBR
KJW1WDv+Z6wmfZp7uzwQ1D1NG93NGxUuc+rcQFjVauPGmL//moLp52Qhd7brqqn7cqsH33P70R3+
mkL950Ahp7QG6Bqe18rufUCLzPmLFpqf44Qa0hqDOPO8HWVSB0QKBv2q57TuD3+uXvqDwCoog98r
fYDCTIkiDWZC4/4TaZPJUzVqDRmIfdcCOJlDzloALxDm7dQD3TJg5ZoeNdrE3+nPX8SqKvpXaqOf
9J8JFM2UaZ23a9hmWm4ynCFXiAdFRL8G/QgX5/+bpIE/ElP9pDPrRM+lhqZ4RyCA8B7k3MRq0yb0
uZuRykQ6KYkkJV3pNNf/5hP+A2nbz+lEOfowqonp7FyfnRyS2JmtAGv+N2/oj579J/VZy0a/3ksD
B+VI9V50xtPot/G/kYv/0XP/JA+lTRdVm8TObmbtR5h28zFTpfUXn/wnhZk0DFk3ynV2YNBbiNQs
jA2Qxz+/oP7olf8kD42nIZNOkLm7RNd6avoQh0ZK9f9rz77+1n8Sx5lFa6EO4nMxl4psXhmwZXJp
Hv78yf/gCtWt3z+52xnV2E45l0vqBeZnD6Y0Rro7m+wV8s2qDVuFGvuAU8hp/9J6PuvnPJvUT0aP
GCFnxzpU59kWXX+dG8Crf/6Gzofrv7i7f06z8fLZAhZK7F3lBykIdFDPI+QK/3zNhnSfbDpv/k9t
G7W7z9r8MV+yR4MrzTnEfaZSZpUk3bKd8XMaLFY3h9KjJfv11f3X78SO/T/+m68/mpZhP0nlT1/+
47Gp+Pe/15/539/z+5/4x/6ruX6rvvqfv+l3P8Pz/vZ7N2/y7XdfbOnL5Xynvrr5/qtXpTw/f/LV
rN/5f/rgf3ydn+Vxbr/+/re3zyqrNww9XfYh//bbQ8fPv//NCNw1M+S//vk3/Pbw+hb+/rert890
fvuP2+7t86tP/8WPfr318u9/881ffMdnmYjBrnCmqnXd0vi1PuLZv+gGQ5rOCGb6hsldVrP7NP37
30z3F58fCPzAtmlQvDVMp2/U+SHjF90jtDtwXRB5f03x+Z9XePvr1fLrn4XP5Lev/6NW1W2T1bLn
TTHD/q5oeLZr6K5ruCZUsWfr1s+WxczQkNgVS7+bSpXaG8KNMIX2XXqjabn+RDiT8ewLuNioW6CI
MwvpzIVft/Loj1n+UNtmdtOJIRFIXmb708mK4HGpIXX3CGpN9zKulUqfkoTsmFDTGtQmcW6GQAlg
uRprFXu9vBdooL55TuMgK1DDTVtDNubdpIVtPT5mTls9JktdfyrHs246vcoPpt36F+6ypMcuqdRt
VUwlAiaP5RBRT4JgGwkyZSIJy7NPHeL4o1rWy8lHT6pHnfLnu0DFwxzmmVs2F2Yn7pmhq+V+CPrG
OrrpUj20OljFJs+64aEymiq4WOyRcLZAL4kT921wzKOZlKgILMySn5rmK7bRiBqpvlWBnFwSwhkE
F4wBHiqJ0Ta7u5nR4dPu7CbbJ8FUDE+akQSfDUKV98UYG+NgdoGottKzCDrPR83dZUHQlRvNLczq
xvG9erxY0G78kLS5zfWUVuK1NJXx2LhmFVpd7N+Z9uzswY6PqWtZ2kWrpa2+RwHjvnND28PRcrmz
Q0EXnIRlipEuTKcWlH3oGpCnxM6i2LCLFGWv/giglL2o0k4+mR27j0nvvevKy2Zv2/uY/eJ0TOzI
Af85eYYp93USA5cUTId7PhXbiCTR4zCygtBJyvWCMqYYV2gqubRKrSpeFy6O+zzHsBJKvdYvtM4v
wkYDO5FLEpRhi4AyNHQryaJWVV1YJm66UVbtAjMWJstE69G70No8QepefKiKq2WqBRKFrGpUtBCq
+eD3MgkZ0wsmX963AoWMcm0BXk7sqXnTmylGdaSsH0lZ+c92V3GRG3pfWK9p68HvtuUQeWp6t4xG
D2F+tUM+IVgk8zRjil5kupFVkJ1cWd23Vp4hQO7SS8eZnTsiOIKXriuzq4QR0t2W85LuEdP5H11l
koKL9KD8PjA0KbhaZ0JkliVTAn5rVhmjZ50WLNQuJ5/5oMzbi762tL3nL2IK5zLpL8d4yNAJ1Pcr
rbfNGsMWezuXZthawWNp28NLZ3sgIe3A9R5AZAKoDyxy3vkNPm2EdtXy5lSpSp+VjhQZjU/qlWjS
3BzPnKGN45ENpekQjgofdtSAa9RHA5wyCemf0+/9mE0iZO6SzQ7SYpguBfNzsEmLUVBrfdNKkda5
pohSbTRu+i4zvJDQKPfFWrxOm0I/oV7u40rZzyhEhXaNXCftkGFnqdpNWF+cDSGa5hwV7mg5u3Ge
Zn0DDolKzNRrp+BeRz88XduCcPwrpu4xR8eT69UDKKld32PZKACrvdgYn+EmURrrXllMqDM1H30D
9Dkj4RwsXGXL2BxkmslHPS+dI7NHIh4K1Ic+U5YkanwEpbgcSsC80HJaivq8GOUT25WUGdlNXnyV
owy6rRXHHa1FITR9kzhe2XMhLbUKe3TUZVQrIx421VL+6AAJEdtYI+6DvC36I1fmpNBrwzcYYIp3
3ZDV13XtOJ+uNtXmgVWsQXahbKd7t1gepaFfJn47Th2YoIyHOCQm81vt2sY3AcLA1ioImV1Z2MnB
0VuRRKmP3sYjLBSC1giYcWPYrCEs0gWtBQek10cqV6KB30WIjgoq1njQAo8sp6JGRlh348sw1P7V
UDj1c0M7wgJYKLlrNRKgWuPAm8Kubact51CC/hP+4uAacrwa0K7exhoKjMjP02CXa+50h35mRgdf
m/fVUKd2NKLVSKKiTppjjHS4D9tyQjdJ5thJkiQfOVonHo3atJ4r6Y47owN2XOrAPSr2uKPmpkRW
W3A//X0iqSeyNBP5ZIJKdkHDvqi9Pqvgsm2kFtXIr4qwaGBgU7tubzTZqDfdmqbXDHnQU58axdFV
Q47EbIjvqZaZDwfg9Y+NkU/vQmb2J9Lm8XHsqhFFTP0QcCyxZk94AKTp0DyASE05nWzaXghRcPL6
uCkORiWsDWnSzh4WLM8ix5ZAOEiDsnTnl8PShey/e0m8mj+r6uv+BGfp/wgGhsM6Q4lJSpQO0yqr
V8+rtGTTOLo5HnRTWdtyKMEtzbI5VNXQbDukcddoTS1Uf4008t1s8IYhjIyvtsm0SxXn1ornomm4
xO24tBsUbs03UY6lF8YEN3EEDK19bOEsTkWRJnKDm8B2wlmX2asDu3o3qNm6WnOXb+quMAsYEf+D
0txd4jPoX/LBsbg2JqRM7VQkp4p1BryWmYPKsabunugdvpakjN3wWuRrhWL6qTB6dwQ7aZZ70xPp
MXPmVkKWeLvey7+Qb5XfXG/Jt2NcZfKav179oi/sxJwgWAg5kc6+Me18kzXt5+Aty21KGvs1ncsE
f1pX39nO2ZGtqmXpkRjaNCQCsYMmxAkfgltbG5Z4uHd6a+hod1Qw3xkK9/MDEId2YdpN92oaNRcY
mPHCgNUIgOKxa4YxBCGX764Y7Fcgu+EOSalrHSGuiu/NmKxchi1LbkbCb9+bsZcfqHAG9HdT02kX
PTK7nE+VVQa7IRm8BzgGBCuWU3oXLQR+GsKv8V8wHMh8no3DTNc8b9h0tHmRYwoeLBhg7mxyqiNn
7DmZ+eMaT6ssXG4l0uom4qerTUtjJsLWmbI93Jb84TQBGSjFwNe6laofUCvDsRyd9nJ0O+/C0bL2
rmiQVoW9h7Nm45QDq4ER/OxTUfWnLEWyjtLevQggMkRodFn5DFVdpmgQeorNzIfTY3MfeIVDyoMB
MsXg0OVVn+9alOpvIqhzeyvYDfyWMQR+yH7y7G3fD3XCHcuS6dAEeS5uDc3pTvzhRR6a/HiN4IGE
xrDy+voG2HC5pzFNUZsnZhnamZ+0m0aVCxerFies0MibV6RCFfebVY/wrEtmhHExoNxxRPtSN9KF
QsdyxYopxznZcYzDSql+O8QdUJ4PtnZKGgGz1hpOcUQ9kW4TzkxUi77ePEs/ER+L3og5tBrPuc5S
lm6HEHXufdrM0yUa4vqxCRSvresa57pZqaNoZFfLsRZLYm1NO2luOfVhuzoP7oJmB+4bpDH5Fhvl
eu6wYMbuzQDEvQqwSnQxTdNmbvK6iqxpFq9+llNqfC1YbrpKOPZm3VjzJmXjbL007xuCG8lwtDIT
5tcbKzzw6UycaQgJO13JzlB21Pv68i1ZZPAYsMrSj5gElusMIeGhbqZ62GAIsr/rgTOkDwUMy62w
U6vccsD4n5LeUobTpBPt1FOZb+tkdi7Sson1MKukf7AaS5NR4aUaWn8+swPCx2HvoHfqQ+gY7y5D
7IRFCoPAg0vV2bQuDtd0kYj2IVtuxzmhb0sd0d+VpnSGnR4sDpqPUdNnOvsBHqgbEvcB+1aGeprt
NchaivnGsUSBT2yy7kXLQX1wLaSWYaY57tYZHO2TEy/fUZ/dnTn7+Zc3A63SCjnfAkwIxq5n0d49
NI/72iw5AsQgtbLIFWaHLYRc8ovUbbyXghTrW1R92jscT/6gz2mXncxeVqca+caPwNez9nJJ+iYO
cZ1Un5Y9yadlnOYDPqrh5LVOkW1Y1ozwERIur4EquhmRZs0pdBCC3UWzyLVvSEvLYVv2bb/XpQOq
mHZB5M3I5CPhtNbWAHRWUW2yYQFXwpjCrQ/z8+ITI8KKMwxf2MKFt0kr4qawBLWXsoFx2qAY6rZj
nWSnKen1o1Gp79Pq3IuTJtssMKy8EFO8xhicGKbc9mJKLf+YkShN7Ursu2z05NbBUZKE2TyyVojD
K7S09MmEGQ5RYU8oDwlmNfvgR+PZh961uiNJzslW+BLmWUunPQrGZh9nc/wVQ3vc2GbD+TcHkBZo
hM1QYx8RcpV0P9Ii2BuT1UjXUEDN7QQreBR52+9wGdQH6OLihKtFfbD0q73z1mTTKB5ojcrJax5t
ah+o4dizVD5IXmln+gh3yT1OLeZOxQudFy+mgoPye0MTw8fi1WuDjrClRPWXip1ENCDDshmz8YPp
QR5xjeDcpBJjZKlH+VmIWh+3+Vj6xzJP/ddcmNARKHjlxcgFEmna3J06YeImaYr8Aj/S8Lb44nNp
NXor5FhrOWUaa9M6Prpz113MmrnsGYGS3ZCmTLUZdoirIHPqLVSnFYlaG0KcBOYuiyf3Tlb6jMsL
G87JFYW81Nu0PRIbTO6C7yDecBbCIyCD3EtcC49c9neunZyGST0hgLBv8fJA2TklJG5RtGFvoDrh
z4lvr0hyBrclT69QMtZFlM+qfGJfdPqMEy6ImD5dRYEV31xdTm9ZW0y3LnwYllPkd1dIyL2Da472
sYF9sPb6hLyCajgtL66p3xRt391gpAEj6OVhDfGkA1R1zZxmqVe6zjiqC8f53s/N8N4u/RXKMnHq
y7zaCAMWkyMGkg9gX39Hmo3CX00INtXsX9HoLaehCUDgykGRLMLvRmThbBJG5Z0oUfZziWrOsULZ
dd243vgoPXrzGUsWltRSky+4/5wLaZjDtq5UGsrZ6t/9Okt2ZeBNJyeIx4c4gZ/QfanvRtunuiFV
21ma4T77tWBtU90mycAarmHRt3QjtwjoPLGt2PUOtaWMais04QwE8ahaRkh1JSXcIFrBZWpjGtas
9pWFIEa1STU1/PDKWHqPXjL52IjNumYykWYaSarJZ2dqeFMLxG0HQD+WiyUd8ISyzDIOPS1vk1sW
SulPxK2g5dIKYKLcMl/NVHNvzLw0PvtcwzqBXG0VuPF3OCqmm53rlQwSkHjZUyGm0YGfas3soW0J
NT8gpPK3beKSqeCXYvk+pBCiHgjQcVK9uVrTrPrWKJCKH1aA5C1xNANN5+IVoT1M7oD0SlLDZC21
B6Of9VCObCijvrQPaenJNzyGHAC9UR1MJ3vt0KaeLPIP622pkmKjj+AszHWIyFwQ10fhzfLQ14tl
XiXTbPSRhWa+20JLExIk9crSdhYiKxn6I1udnnKRmXjuqJpW2Mfl2jIml+PYQjp3OR/EunkijHEJ
9ugwA/1Hq0/q2md797M+VZ6HtYuIY77Ny79nddZdgODUzc7PhZUBaU3I1Lzcqh5HCMOHWhqDe1lN
4KinJp2KabOkc7XNRm2MZlCJvbS8l6ASVbAVjG/sMdYRAM5Lpo+RZTjLFUNn9xrUVKzdOGZOCJk8
YuuxtEcy5ckmdJc+ooVEQqWa4ZVbLuuuOfJd+yRUld8YsWV/lLnyn0FmdPyAfUMn3Tr7uijbaydo
xYeNkJCbKUisy0koY2cEafmZw0/GB2QzCKr1tCs6/H8W6ugiqDrI2G71Llut2cnIbceV2sza8Sov
ELQzFqoEPKIUEOj+1Ep7w7lOJHTbJiPGob7x9FOZklAdZvbE7Y7eH3431iusZT2TWL6rMD2V+8Eb
9E1XOBhcyNVR361YrK1y32DwyfqyxMTKiBzFIJY3NeML/5f1FbhEoFvckDpduBfCqew3WH0blzEm
8KgY54IOhxI1ew4KbjutposxaN13rDLts4v/9/vi1vUUJl2KpscvrTnqbRtFMVvnZ2SCkhYWNXd3
pBNHzbm0RRnFs+oZ72qhi4gY7BZzHHTAKxtj8eq7yr0u49q3GboqX9tJT3kbJ/OdDxf8Q9tgHChO
rl0WNae86eMw0xB9Gy7KoFy41i0aHetQVrIJuYKt8r7WSnEYY0tgr+6YPSIzQK/Mn8StLw14dawC
ApfOprIKu90OVcN27NistCEhICqu2mMeoMDekuKQ74vBg6+Py3h6GVwGLN6J3z+p2VNd5Kop4F17
7pJEJqKxNkRuAoA2FHTJqkyNRx+R97C1pe/SJ8Dwn7DYom1NnCF/M+EgwS2ySTN2M341LUItIruL
wFPLc14rhi4uT9ffFMnkOZjS0GZ+zzLZ7zHBuxcAIl62q32r3oPWlp+1qMwrCI4ATx4bA1VY9V7n
3mQqkU/ES+fPYiSFO0ST6PI2F79xWSXg9TOXGLn8Ec7s+kLOMWS9ZLsbUvEhCR6rrGOan9h6iqTR
yN/Z9InYTZmmQLhc+1mJa8cgRQddamUc/UmwHCVhz7B1GqtBLajeMel3juq+sV8zZRgjPrEKCxNI
j82y2LmS1AV7ZBbQCtyaXZNjWzKsBN1K5p0mswMrzYLcv8aEgezD4/zkwM4TUSKT0JBrs7Uy0TdO
LRcPR74BYOOmSN82Qza01zn5QeSsz8X04sZ5vFk8oV64kzqT3dy6YjVB0qvLVjcHh37Zs4KNZvXJ
Z2xkeYruGz9CGMc1Gy8pS5wrExLW6ltuDfYFm+oWdEJKoqgbKZM2zqhg3NtuQbaQ2aP6ZDH6fDnX
Gn5OpkgtidpuIhoAIVGZb800W+5MERNU4dMZdYxMCB+Fzj2/HTI7vmL/bjxGHaqxrdBzJKBjgVaD
3IcAEymnqjWEfjXtNKTB6nIenRpfLhbHJUInDY6WdTpgUu+5nANLGvjYWiTdfUllYwRz5xpveo5F
2ceG5e4b9NC0p2MCWDQ3vOAEM1N81avaiXdlZfwYCs2/73zPAHlEFBXaWiMRUKQ5ckwnLdsy1EoU
a9ueYzNBDiK0u4RRw38yiWfYJu6QMcDkSI/80Ri0HWO9nf2w7Xp+LWnI2OOZmdk9KC6qKhpXsWGl
dHZflP588HwIhF1a4HloM9WelnlInvIqpZNmgXB+W4ryO7KgeNsgXSiOOUVkGytThomQQ7xRU4yf
GHHOZ5O182NeEsixQber05py7M6nklLYhfiNiToxg8k/iHHFsosh+KCZ69713K++LfrUYetoR7zH
9O8XGm5lP5LN+o5kjBHGcl2TQ7W0vwxNjDtQCxTLAAonIB3UnpajbnvUdmqjVQ3u0sUbl4PFhXsv
xdjexwt6CHaFGdmGfUXYITDlQPAsvnwsfNOYTqlQ7Q5tlJ/sltEb0qjSepAoo+3dZRfbysoOPpdv
zm00WOCWWTrmEKtlMe+WxRhYYcCmBfeAiNCCnsEDZodZYRpHOacPKYuBIpDE+U2Ps62l2c2m1fMa
0xvK6g8IGcEkIMzv9GSTQ23LU/ehYDQJB7IY29XalTyiavMf6UWTJWKFoKdFOlSURtsmxLPLussf
gUnnDPMCDhD5KJe/zD73i8i38nJTuxNgv1AsaVrMyQrtioOejrJzq/2ZdPx/zbxeZR9d0zc/5M/U
6+/Y2v+P+FnTIxrhz/jZ+7ccAjZ9q/+Zmv3tp36lZj3/F9NzPUhWy2IM8SBgf2Vm3eAXvDGe6Trs
VnRJNEei8Bs1a+m/GLCoULPEVuimtT70P9Ss9Ytu206wBo7ovqETzvp/Qc0Sg/ETMwvREXg6LHQQ
eGTpuz+JbRq9nbRak/1Ox567bipajy+zdDjKkDi7R+4cDrh+Gnp3H5wPPsEmj3pTrechIicNO7SZ
+CeTLVbI3Cfr0mU8yaLqfJiiem8XtMfrIZurylSXAUevOh/ChfBQ0s+dxRHNelSwdNr4MVLrGa7I
yOtg2Wr3mAZ9222Vqlhj7c558bJk0zRuDFo50mJQNRPp01QAgnodJ5eTP7jvqJJIHvQoKtMQ+LdL
geKXzcratmqXgj2URbNthSruB5yZHwN5GG/zuTzpZey+V4Wsv5sqSbqIY4cyVjlxmu4Sm+o26F7+
XPoVh5c4V752ZLjde0M1PfRrVSSUlAKpr7Vynlui1Zd5erF8m1I61noL8NV3Oq3cudieCy80Y6pv
ynNBds/FeaBxiNnQwBkVJogYb6rOIM1hNlTw0p4LPGQTxT47F35siwpJmN111zT4DoE2eNWZd1ID
W0NQr0CwVcqQ9Qu0FBoZK9bJH0CC931Nt3BsjLqLGJbUs1IyL0NTyp43UJTrKD111U7kdf6OW624
XEhyuSVQ0P5MDWP6hpsStxktEV3POIn6oi0WkHecPdM2ZpH8U9Wzp4dKRrNUOcpLSHYSDT7ERTlP
6bmzAhBMNmIJshUFsJt7w01yAbLcT0/DKMvbuhXpHdh93u3wHAcHKLR+T1hC8j3/ta1jevN8oKS1
3/PX1g8J6tBduOhWsN+cu0OlEY9z0GyaRqA9+kdiQOglDa8FGwG9YCHdTGENKyQUjzDJDHYsjprb
kGALut+26WXMfL62rMG5ez03sqocp5ccDf0lEwzTeHZueodzA5wGBHNFPbQibo4uq639+GuXPOar
PfncPesI9GFTA3XZV7Z5p/rR/1bk7F8JipTfqtX4VaIAN9ItHAZdOQNxE+IotA7Z2rQbYJinaWBy
2pcUvCo0DL9+qTH1n7xz1280nfvR4uTYGOepoGMJ1kUWzy5cz8Qc2Tn1uGWsdF+CJGdcqYzMoFop
DYgbM2rAdNgSfr+CkkcfDXi+azpoU72hbYvGRWNsaUaZ3NusFVcIEvPguz5m4pn4Of/dHXz75I2D
BGtZZ6F8nYrsxn9WQwb7jbGJZQDSsN9gDF39JgGmdrfVecQiNkPdiHrBoVEoZV90A+NjCKAZ5ztr
ndKcJu3f0zxB2V+ex7juPNKZxaKsQzGbjHoJaFHNwDfQx8cu6PBJnEdD2hzGxJRdZAMZDUGbRtOv
o+R5rEQ/MAIpTbaxQTfC4Bn4RpyGcNk0uKkuZwr4uncgbLlgCcbQsrfiPMSa6zw7r5Ntvs64NXc4
C4z1Pv0AsmmuvXUannR9waanXCb4dWLu1tkZgwlj9HQeqZN1utYWNNZ5ba+8bhNc+qglvnFF4Umo
YH/j85BOMZlfCjWX18hlGOI7thN6iJgTc+8g1gu2jjd85J097b2ENcfzigbUZ2BA5QbGWATSAAZJ
6S4PHDZO9VgEfvzm55p/bZ5xBtcTmFuStvgOKAgO4UsfTAJvkvYsVqCC9k7/ocYU9MLPkbmFgp0A
HquDk0tdN5tPaQlwj+KMgcBNFv4TjgmwEaTt4CRq6Gdvb5/xk9F29B6MZsVVuhVi8VawxT/jLsYK
wVQrGGOfcZn+DNGA1SQS0MZa4RtptuqtXCEdtYI7aPz10MHr8YBKHuyH7ssb1skMTAiph4mhbBne
nGCy3EO2wkdBQYxDONAVH41aAi+tQJMkfazdGs3ob42WHYOHLpZ29qDb1eTwvXH2JGgc9VClfrkL
KPfHYjLBtQqbWLvQHDH2qbj1bqCJrNfVTnhrzkazswRgaAm6lt1Wqaw4UMzEcSHjxvo1X4E1rCCT
FakVbmOgT6M06xofA48IJlQVGJIfkxWmY7IzK6gEVDnOrzhej4gqivNERTYNskRlEYP6JY2H/fqM
BZKq4BOfsMS36owVelkMbuhjzwErW+HEfgUWR4u0SChPfWdWAfbYFYAsViiS1AXiMtSQIsoDqGzJ
stu2K3gZF1K9INQd4zAhFykNbZQBJZEkytJCv/TqS2forBuGvHsFG7QhQey5SaAnoQCwbOXSJ8bP
iU+Z1ZFUAHT7OaW5fkyYuAgcaQX0Sztv7DkDqpXQosL7gmB8l4mt7Y2sbEhUQpUVqT4jbtVJJvtZ
Fviwtk0L/ACn00Pzm409WkfbdQr8DDaQ/pHk7ZS4P418D2h81xnAbGdLRIlXqmU3dT6z9ZT6n00j
GkhCQxpPKUjeErbQ085hZLCarhcun0+cdvCf40CrY6fgJ4x0fXNpE6+BV0XPD2Db2tYc2LWkUvgY
NUl/g2zP6zelleVHEub0bYp/9b5wQEOdIS43MfvDPipc3T/8LJYvpW/hW1/m/l2Dbo+KxbWzzYiR
HhOgE7vXeAzdsA7G2tgWJHnl+DLqwiWroNG0bza8KJbzcciayC+UqDd4NIflWoAym1vWDZPtV7VA
Y9skJjdgO3TJdGwzzboWTD0kIE3sTtw2hrK+m15a5MeAfIIvX8RmWBGOxLXjt+WxqvrAijgRBg8I
VPdvlgVEC+1EF1z9L+rObLlxJMu2X4QwuGN+JcCZEilq1gtMCikwzzO+/i6osroi83ZVW72Udedb
WqRSCpF0+Dl777WHuXROKva4yW0FBtGsbLSDUddKsvL7sP0oZYvTBXjS9Kayno6Jt7Sa43aKPXNa
BD671dwUWJVaFclzH5jpvM0mwx+9hN/yjQCkwjI90SwTMdc8JBkL/VIWNvB5JsonLlGo6Ykj5M+m
muqXjvDeIc0MO/RyaaMh8FAab4PaWUwoTs0GyRIGmSDoNfG5swQLFzAoLZIh+XtPJG1tnvoAjiWQ
XzvmOFMlG1OiR1xdrIpN/ajy/WSazTdI7JF0R8e2ScCl5t3gzMUTbSqW5Rp2VOxtZPaXeKi6eJeL
kFAfO/SCPkBZT+su4n95igokuHMt/OBmjBsEOI2p790wnepOlpl59ZvaKle+NNt6FfSzVnJWSt4n
RGP5O2tpp7LIjL2avJbX4zwaVvTu1XcGQcBj5y8DN61Nc7jiGDegFnAr5sggTbuNVCwiazvU7ew5
MOLiS+IlY5/QThwXwbDcjuKwnNFUujZ956LgX6d+nIKTzeJepZCxnWY+Nk6QrZMsstDbqhgJjAN6
wm8Rh+1TAna857mstueumPxj3vU97aJp/ZV1hrgO4MgaT5ROehfOo/IoK9V5kmCytrJ3nK9O69VH
2F/DERiL8jqpPhsmH7zV3VDE3SvnL9cFvWql7mZ2E7Pt06dpNWSqvaeIZHouoolpuuMZ82zqKh6Q
JUafcQhAZNsWxPWA3MDXadyA0tCUm7KaAENQUm4xTUSyZ2dz+yfS3MMqKPpQ20eNNNNNpSagZcyQ
pxs737Catr4WBtFhbs3kaHT6VO07fdmWRHFaKV7npM6vPu+zn01N4S9xqC6X64ZZ6kmPJ0D4ZjiM
tdiqBD0Ul3dvqB8ICNboGugt8caAy9oTEs0LR3kv6sbaTax57cLDbWZgzMxjshru3DPueLpKSdcL
Couwrwa78WYLFUTCW0koIrIgEnTvBvvoZgrMeDOANFy1YwqbE2MKhJBcN/canyfemLNiZyc2jsCu
Ok3vtduZDaCxWBNwvtnGg8rzZj4k/uTfET2r0gucrTkHIIltR55wtOLGC7OhS+n7CGi4UEktaa6W
9T2TSpob9UTaPKyq6iacC65H2IkgXUpRZvptG8MeOxii6cOzPVideaa3yh92cRO13ohP6g5OQKWc
bIM7ycOUqsibFKsZ2qYZ5zDaGyKOUFMIymY7QoLTtMGKMDVvMN/UdyeKE3NVToBK3hIzyFmSjoGw
uCS1mo+3k6xgTWNew2ZesoeMEMgmCM5eMEn1Ddd807JsrAeYAH65bJCMyTnx+K6GXWKL7qCTOEYs
Ipm+K1SZbNug5S4hfXO8D3MkuP0UYYnchDWbJvz1XRDfFDrYDHfGE4zPJpHNBi9OD7QxGMwtpirH
P2h1MYI+iwHBuE7uW/4hr7qpkiyGpTqteDIgHhO/T5vXMeG6XVbjlN2kGkIgy87QmEkCD61dHnIV
j+LOx/Q/4Vqh+viJh5TZ7HET5Fxz1GE49YNmE0qLoqbPHlmAkicUfIaLO8KLNPeaJUWcoAnYZ6vQ
Wy5x5TivMZc7RJGpLaHA8ddBpKmjad6JwLb6Y6jocwrwzLD01axY7caSdWWuZrtWjlGWvDqx4mfk
dJEWw6Tkmaj75ZuijQ5rWHUG+xdc4XqpHbJQ0vDmcYYU6KnWoziQ2gu9yEfdkG3GYyoPFf/XHHHX
2wsrRg9hxdAjuKbh9HMKak3bN4MIuLCqfYOjDjmXzLrpgtzSeP4bU7bvtUrRCcKl1w7iDt2i6OvH
YOQTy63FJ4Tr25NhAjsI+o/GsrvF3mtDbirgpSC1MQqnu6ipA9NtCFg8NYEW8HrYc2wQMg7EGVZu
Km/oSeoDj6+GuaDnPYjOKi6cfFXADsTnTGp0Owa59Vlx9AOMqWTz2AgdUSohuPueKWa+Z7GpQC60
CFaWadO5bTYLE0uzgb97zgztbKQBjhX8fkuAI9vHKBMzvmN+HSbGrCPvy/aB37yz04H+8PWFJQr4
gs2+VPPxHR9H8DRNUQvSM2gpbo6FPPSagD6MciLczhbpa4DkU7oJLmfVtQoBtWnojVLFrEAV5K3T
dRXnkmZnzkbhL/ZUsbs/EoTE7TniCCNfYvsDrWgM+/gGfbBzxBxDQHH4kHpvwFzNiV3Bx/nPbjf/
NwZLVMFneak9+efZEu8rDaPf95biv77oj9Wl9YN2E0MYJntB2oiW2MYfqRKyI0KnO5r8iNSWYMl/
7S6l/QO+BatOUziAMQBR/GN3af9YtpmOw8kusNUb8t/ZXX43s/8jq8RfzmbRyl5VmBqnCY6nP6ew
opzQBj9etY1qTHOraqjaB5S34SXs2/4MgfqhU2rlmmstUjEkxfI48c5eGYDPE7LOcfqaJXX/Tlw3
2vuJ062Zwgx3nrnTwapo0WEj42401fHK/z5ESB7KCzfA9Asd52PoGkDas6OsK6QckPg6Xjtn8B8q
CXiPw6t51go9ey9sEzsUtCK8AElymQrjmhQMBKnQYPhq5vCkxaa6xurPIMWKwHMged4XhfPC2Ky7
YgD1zZ1sXJuKMmz5ICK5YIHxGraibN+qe+bqcCHAL6u31rmyzk08dnnVvZ7pyroJCHkHQwO0qW6N
HXjUCsuCMzyT2oTlKv30F1im/NRrQfhhmxk604TptMvt5iHuZLaFGw12UzcR+HjoW0QCSEEIwGe+
eEPRmFxTp3JerWznNIgRQ6GcwUS4TQXtVcviiG5hx9AjNpS9+lqQQlqpfjlAJqa8rMBeZ9wYbc9Z
OC2rAltJGyQbgRNTs+eyp6uvYGfzn/20/1/VMgSMKhs5gfTpPz8THlui5+8Jgsbnn06Gf3ztH4Ez
EmK6tG3+j0TD1d+PBusHESkhVSEsYS9yx99FDfGDgJqUjg0JRnNQPH4/GPgD23Q4OFQdMeLfEjUI
sf1V1EAbEVxfVdJmxNtUfojfw59w0cva0Ey5DWKaZLZWCrPQhT+obEGAGe8N1MY7Man4xstEdQPk
+9FVkwmukaaDohwMazixbI3cBDAPrmfIKmH52CF75H0/u8ilhheaVbq32Dd/hFHX7tU40uDFtTQi
uA6LvHjV28a8VyiZQK2zIvXq85Hf5G01n6XGaj+t9HaHVYGfwuwAOcY4ItYApiAZl/VXUPfMzVYC
08DJIseDa22Dcu+iU4CuuZ4WNp5idTA/CcJgksiiddPG9hGDtoOhdMaPLmJlG8aa8xlnzNEro5pU
God8XI9Tp95bcxThkTMrAIDSws4xJtZKbwcYLAL0PFTzhuislUsXKHARrUJZv6e24AcdgpTByiYJ
wuw5EbgK9R4Qn9HZd0MK3gRUfHFhBVx+wGOpbvVEPemz+Qb8/QYO3rIrS3fzlJ763jrOxnSHAQ04
p95diCfcKLxyHtTflnUvlQ1mUO8H6EDtpuAym3LLysqb0h6HliCQbz60hmWONPD1vurBoL2TRXz8
xiyWNj0l8CpRauzC7jZhNjm0OTDo96sc0NO7oikTNNbaf3MIXO3j2S4vsAy6AilVMQk4xdWhjqdm
N5qKejNik6xctdWgcNhtooLxWZIc2Wjt+qaydikrskdg5aZYlYFBq8Y494thVaAF2cq+wE3/s6FY
wQV/KXEHMYID+B6s5wFvB1UCHHJAhSHVmvxG1r6eRZ+RSU2Uyrty54QFk3SB8X9LH0D+BgHYPFsF
fqtUqPFHXRavLcvkV8dhZ2JleXKF7N1f2LSaT0UE44IbunrKo8o6UYKC4iJIudXNePLhXZ162B2b
utKUnQNLZOsH6BGWstxDR1JueJgS3tHEoRAZfHxqxMZu4CZipU0TiVnQysRpmmswzwxZ1lMLoFS6
xHOAr1bRdI93ftxnQyMuUqSdTtlb2b+TpxlYICJGQDKNtxj32rch8wdynE6zQ67UHhrVZqdoD8Vw
Zuat31IAKRg4IZdVLpYQo7p1EKkwFw2E+zydvdoK0I2yTrSBdSdmtHKntMm4zWdaRNzcMIcLFqSM
HLNSD6tG4aWocEaEPCC5RpFJ0YrjHGQVBrI+O1gxnW5KxEKL40IwK2OyuI1DoBH49NLL0M7tCVO4
ehlFb48raRnTPUsecdCTtmlZQIjip+rIANz3BHpegibc9HgT1tFoqfWKS7NyzHgUdy4B60LwTfP4
LGctJ2c2J5eGaXLd+mO+blOReuCJxp3FSMijWxnKO7sc/LNt6eUpzOBg9mW7ZAwtGyweOdR65Zhp
dJKxLzdWMZk0RzTjETBNiEtVtidkyOEGMnz2ZpQpla8tSDbNldNjCZzQcTF9+w+Crc+HkDP+6aFy
qGmp6nsjL0ePgCc555RsohUJPlvTkCW3MIyGO7sT491kGGC0bPLHbulYFtBoUJZWu1Mqtd5ZLExO
ieGrOycx+kNrKdVFmE52iQzLeKoUrkIMTsXXoJUYBuexkDt/tpV7a+rkmaSe8QTbRTFcwfXh2A4x
tmXcPEdDdXhL55r2K0982ysE0qNRqMJTyrF+IkMX8aZIuha9KJ3XmpjMTaw7YivjhE6GhtJZeq8a
FwUVA5TSyOBetzJ/E4aEZFaaPUz7Ism1U5BFM8O3aWxtp0UdiKGcB8xA+7junJdcAYwB6ri7ViiB
F/4Vjl47WC/EvrItWN1w08q8upVm0932Zpp/TFbbb3Qhszeqpp03x86yS4fbZytHJWLtm0je7WaL
o7fWTKppLbmvkx4KQ5VlZGLTJDwkU9odyl6vlsmo3uuzyC4M+oUbJ9FPVhU2MKvmAKmOM56nWuYX
b6VGvtOdOusKZ9QNMoDNdmgFD7Qj9V95ow6eiaC2ZZ2RY/PpZCXW5jQzx2KvKsNVrQ8DpRUauZa2
1spTSXeBO+sqlvqOppd0WZ/7qsx3RhwhKuL70rWXeqoP2AmUG4o5dllg5ysrYq+p1PWOo5qEAbe9
LM6qHXghivFqAURhTPNyXddtNK2wQGjpIeESr654TTK0A26n4LE7EgdI1vuww3FL6jfI1/UIUzOs
6zeVyWXXg1PENIMpoVzNqjHc1808eZ0u57WsBmOTO3DaNaUGVdsFhbMbRTmxnKILaDWNzmqIr3Av
ed9kXXNR8ZZ/QJRKdr4jy4/KnrLDWPLryXnPP2RcwnnHlvpN2JQaCRq/9ESTT0cxSCy487yDmjdv
yaGkL2L0PxMeWmnmv8M6JjeQpYSScmXXUobT6lBXjcLfM1sVoDQV7doYCVukuFDvdXpuKLRR4vEc
WvlEtNI2sFAZoUq+Oh8FAPAIPjSGhl+jX5sHIYv6ic9HdbLssttpdFXzmOmKz6zN+p0tS7i/spzf
69Ag2RLmFz8RBAYIEq+DPvPveQEyfqcSsbVKavsd6Gq71psqpCZljD3+QwhbzSi2pToXl1TL1VMT
RdnL0MMU7KELqa6qYO3YDEAXd2yrRyLOpur8ykBtu76iOJshSfRqVWs1UeiAsP8aIdvUt2a+ZOlg
6F0tiPDROhz1fpePY6e6pM9MfCqI11fuF1F+QwmVEmIPS1nZcwy44V5txGwjeFQxNCtcclhw6/QO
nSP6yjhxoCzr5oDEUbHV1czoUcuyeB1z3UUqEeJhQVthYcznln+3tF3mh9FGi6W1grijrjVHjYDv
yminEjZcdxY+tGYYzgpKQg7znG/Y7NnPFVjoMI3a6khAkqsFMxF1F3UzjJ8DFpZfQwk5JDLqNwsH
u1myaiZ1HhTwtwJz181du5utKHJz9PKTpdWgqkq1P87E/D04B+RtmxCZM+Xx1KiddtAq+0HOQ3Zs
5JCsJTqKRw1544WNJaBgNgE5OyPfhAD7jsS6hzOoLNiusOjv2yQDGmkI09Vlbt6YkBI/2SxqGz6j
wTYPZ42XocugJBTmTaTZwUVle7Nt5r7dKHEm2Fen5n1gBfUJYCTmh1gCgTRIJ5awrJyAvInVE7Wk
rLrGDvqB+2VcwyLzL6g0DI9DYbk1R9SqgLBJW0CUAIP0tXVQkUVdOmKJtdlQ7sMoGg1soBqCJum/
wpXkhNbEBcNNTMIi4HY1KPvMKbAfwJNZi3rUd9loinu/daCTlKpx09HTtTMmPdkmQCae2pr5upQY
KxKzH/ZR6hcXa8DauOqImqCuAAN7oaC2xd2YlFdV01g4yyg461GOMdOa9ScedCmfv9pmOohMudYH
OzlEIrMRtFuc0EGZ/7LzxL4xGyN97JM825osVzGn0uwyJ7qxZ1Wtb9hOqnuysQJNwnd41BBpRXJO
NMD6+Xhq1PYOvXzDPVU9JUtY1U7rZ4gwXgVK97aflNccotcK2c541NhkrEx7sVAVDC2lSQC7lOp4
KA1MnrWPRXA16tGw7ho0Y7PLlGLFG8NcnMHpcEXNMB9UfTa8KWh9/gajRTaw8Q+/TZb/DRdE6n/F
goi/zGl/4QspNmtQAL3hbkQXWCmawaqkB9SGdhZtJPoTAIJBeawcOT7YQjgvk92XZwk7+mhPsnql
Myde6z0XfIi3MtiG3VQ+jJozb1RDobPCIgMHHlC55H1NnGUhZqNc8gpALKBO01V8Gb3QcaIoXGpy
CiVAZ21LXOtrMABHm06Qn7jfAk+Do3VW4rTZ4a186qpG7JW2NNZEBgResc46tsJoXVbfhWfxs38n
i24x3SfgH7Xa8LLKnvdwJK03burBljL7eAX6/73ojUvXdvc6N5TVlOSJ5zjkNQ1SHHd9l5/8KJlP
UZ+gHCY0VazQtxyS7KS2zE061gt1IqiNT9lWpHNBoSP7TBmXwnWviOJ5llD/vTLCJw2m2OxPvmVR
9Vdx2121gTTviqLpz39Dwo8cBzdkYuWX0anRZ+lDJil1xVoPbSivlLpNzkoJIXT7pqauaVwzj3rb
KTtDJr7XxDP2VGlTKbeeCnX86pvxpQFkvMlpWthAvUDiHisCDQGzk1ka+H6RZ298arB6r8rqFgcJ
oPwVNphmrYs5Os9JzhOaDD9A+8y80ELojysNZtSVD7qzH51x2KPv9/sZfMVKYKz7VYYtV0GgkOMD
QpOhuLg02sG1q7yzXFsoBSBI7tn995U7/b5+y+UmzlOYS3lc4lHmFyk3KrM8YgaN1Gdtuclr35d6
4s7iAAeWmz6h6pHzgfv/AFXv5CwzQbJMB/hSotsu7SXaBxiIMytDsSlJij1ky4CxEJ914NMjL1C9
jCDa9zTSLYNJtowo2fe04i+Dy1CHPKzNQbo2PQ1UxUBIWcM9a1bO98hjf48/wqrzctdWFvm0Gtgy
jnBnPellzAue8MZ1kjJ2A0NY7/BuJJ12eANl3rcXfazj7cSub+YQY96aq/m+JNflpUp5VWQU7UpA
OidNKYsrHY66W+CMdpWpAYFScBU+0NlVHftwMX7gkSEPFnclHAiuYSub18ENCTc8y8owEAY07eIg
2z1VvAYTmAxGRqiTxGW+58hkofuHScumgCFTz2O4ht+Tp/k9hTrLQFpCGdhWy5DaLeNqh1PwVDHB
lssoS16Gl30Zb/khl0GXkbdehl8IFf3FXAZiexmNDSWwX3O9eh2bmIr3ZYDullF6XoZqQp/51v6e
tOkvmXbhMn7TDBV9Tt8zebqM5xhY8aouI3u7DO/jMsa33xN9vQz3RFqVn/My8BOIO2V+y59iwqGr
5HszAMG5f+yWdYGxLA6gYjrevz5RvxvZf1+JC11SVyXwzC+eYjD5f158NY6jMSRUynbCqX7Ik2jf
St8mSas4aym5p0tHMy6q3rLCpehKukbUAY2QlnilTITqt7qwgs+p74ZDlurTUbFFc7HZ5r1wMcDE
YJenLgJ33ZGUJsqpDdc6ayPyMkqZ8Jou2YrJmpIddVkNo0AbC8szAwX0ph3kxRoXnX7QHNlzs8I3
+l7PHS4VoBshJr/lIEu+z7T4+3ybv886/fvcC5cj0FkOw3/9C/tGM/7pF/b9BOIyjZQgIeZgtP59
U+jUTUArxGRvs5V1P79oL9W78lJdh9vmDgN0fka1+tffUV9egr98R6FCVBE6IFpKRv/yHQcWLJnZ
Rv62N23/g/xdhH6M7H+bUE8oXW7S5bGGxm66yBThByG9dl3qfvJrFgYefxQ4n/6OAbgDtvN2XM++
xjNcFqWlbmfDV56btjQfMKTzqDPzYhBuolt2gpA81buxKqqTltXJwaQVbc9NhvOJdcrKtOxrN872
tuf6ybIhizepLqrN1AzV0aY05s0cYn+P3Svd9xVo0XZKlceMSOOpI+1xF2ZwsOUi+R8hkhKzBML7
rgPvSjyssgNgnah+0gNtOb8ymT5//1L/Y/GE/50CHve/BaT2z5f1D3VUdvX7nxb1qvjjy/62p3ck
Ep40UdsWipv+W/zAET8Es59k3c6fs6pnHf/Hpl7qPwzDNJHw+BLb1JZG87/HD+QPRzrA5AxUP9Yx
qAn/RvxAN/+yqUcI10x0RJb+CIU8MZc//w3TWOYJ6XVddDtKQybu7/CllGHp/ct4qDvjC5oBTXdj
mLpGk0zbuWi/kL8oPbNfKBNjqQ6geG1Uw2dLN9IqaTMWZ6NJWkgRsLraKr8HktMcrT4gHWcT3pp7
MNJzFd+ZJULZIPtwlzeKvQqC8tYqE+KNwCm4xBgvBenVjdlN10JXv7IyvYiJ+xl6euPmDrjVOVE+
eUffYsyRK7SF6i0sSNnTUjfu2mmC4GZoPt816N/Ik+6UmU62lKMNcz4LlcwMLgFiuxcRsUI/m4IV
imB+KpFIjm2sz4dSKc0TkX1rXJV0CA7sYKYn3wke1Ch5H8L6JVFbWoV6LFc3ClB5yp1G3wM4RHIT
VvAqlnp3zSZMEXWin0rav/YyMbrN7E+FF4CroQ9ARK3DnmcinxAbovtFxuB2sQIxOmnWHakVLsol
8iJh2y0VFhmAoyq/sbAmuEvOjaRFoOxMHapL2MjSIzAqMYY71h7KaUnMMjA/WnN6q7FuYPWZya8O
JDWkwzK9JNrwwSVKuUFgVPfOQINpxFrPw8Ok38xJ3W2MrPiKoTwx7VcWUL6YfUGAsoKVGcFBLWzY
H9zV6XaEVOzgW66yUV7tZv4sAey7sP+r80BT9ItWTC8YFkP8wLiMGidWSXgiS1RJty4h9ngzGUqu
1emvKLcTNpUs5NoUVbfnP5/blNKEgT0mcVf1UFgmbwAIDTuVfutjZKUPkWk+WG0TH2yee2xYxuih
8euG+UMmoEySAP5CkF65ScM/ySiknhNHWw9RiP251B8tYNhri2aXGzZZz7xfna8RdvxaVSh/mNnh
eGAqsnVfNg++4j+EE2JwMWYkKZqneNYTj3WLQ55DoyNT0V9TIMS7uG2uwgCYRY4cNnusNSyHivZJ
XSy46P3XfgKhOMYXqG+8Z/m8uz1bkRXbb81ZATB2tiO9qf5NrMmq3mZzq+9zP+JRH0x1edHNEZu0
wdxEeDs9O41M14UeDPssEuXG5D14DloacXnYRXT/Yi5iO8Nx5tAh3ZZwzmM/dBlgtaORF/G1iXV7
K0sJvdFongQ7pfuMLsDDYAJ1AeeXu61uPiJ2gMSP+uyJlgKAcjle5MGYqKdNYmqbyCf6r3VR9ms/
kdWJrEhwmGmpxQbLRIddzgCV3/n1Fxbh3AuKHN/LODu3ZqaPd4y4FAGPOtz7odNcaPK4/GztzNjR
eDiV5hUZ1ehuEAxhU2l3ZwR7IF/k43/ijdxF7VzhorGKna0uyc5yFnc4pEevUxjMphB0BKp76aqN
b7lUQIVe0g4L6b60o52kNRFXXJphl1RU03MGpXueGsd87ILO2rFr9J9T1fJdhfgRVmE13kaQXfax
VU3HihDFoxOV1SkoKpOcvjHLazoL5ZYoPY5ZJ42fzVw+kxVBRINoEzRBviub8VK2vfxi39Bfo8Ec
PCVqGAa03rRW0VjMBzukLYrs1QfF5cMXfW3Z2aL75OBM5rBrW4IcuLIYoYHebcQcPNO3Xt4CWKR0
I5Mertw2UJEil1mbtlVcyEpFZMWXfHIXsH02MjeWfWgdFzDEZZj98uSLNj6HsEpdcibUHkb9NtPb
6jlXYRjKIqtv22rqYAyRoeoigY8Zjcvt4zl+pOePWXuY5qsfznejkVO+bufCK6Yh2pdxd8dzSNl3
hV9tDNUIPuoiw42WKg/BWKlrlBdURJm3Z5KZhsdaIqL6xO6wCkdEysLkWgV6cWfE3KAzMt+rmrnR
NSxLMpLavgevb2I7aNDGqxhK57WwN3AC2tlWhW1wGsHArZSsgoBGQ4XXWxqncLRUVoW5h1ojMNw7
d6wWfkbSnrDzD2Q5HSS2UQXBk/QxcZyumdd9RyIF3Qg3Xe4/UQnNU3H5GYjrsSyLBsctWkc+2yjP
bspkg7ebukooa/RakNPWYf9rwfChsMuLCZoM9YMs7V9GE9/gy+T0FWRhQ5pIpX3uib3SC0uNkRfb
4XCVA/Gf3k4UzPPsxVmV36C+x0+lY5vrShqkiebwibweU9aQemQK6tw1Fed1RtLcVE75WYy8ocwm
faD+morocRo8EDm3cz/fZCzAXJ528WPT1nLfsRh26+WVBrbkb7Qe6ABV8h3ybf6Zy/mjs4q33pLU
1ygz6neKQ31tNUTijCSPDqMfXKKwqm9sNRgonJF3kcBpOoFwXKqHJC67BdgA3WGlx6x3mz6pH3Dl
td7cBBW7uZaEyYLuVDiF8FF6PmKg2RofE6hEfI2f4OHgQrQE/yPNwEbBBe4/dpP9v2pO0bhL/M/G
lP+Og/zHV/5hS9F/ANiVXEtxpbAqE0xffzjWrB+qo0lBD8HfDGsEYf9uTFF/kIw0JdfjxQBLkvsf
113tB7lcla90GKsXN9u/c939/9adhLWFzufCJNEghbZkcX+77IKjoUSvM/otFA+HerZ6OvP0M0tX
c6L6AzBachxQa8r/AYEusFz9dejEJscQYBu4d6VpY7z703fGqwZIwej7LV1R/iaqNaN8zySVdysq
2jBydKVIQtAHQ/eSUjw1r0e9KBffCst3108G1dyqaSlQ9ilafPVx+1IULDg0dcGKmN0TPmSVOp/Q
TTK/6XYDSEMsKJ1APxMDwsuq5Pb9oQ3VSmsh4m2lBpgmI1b1PhXSecpUwARrIrX9Hdga2umS1owg
AaZU6cHKZ4nVC9m95DrYDnyKBJhoiNMjMMf0ZEzDjLl2zj/iSqG4Sus9VnWF1/jFzz6txQk5PQbG
nFjPzozfhW67+FRnJZ/f0NAp6kJv8R+VnhLX9RwoxX6y2U3l/vRlFUayRdrb+H0s2aSgeQ1DeLHD
ztr0YzbTuFAgVYj8CdWLsBmCM39bed8j1xIJldcpqwCaxSmNJwCDuaJo+jkvB8+mss2VGjVrwdDx
hXXFrrM0U1cBJMt+tI4pzZPvpZLmhNf0o2o0XhNy2Q+0moKRdDPQPwpjmcRJpVGaRX282xi0MjRh
QXOw3wzngTqok9qB0J79ugbC0nQbZoMMIzb1dYLWTRc/M9biIbLWCSs6rxmpDmuNoNtLBLQNjc7G
XgcTvlJ6ie5cd93BV5toqw04PKiAnd3O4ERMsEdt/DLIDmGWkBE3Ut+r5wnzDnCPNatQ3JCNCNJ9
niv6J9eNYEdfjOJZiqncUpOYwzurous0p03i0dmsIyl22ITs0Yf+F8eqhjvIpi/b0/E8OB5lVWBh
Boxa7+z4EsrSZxzabhTO1mvQ6fYN0RnxwTmffQJJidn8Jsu+WYZDdw2K5KSOSpEC2FRxdEinguRQ
HQNVVw6ZVpYHsNzFc2bDUYAoWENiUEEwz+vaGKIZWwtQKwCKhUllOcLAJYOOCsrEN5awNTYBT2bS
uKWjYlbdUWjpKW0yseVhmWbbRAnt+8xQ6gqtUle9ig2MXAOualWoFqZ9o9Ya2bSmmvo7qVCtqgfh
FByYS4nVgf6xXqkHnghPkXW9rSyN4rWKrO91ArxEX2dErY5ZBdlp5gNFf9rg0wah2gFm7lR/KJBy
fXiidjTxy1xS7dpENg62akmvYlb0T05QGRhuHIvgnzlKmrEVvR7WtjEE1QFyjfgqKppGaEYST4kG
VmPbZkL/lZuD72x0TYLu0aA2smSeJ0O52iZFPuSV5mPS2DFIZUPWmgvCCLKdBsXuoZPEtldRpRyR
5VhC8Q8cvCCyrt1MOJmfL2s26ayc2Qt8mkHy0WThSWDxL1VF33QT4a+sl+muDx3tbOrY4Sqd4BQN
7DhYzeTktFGy4hpMJkstG7jICm67srrNIVpdwDh/hgnu+Lqgvdhv02CnxlZ5k+Ps21A+62ysKSs3
ASzyS0if4xbmqX2kLVuu4QUXH7NZ95sJ1/2tOsUBGtO0mJeaZPyV0atFVmKQ0dEJAbDwBrYRROd8
6nG7Tob4sOIhOgCKS48Ih+fRykYGsoYKO0+IvDG/qgKcbLTCuqO7uAIyPpfKS5sF67yl+Y1InPHI
PAW5Nu+7O9o71QpdFOMLTvn+MHfzVwm7KXZJXehLqMT3EJQs+sQwjejJTIkTQJ31kAURGcQwuygq
rhoApgw9avH/2DuzJjmVNNv+ItrAcRx4jTkycoicU3rBUkol8wwOzq/vhaqtbnfZtbbu9345dqrq
qKQjRYD79+291hQ9scvM3RdtLR0+PJMP5zxu9e/BKsf7nsxzvmfIURMNG8wDK9Zka4ZaOJvMnQES
eRHsaEhQvwKNhtOqPBCdwcq/Jam5LUBiA24T4jXA7nahFUDpfoYoaWY+wPGU3+uI6vMUR6exECVE
cAh5ReLfNUIlN0hIvnk7pfd0nppjAVw+Iza5eP05c/N520TcsvfdslB+SfvYqXYWmaWv1KINuYnz
zr71ycJE1G64GO+TNULBeEYTQ0m4/pg4fx/SDlmi7wZ/7MQZj0hGZ6o1fGGOXqsDfWo4nsq91jq4
b9mXv/n8OZFEc7oTLnq0AVrJaz+30S9Uz458BpLFY3ZYKtzC9eDaIJs61WU7prTgNKDyAwhuuuUO
w5MLGcP+hUC0ZuDRL8dCOPA7yXzOXfVhUXDG/Dn3gt4j1HifQgXh+mNKKAXKYBME1I7bdHiZcgF5
eNW43/u9D4PBKMZShZ7aqwmqx8gF00AWqtv1TWldcfxG97NF1yLvo20aSJJQXQosYK2/tzGt0Phc
UpjZT4HsAIXxZvI6tLB5GvOvkNwxIPhi6fTb8Hw/T73PUcEWqGcW5jzW3AJcsKI10UHhRoiCoVbB
oHrsCE9pLvNRLABKJTF/yAQ7LpkXv8VuCLtzmPgARNwfGPMgRhsklMjSWpKnciaaU2fpwZqifUqe
9TCQCrtNZrQb8BQdQAN4yOYYBiY+8+EONboLkJUxUT3POSg8qlExM5lj46PG409o2nMWdLfIq7iP
zctrVGh+I8k77kvFb2yBZeGuDjQBuL55nbzEegEy3J2G0BvXowbFOdUNx1oFzpEnEJJYr4FGkndq
b4+CdgHFuRNTF0laKbz2luHri0n1AXYicYeCypjo9CyPVq6Ip81+fMRMAOfX7Vy+8Kn0LhwX+h8p
eW7KVaHnHSg691eVNojUnaGn51xF0w+iksWTj634YnP//YZSpKgBQRNz8IW/Z02hdhBIUaBPnl3D
+aC1tIt9O/q2k2U8KQ+sZzYUDO54zUZHi3tjSivbSZhMhrw581jbNyqWdI9E5n6GTtcSFxXzQxkO
OZ3SpsLIDTJK3cRhiR9e66y8wTydPseh413sQDsvFECjP0XPOhnRBhditLdpzoPJic7ZYHs3wDIr
e8skKtyzHUhxmc09gM8YWNWxhrZ7LG3hvLnEvGk9S2Y9JdmsbSIKnBF5ZWsaT6Ff84dQldc8CKwX
tiLZidGauWRzRubKNvpDenBzxxakGCUzldwTrSDd3I8h2DYitlATEnd5yTNj/owZkshdE+T5E9Bk
/UT4tsGrmbJn5GhLYJOj/SGL8v4tYNN9HyVVdZNEjn00lL0LXn7+RCkLtNNHKlu5K0u7uHizNb/o
qZQnjdPuETDkwGlSRVdohcEd5VKHfWLgf1gUq7cIneoPV7JrqSFDQ3i77wLQqiKILYBmuDkUnzNZ
cnJPwCfwxHM2AHnSW8iOIGX9rjvW6B7czRSl89ZvuVlsxn6ldhXcG6DIeVF5j9E5OYYgt4nnVBwY
SzM8KaimZ7/hV1AxOHl1lSa8RJLTfaFpqaCvWSJzrrwieL+Nsa8NDzBHQZ0n7lAUKNZJvYcH5VbL
gex/ez/mMtv6RfhJB8QB7AYcOg0qcxQ6U4e2bZIvDi3F3lLNQHpvKQSK8NlUxxIL4blpdf+DL+3y
ZDFb3C7eXDHG5icJLFvss3WfxXA4hozhxtd67sT91Nt6/qxdMbePZk7b4plAaezvhmbJyPqOXPAQ
j+A82QxVN0cknTQRZ5yFzP5VoK2jhzH+qZRT/DI3Tvq9WLk4MuuiBb9MMj6Ond0/NkY4P8Y6lC/j
TJZvYzoRfoyoRBY4bGn1HJdW8jVPKrshdex+tlIA6IN/l/LH0aj5Cd+j/NO5TNfiqabuCTW5fTKd
w7NiaQUPaA7ePNVIrcfHFmdttel6d6SqXNqfeeTLV0/Zqnsh266Ge0jx0t0ToBHV3ukDvj8l9Wzt
mszZBl4MY5kRKqzXdHQMMzCHD+FuZOWQcW5H8DeURhEMy/n2SpMFjMp4H17wEISKMVHb0I33k2Q3
Wa4AntQQIuMvTGhr3ayCx9H9USxTcqyQMzMFEuOn4EpEjLZpnzoPgrMFWwFjzq7pg+AymJioIJ9D
2kDK/sz8ZPoZs0U5K3wcDLG19eE0tRfsSefJHyo1840eJnPQYVCvwWj1GOM3YkUSz9FJZsUe9mV+
5kSd3M5CYvuEB3ka+S38BLaqgVBb6iqTpjuUln90aDI+pDglbgYlnN2ox+ypkpa8Cwd3JHQXDraz
bRuypnPQwjTyC3rpdYc1QXp+dBeDXB7j5Auax/w4NnbEXK7tUEhTymddpHT4Pa7+iwQS/EEKRJ16
EslbF4Tj+5TxzSmsanjPipgs26zcuwr+1E1ayBIIvvyOZWJvxdrcajnOXosS3c+cps0fpCVgU+NJ
sJ/K1cuiw+FmifHbooyeMBqwB+mtPLnvIy+74t5291he+9WE3gy3cyQRQEPzOau4TIgSUVZzG/wF
G/wNzXXkTvqrNUKyt62Gg1krbz2x7QftTfjX/fadmEVa72YSnxwPSnfczzVgjm4y4kCWevlMVEE0
d81j5oXLGWjIBJTeWtzRj8kvhcrDj9Rvo59/h6BwB/ozr1X9ZGJwDylnsftqwJ6xYEi7GwnuPw+c
8sCfF7Y8LGB1bkCiNXcR8tJXokQQyZt6/JmmcBIj6O2fhp0mxumQK7VTaf8u8LmsbbTh25XyVtkl
gIbojvFOCSZPw5XmjuVG+QFtd3ZXYVN6KwKvv/GaKHtDF8UFNVElN0HC7UFjgJsmrnP1Q5vwka8Z
jeuxeJlNI+BUl9W3nGaCUKTyBLSabLi3S955G7yc7lcQ59ywxq7sLnbMnom4VBafLD5ozh45A6mL
YchhbYHRxrJhyeZ9IEVMrSCcneccK8WL34n+M7MSZiu0f+B2zGFbffR9EX1Og01aIox5vlzA1Krr
wtPvbflL/cj+EkAYV8rukOUgfeJh4n5F7tr9pVVFEUSUy7ouqz9BATQ7Edn+e60Y0niwX29jTmog
MXh28AuCgJ1X8G1S1iZPmESdvaM64Cee7mFS9JrlnMaVWo764qyAk14E0R6TU3Eyowv+ZAWh9BAv
WX2mzUfn2+khzkvridC6t81KG8+fz+Kr1TXh1rr6qkGZz/fkDhLvxEIFPguFYoOuI3beKm4bYGfI
RnxrW2K+7WyzN5mZ1SZaJricdWXMe84dchdTvT/1fkokiX/5mDPBX9iLSHpZHjgFdLfG1skPEabO
i59VfIBSZ+HXYPX1k6mDfmYQFFdvsmy/+78oGbjP1ecCLuC75gx6TjyLx1BkLTusWPXO05Z1VHP6
K48ZbDk1eFjfACTyzG7g1Yx0ZnC308q04TD2xkOmvjFd/2xHRMJj4vCXOIOBE640HHgQHgqu+jYf
m4hTevA0pL18iNwIiTTxJ3oIf+E6c5SfvaGqLpMEjJfOho8DgC3vZkH+Xe8KQOS8pspDXg/tLsS2
xKuq55sGrnxeweVpbBKAwCH83xVrnvDx+dX8ZZ3nVV3y4wGgq4SQrOYGdVCFOzxlxr/ilXKOvJun
pzyymJoPDiz10fJwcFtYX8GpdQ8exPV1JvQDcQfouLKZHHeXW8TtONmVOIN5Xt0l8AeZdvUecZ8w
Iek+Zlw8wS0skvnbMuxAvxdvNkUNRcqtU48cDQq43VS9QImnK8abvPyA2XqbQdHZuT2uiSAyfC+L
KKTU71DcoJuzso7HurvIbt0PyVFE720MzR5XKgIZ49p3QHTyfqMShNW91N6jm47tHfod6GRtG10T
yst39l98fhTW/mVc6wTuCtcXBA0vgNWaS4oQ5Ek5RXOoJsUkj3pH9WF6PTwwXOuxF7h0SQjXAWJo
tYU7cSGWh+TF/A4J2+0gQFH3ioX9ZS1xftbREj0rnkwkcUboJW2ziI1agvwQZ2N86Dx7YcvK9C0R
/upEycrgbs6H5nGxZoLjYHv5nyy3Oql6Wj5nvVpevCZ7VV7LU3CuqU0JV0EvY3jlbPhS9w/cCcSb
QthR72xbc+bCo+DiUxhXsUKMtILrHtwT8O+vwUCbLVtFDLQ1cDJgAJiJGxTzox+JYtsaIm/DqnGw
VqED1oT2p71KHqxV99DTAuZh3JNp9445qqIHbdfDoctJbjjLzIuU/+idBwlfBIj9dHALXqe7Kln1
EmY1TUg34Ttea8YNimXocczbjlhTIfS9U4T9Gygm5y1AN7ErRpMlBGE7qNJaZeneR6/OPXlKmxfS
haV9SL1+NtCMVyUG+UK7JsSYCEayTS343DL8gB6Vx9Y7BpmehT6Mpq3mEI3aJMn0E0XwLr2QAUif
E3+hHFoQHvY3i6c8Qk5tOn5nfrkclxG7Ry4W9RT8VX74VWG1+4ziOEHYv7aQrE3CtWuh8NKPYUDN
I5AckSdCeYizgrB5H6Wb/dJ/VSSkJ215nlckAvhkKV9SuVQfrRsRjciq9mGGYxtDxm77R/3XaSJA
fV+biUGcq2WJy2b44TkIUKKAKjxB6vCnVSNQa8yMt8T1XfJ5onzL+gyFdwWK+jCqROxNRfvMMpRb
E2DKvd3M9yqlaEbaJayfh0EDMo7M8sL40rsJWuFfXQMgfpdRv7uNIcaQf1xFLkwNKNbHlQAiZHes
DqyZoAL91ak7MUMGvUwKf/5Iqcp7XEaEuRtK6e/H5DFt/HHcxZUKX/Ihqm5jyJhY37p8J1bFTCR4
E5x6XjPQ3qHz/gqS1UpDQmLsNzNUUMqeleXRmHNdUjSTKcjb+AZm0OAyqd2RHCfS47roWniNiGsh
w+HRNWJ5Z3A+PVpqrNAxOsUxhcp3HOj2vLp5Pj/QtJf7NLAm+1Cn5LV7sDsPmEQxuoGOo+va5MmP
dFbFhaClvnaWQLwFjiMBmx/gmeOPoOCvSeB49ybllEXV19IfZlmRWIrD9SHx5gz+Tzo/zGEnu40v
87BCYKHCx5rqmbWNG7HSthN/3KbScZ7jiEEviHq7fM5SX+yBYHOBJoXn8Trtva0KEy5SMy6z+652
ehbatc1W160ejOXhPDKgTH4sEOru1V8fkm4DdWf35BE2BD6ziohD67yqJBSXFAJHvC3bFJ9VPzL/
hARY+jcZVqTfaY72r/mrX5qoa3Aos9sVQrWw6VbG5Rq3dLp459Om9bYqUt4ETD3nh952o9+TNawP
OL5EnsM/5PuuOLvOsNxRKSNhtHqh4hZDFM92XkB9aH/1cuySXVjz5kNxj85mdUvNijzSDEr0Vk4D
AXEXB1U/yvSo/oqppoA0EdjCef6jsqjcdcW44w5RZNuBXsapkot/4/HcZk9fF88SvNCNJSAzEoEf
v6qsdRtqukYem8KuTpkkCL2baY5+OgTNEDixnH7iisT0u6n615xF+iOp6+L30vgkTEXHXzqeQ32s
2494QPfZ/TV1BanfWzdUiyll8Hv4XE0IvXgDlfAz/Sl8QSnpkjAuO5Hu6z65jqXfP9V17rE94NnC
LnuU8hLaw3AtXb+4NGhWXpyI5naMJ+Wq5oppgm3K8SdRHqA5tqPFHZvw/kDAjNxIXE3FE/DRPNsm
YSaa5yiqCVLkrNgSDjfAHVP1yHKrOhe2kzxRx2zg9s/EhnTLVQONGX09JwGZTjm11Ebd8MPiB77d
1q959aPxHz+SSOd7J62hyYRLcD+uLjUzl18tMsYyH6m+JYS6RBaaOzUYTIuTOx2JJFNpTMJnk/Zi
nyuSDRvF6PJMI9DLNu40p/tM2OrFnfj3CpG6JX/1brLge01brp8OmusrG5qRCYeVltF54Nj+009q
dY1sm268dOfuSXKg5yZQeMhvAvi/Gz0jmUu155Zog+IeuM3c3bJd/V13OeHaZui9h4RI/90E/eNx
Zpzxs/JXl10OuG3gusv6Jhn5NE12fOKpGq0CXVxrNjMF4m3iu6kiyLO93Y7V1ql7etaM3Ttnl2M+
LLceR4TLaPnVu4t2hENnyJElYcKZO2KCEsS2BSas07yxTx3OJb+/5PSG+jQnXbCzCfXvA2MH9REO
i+RtGs8srQYUf8qN+jt2h+O+WC2AevUBTlZeMAt2gh82yqhug4gnsLZAkcKbMfI4yPoZeyt3GbnB
CCeZLr3oGeWs2sGAbQ7j3sb7bDwJsj2BZXyOaOltJDOSFCZnvtwNANDFNvTbZt4MfUKZmJ0PJNbp
JfVn+VVPZv6Vcmx9AZQ5dhuVgwDYj2h9bxUGgxq4EwrFNmd/ueGpAEWJZx43vJI73kZnPIz1CGOB
z9Dg8qLJh+QOh5f9Cz01Yr2piQDC0gigeL9aHaNVEcK/FPZe3sEzaAdXn403xLy5Vkdk13sIa5tY
VA18tMK8t0Eu2NuglxSi4Z1ftSsqX9l1tK0jYRG69NPlbkyjFWg4Iaz0EdXdxHNPK9TLjf+bxghd
WGWz8YO7VvO2En8dmE5ovPumXBFHDNpyGkR/jZnEaFYZgxrd9pb+Ij8NLckY0TZYmG2p0HAWumOP
IigpzdoH/TJQpjwzZC9xf9Ds57+Y+NJtIvqgr+xs3QIEnyj9bblKP9tV/9mwQX3k5cXZ5a8dNPJ4
tZ+x2Tj5zhfL/MG8Wey7PCMitd6uymBYDiNSYSxT7AdJL9o5ZrzCvkNZIb5yWa8vsSI8WFEOkpRI
r44OHimCbchw+LKUNu2Uqp3vjc3GG34IQ/IyqQEEdmJP59bhm6XF3sqmR7x4VzfpJ27X/ceIw+rG
RFUBNrGySLE7/W4yrf7jNF5GkLBL78X6dI4XA2DTt6tbSzcCQRd/B2OLPCbYW/vDttr0vo+T/C7v
JrGvB5ssZgvVPN263vCRjM2CFlVXt3XeBqzRHWsvRVSeC8e3fxeNhojXBN0tGcrkISI+3G2bdEp3
cKCX3yC9klPskHpFowOUjtTedqrH2Dv8XzbofyRJZyr33+bgL584FIfP/L8m4f/xo/6RCwLC7xF4
C2wi7f+I//wzF4QfPYQ07LEptb2AeNA/c0EOuCrPCW3mCvwCeK7wP/1HDN5xgNyQLgr5XyR/o/5X
Mfh/rYQoD2KW8Igghvw/kaz7r+kceqGMVoeQO2PvnUxlHhR1D4rQBw1ZyoqGR4QR360E9vmf2gL/
nwIm+Yh/yQVREUIA4Dnk8D2ewM6/5IKYuLjk84pxr6Kw+xORXdpwjOC8ybDHiQmCLKx1Uh/8E6V9
a3maewRU50InOBydvvlGVGDocZmReQwV1+CDlE99IXkuYOukRoLWjD2e0XZvgqss2hnsCUOYg+tF
Ar+QW4N40Si240EdmJc1RGoMwYXCxEiiVfcAa0bt8Iz/zuy42o3YpTNW3lv0pZq5ekXApoTqgg9K
WcK+DAkF87XZ9uTOjtI0scFUOrXlXIvYydmLQmlgyYDB1g2ylzgM+PkiM/dHOFwl8Apey012m7lZ
f5ezqN3M4eIgLUJAyfo2T/nBk6GbXNZsxF1lyVfExjPJm9GJmS+H3S2xU/gUKAc3QqW8qxpW71vM
kpxSIOO8AYMIn5RH+TlC4At1tEY/JMZHwyR/F7GO/xhsgojw86TFUDYnNetqaoST1Q/f0SxoHbL+
7mLU7UP4NVBY5I42KQubVGi/AqDt+VvINGoXNS5ntLpddbuSXumW9QoT0pLO8zGwg+RC+Gi6cD+s
boXkcOZanrqH9yIf7HRJk73AWHptLYKaShKUT/uZW2ozV9c5nni6LXHCG3Vp/YGUdEkzm7x9dazl
ON/qLBgOQBerbdaR189IRl+qWTevLRsuGJlNT6cbfFz9Buii3wn2L+SMYdBaxzHQYX2NxXpsS2QO
i6ww48DloWrLreybEI1BPcqT4izasDqGqU6/1YbJHvnxwErVOMTAG9w3D/xzRM0EbOQ/nuV7Nsdy
Xe21N4RXin3EnmxtxVQTOzzpHiG189hr0u8BcTx9ZOvJNK+3hXuUCa6bXR033htBc5+JdWZUtFMa
SmgE0pndUddnlDz8xpwjrFEoG2qPgPuYDD/bSvBBylv7I8aA/iciif+b35n0qc+r8AGGFKrx1hSm
2hMpTj5kxUGAwRUWQJGtYX6wW9QXxcjPsojEOTHBDoetKXz5c2oYTnBRU/M2khoRX6ozbliMrc1e
pLM4ZH1hnkVNc79yqP/uJkcMC+y21i6Zxej5d1v6cC6yeGoedeSEPxn/J+/0jYpgL4OuvguLInd2
QRirN73eUriHO/OeOcP8CWe8f51ioOp0STv12aYZ9w9YIDkRlo6bviqyDn+o0zp/LPjcz8nQlG/a
y6JHKOf+R0W+QwPiL9Z0wOTaL3HEKJ8oocYARba2fK5Vi67XjIr8bhtzXIoylROBc0fCeCmtXsIf
XWHh55uJP+PBUss+sUVwdBK91l/ixaEXQ3fA+AuhxyRPuqdu0qjtIVsWl4U7PNNpE/EUyf2SlDD2
AevBNKYvkVQG+Rt3WUjKTIcyG4iKD83H7kgKKO4Cp4VtWL9xrIwuNVXflX+5zmzUWAKAAMmaXVcW
xVUMPlmBLvQIRyyVMz2mdeC+8UfqbepGlWs/v1GgnlT3HI9uspONnBgaeuUjeB2SiA1g9k2j5vbD
7SkY8jCD/M8YSP3kYc6faNBUTLqBOxBGZnRGZLql5ASlGTlTg02xnEnz2xNn94FsztlqhpsxRl+1
4VcYWltHVzwWdIQFmjntou+nQU1vhd1l+FpkAV0HHLloTrYIxQ+6FJpz9eh5zd52rEpyBLOzu4y1
39XyguY1gCYI9I+iRQB8qZIfU7k0X228wB4tE5D4rEvCdewiOkxHTQF3ehMHnYnPQCg4g/qum9+X
dAWSa01qO9lLFbo39dqUOPbMoUMQEiO3OzM6fLsI76dqB9Dd+pyidZlrYuo2+0pUiIKrvmGTweaI
VBpYmx10axAPkUv6cMsHp6NvTjFozeshO6asZIe7NqrxRijj9fwjjkcODhL8uAqWS35IsNyEmW4A
KATRHZ8kgB0scu6svPPfxqwrbzSVnsuS2TyI7V4Vp3WmipSmGg1JQoeHXhyk070c8oDtXM6TeoHT
zh2L2zZxWE/6bECUep5zMm0pGWQch42ds4cc/e7bwN5/7JRLeSmtMipIwBvvg5JeOf+iHKTjunyv
6ri7ifOgTreZz2sHVnq8lj+XSykIV8CJowHHV2/v8iv/XIbsHoFDxL7C9oC1O0r8iiOvuJfR2DN9
mCKihbmbYiYWDcmtUxQbe9rk0Fc/yWX4LdV3yqS3lEkKh0yhTt5t4O/8QQdEaLfBPAfjtnH4dyPB
aT5ctrcvPH6bK2t6dYzt2fzA8ercKkFRihKQgMOJDJAwYs8gEeLGqgTUiJHZi44Oy7HerHlKZdnd
z2n0hqtkVnYfzZG42n7v/XHNZFEnTpdXjy/S7xDQtNwOtkoPc10chUxNsw3qIcJ6Ugzd15LquNky
KvW9bRhaHqOQXtERkO0IdtMZzyOU5uK21dr/4Y1J8r3kUZlsAbVT3UMMFvAbxzUNJDQTJNJPC2ga
1ClxFOCBb9Qnb5f0UVHtoKEVASgFDzZ2RHProSHdu6FJ5z8wNYWXIPUi5zOqBC/bWm4nd5Devd0M
fpwvAUnPubeyzxYD7X2t63ddMunCFDbvksypWcr2tNI4GDA9JcQAVdkkUj0rpl0TA3m489sykvjQ
k9lqdiW/EyxHTLcfUb5RYhHB71YM7qVKSIsTGyGQto3YFp1aqNG3o3R+QPhsX/PZlb+4/YbFiatV
He9D0aesHwicUPwf/eE7UBawgXb09biXqReASFFxhOjDZYUX5DH1qWQeM76dLqrjzTS5HR8aXY7O
3iYYSuR0JJB7GbWU7xPYcAcXTVVxEGJBvpVk8U5dYTNMCBZGtRte8M53hyKy5jldkLHpKniM1ihn
iOBcWHdMuPQ+IdHHoCDxHfc2Z8Fwk7ap9SuCNRNsUk8SDIVmZG9RZA8/XZImtNNYyP2MWcEpWGwm
Y0fq8hQICYRNmEkt5xljnpSnWBMS4UW1TK8ToXhexlbv9mcTgdFl2xlN3NSzzMR37JjcJ5udbEAp
ScEjSJeiZWbpVoytlPC/ykh04J2ibRDmxa5rm3DrDo46eFom7xPIJXo2Cye2DlD/Ji97pIi26Yh2
I7iiVBWhexgc67dx4uaH7W0RmKChlKyzMgZr7D+DkgA3WnQI1VgSloafjIHGw5ix7GYYnwB81Pha
WVaSQalOcci8eUMMRD5mzFHJh1YBAamu2PthJHnl6uhqIg83oz8GyyHoSrZYwnnnk+h+T2mf7Tud
rl6h2g+v/th1t1kyTxb/j4X/RDkqrfc2CJ5nyzjlHRAFfv/4UrzNcuJxVbiEE4/g+s17hAr1pYdV
Z+9SQj/QulTcgyowzfgdchr8LRNdwdYOVvZR7ZJH35bcbr7doNfddrGS5EU2lHchCQl5N/UucVBh
JTAwBJ9COH7IvnfOaKbv1EJK0ixt+TwtPFQIp0XNKhlEDLqJqpiJTDQMsyCrTsNrhyvC3Eg+iBx6
iWhwD+BNa+cJAwxPGjfhNVa1xX3JaZ7lOal2G09EgZvSYVHU5K31VJuFDBWzK6ZW/hJs7baDrSKC
CUdghjLFa8cJoGOlrJu8iDTve5PS+fUTVh81VECIKdhTAyKC66QuZohOC8xpkYwz36VZRQOQE5Il
Db+1vqxfnaEsDw1DGsU8ubHxDBF13Q89hEWAIH3xbsYg7G9Ka0z+5JCbkk3rR5yKSBxzRHTYaCKC
nET9Zo9u8TLBY/wSZVyfJoPN/gwEolrbGFzz2P5mnxkpf/vANdZ7wKsBPcm1qiLcCCAgl5BJd4XG
OyQiTgQwcMnHEOresO9CDSFRrTwiqsg0wHI+hpsuXThgQ26OMeN29lX4aetcQMvByzOdtF/8qiNO
ZRV/qoV1IfO0gCVC5/gETnVpEbfwVOzcqG7y7utBc4RMhikMblKY5DcQsfjA0VvMz0PmddfexXTE
RkkSOpAe1zw9N7QrhbTPUxAz4rbq7Ev5PSNR2MfOhVuy96iy6uIEWICmtj6XQiz3c5K/JosqdwOX
L0SX07HqJVuj2howGFBfm8CM9HwBHlILHIdRQ0M0TiLM8Dl+dEBvaJX6Q75KirhYgDvfJWMxUsBj
w5SvJNSqdarHSQ7ltTQd8huHU+M6l+4ifhoji9u6ctI9cWcs82bmcDFn6gG2d3+o6uI08mLbZpwv
4z6frpXq7DebPGrPAzYLIST170yiiSunQj2BpQj2YYPHBi/Eg59Y0BuEN6pTLefwjGpAYrNn+aR5
QoX2Loza9OI4xEEh/AfL3u6K6j4JamyZupvgxkQh8Xce3n+C3j+2gQ2nB8zQNdZkOQddhT9QoQU3
fiLcD9Gq+CvgBbr1+Q0au6LmH5EjCfcG4QLkL93l1nVRq0lldhFR8ErumxfwQfYJI2zQ0AI3zotb
JtaFUPa4AWbRnHz6Iq+N3+Y/o9FeSDvaxvrWo1/1P92caxAHgJRwQBUF9nLssnwKeJIStx5S9Ljn
dGyKL0oapEechJMlaV9eYNnssPxyyApNh0JzmsyzIHwEMxJkBydox8PoTSwfE/qbKG1ShxGux65b
7vL1ndkEDeNgt4GrAeLUnfIdZ6T+pvn72Bn4pf0YlIS/NDNStnfsSvlQkLtdPMAxXBMOCNYBFou6
l/mWBSkba7dy2Dr6k/On8VLC1ZJVq9kFpALPoQ7n8FS2LEcQlyccoie3UH+C2C0g5+jk0k/9dG/I
bvhb2044mI5Opn53paS0KuM2fWQsUJ+G0XWf5GBrcOIg7YDLBZSGKZjGZts0PejCtPSNd0zTiMs5
lSfNlkYL+3bsmuZUDCzvN0OQdOZQW/NAaRpH6/H/5qP/s/konyseSf/tjJR4wudAbCiG5vhfgCHq
nz/4nxVKCo+SWShy0iBcK4//UaEM7H8THuZR5dsSVQCNyX+OSiGGOOSwwWraoe358ET+36jU/zef
dDY9YOnwQxmj/q8qlOG/EEPAlaAFYfSKpGltZa448/9corSjDEV4pucDb7lEHGan74gUZYT5Tbju
V9wGpjCLC6cKNjqODA9EH0/dTs4MnDaDGiQhCyVuq8kh3zzWGLjHqGxvaVIXzxwQrBcP8d85JjZ/
hR2VXNB42GsCxy+P/UxW3Hd5ZXDNTL7Y7S4JWsgCqdSQsAQg31m8LXFVUCoqKloBFCo0ZmIF92GK
DOOPuhRUj9cbv+G4cirKkjOp0KW3p5vRXZKALf8ceMilsEmPOcPHdbJFIhX4fyWm9h7rJ6fhsVjs
58hLiw8WY/FzLWrW67bIVjApp8+iBZ9iiFT9gmvq/ZwTHIHDAEpmEhMeS9DVHjEwjms8CbZ15gCb
zXhgXmdyhg/YoLJ9ZfG7U4mZatwA6aGk8oepTRxIi8UkqoiSLASJfgVpwDWnqke8YEOQ5rdtovJf
kwqXmVxYEX4Rb4tfBU2IhKspR0mGyUTBdzG5cxpLLLsBVsmNzViJplQsbjL+AMDAUI8c2IFd5rp7
M2kVReyk5pTnZM+Dr8gqUkYLztF9IldAIiYh/45hUfZJTqP8YxNuDI+dNtT3YN1BNbBD098uIeSX
xustmmMli3j8mv/O3nksx66cW/pdeo4dCZMwg56Ur2KRLHpyTxB0G96bROLp+wOPpJZudN+4mitC
gxM6h74Kmf+/1vpWH02sd5abjmGzYrFwjF/3vgoAEJb1W9yFBDUKbB0w67DDMqx7lrtujSp+hdbg
ROxXrBjPFF/H1HY5btCWfHDJEdyZFYVbtB9VYRtcVXEQJoc8FsMX6AnF+tuqpgMjR7Bnxtd4XljM
bOkzZIFEAoktGK3S3VNPrO6SJalzDt2he4zLuHqPhB2z/OrLJrjqI16Ka8+farZ5Ur8RT6zMDZWo
DDgB4cXfJmgm0LcmBXj7NC3bB9Ozg4vjmEiWc62Cc5pV3aVYSpdYfcbEe4PJb+98WLLPnWMAiQwL
YXwPdSqBIrDbe3W8rPhwG7faY2Ph35PdVY9dWXIVifoCFDa167Em/su9YTXiYgVlA35E5RZOpX5q
2NUp9Ry4qr6XfTXj7iiX923W0FYeG+PaqVmj4U3gYtFEEAPXIcP4R8Sba/lQCPrQ5vK8OQhGjnbr
cFc5jpSIXnKwC4iqTj6Jl6jR4tXlJafB6lQUQYUFf0B/qPiubc20C9pUIPSLVpmICEQkZ3p9VlHo
foe5Nb+pCCgxA6ZdKPuzwoGe0A2Qth/SmwqgF6YzvU24xzbNEE8A6dEpJzXA4vbt8JBJxzqVbBPJ
9EXAGCOPiEODxPAys5GiM6pDq+bSX3GDwBDqidntV5im6nWp63KXgVbGuOSHB63jPd/3vK2avF6P
TIQrVvrtfmhaFu+WFz4HVgqOp7fhluC2dokhD9jRdd8SV1H4UTbxXCLeOHOCu71QU1FtLdARBeTk
JvmG1hc/zRj8r0RmEp1reps8g+FY6tXgjWLuGstuGZhoUn4r7JRxKDIWaFyWzLy1qRNqLjUDigbw
mDISs+2bNiY7xhVbTx4sw+AON02TsQPQeHyPfdF1r93CMKHT+SsrxhS2Bpvz7YgD7iqm9RbsBJZS
0qNB8yR6K72efWqmsYlO44sTRu3ZpoX5zRw9SopZEc/bwYIVwws2xKhQeMXC5G1m77PDuXyIiv5T
NInD4qccqxNHicwQTfLmyzEij+RSO7A2KXulrpNhIMAekJeQm85M0w4/MHUMa4dmaQIasnG9A/7c
GFRwGi2eVpoRvrWzcFMV00cFBm+MnLE44PluTqGblLcFvyniObWEIlKoPOv3FluC+FAVvcVU7nJb
LcjKdOsUsSdhp4RJk/UatX389MJhzy3a5s+ktH8SpCshSXfdwAJk4uFEaOehNHi7dfQ3TLDVmuYN
5xD9XJA4/Lu+bq1n7cGfxkaWUeSMJf8paLEaeVXqn3xSCCBivJ4Ys19H9m3d++WtC4bsqaGAhV83
NIJm7XVjbu80TIAljDZeM5q489qZnOg5MCly3UxUQ/0RjTD9K77D2EYQkagBsa/9t544J76UHO2D
960sDqFjSR4MSrqPPJva81gE6Q1LRso22I5u2OPFcg0OHPxnbuDeXudzbu4MWnnOgIi9F52yfcwB
Ht1maUCO1Gpq3MFVcgHoQIR/Ns1LyhMJB03cPA+RyJ7qwIa/rYe3Wnj2Yw8i/ZLlGvgPgMJDIwvx
2FDA/G2lFeB8K7KGDV2v9hG6C1SXmP7xx0JE3sWrkseqEsaF9XAIy75k9TnGaXYxUstcRw6ZhLXS
dEzABprneEsiALtg/4NS0F4KViGkLnR5JeR2/U74KWQjudgCRpz9pAjxCsSLa6Bf/APj4iTIY5Na
jx97Qbk4DSoK3M7F4j6olZv8Tvr2rQCOv5+GYNqHCbYhzy2S93DQLAN8ld37nir3wGfmgyQRt2tg
qQGP9y1jWyp8DXqI7XJtdZ3VXnvUyP7O45F0ORrx5G8Fgk++K1ucpnlEQdi6o7j8OMSES5tZVQeg
9gQ/M0F0aLFVMzjh682qzFgDR0cq4wG0JmUwPkqOFkwcOUomXOwMRzuZ/W0lVPc+A7299ju4aFue
CPFxrML4JhKj9SCcob6AH8P40kfSw/c+ug8s4TT1iE5m7tnlWPvUn/wbPbObuCLNS34rAP4Kr9rL
32sdhG+DJrbXe2bwp21y2+NU5iqBUljDx6FDvWeZp1uD7W80lPklmaD8rrDjkkQ2CxUe2o6Zj4mz
0i8MW6iama4vGToLlQ6dR9LB7kz73aXv1N30aRQ/I47G7Y7tQmXcTBIamBOl86aTKgz3dowyuk4T
lk1HWmc6Riidui9gq60nlL4RpHZDoUNWmLfEhSy0EblUjQ8siQ9ITtHeLfL+LdJZdYdOYgQbi9TA
CaP34tHPeK9SV5GePW3rc+s2itJw2xjuuMAifDbBGL/GDK2U46kRUdTJYvtRpFPzYltpfQkAoG7R
1+cbnwUbIph0nGkjyY1zJ2QBw2KhQJVwHKQ38L/6xhjD8hTAkN23czCNBIF6Y0vO2P1ktO/RCVtH
v/fofHrdFdh0HF2PH3RSpiQ2bMgTKosDjDGzuhuz3hz++ikbxyvXtdOMb8HoPdop7D81K0nPdIX6
2SRlffEVqLy4KZ5klt/ncUEzQh5156CIMWjZIb1SIF6NPbI7WGS6Y/pNSawXzlLoBi+1CeSHZY+K
MmRsiypZz0KCS1lsnwOzqu6DqmLfUbj19QJ8OIMCzV8NYF9L43bnf2YEH/ZQ/iTLU9eTNxNaBzVe
eT/99hMt9Kma7FEf6JgdsxOkYgxXbhTpQ29L+RnmUbsPSwFTuzQUl8uoJsS0soiF3ZQIYwd6APxv
wyTxT/gGCvqYsjdkVSv8duNC6cc5N9qJtbeqIAFv1Vk7uBXp62xgwxBBEdq7UbNlsfx4fDazIL73
tJXfAAWYL3Ni99/2z+Hbhih5/OIr7hARsIhYdx8T69NrryzrRzTRK7OJIncVF6P7Tt0oRWPK8WN7
K8iIBmvL1WxRZsu+hYSvNkJFRG7iRMNrwiiJaCtKJ8sOw5DOx2lskE+7hvJO9umWfBWRieI6ND2d
JAK2DBQLUX86RtMfFMui62poK5YLqnlpgUd9dY0MDtj1zefRFHpeT3qK2F4MVFeYQBcSzGsA5Emc
zMYxgyRxYDM4XWWtzbpRavT2mCGZvWnbw4GI7aLeZy7qHW7MLj0zEiQHF+vXoZ5EA5AfyXlryph7
qF5WE/FQ1jURuYVRmIJ7wyFACc4K6C070iJddouUb+fkpszqQtEiaUOajrnd2EO6h8ueHnxZGil7
SdO6j3hlHpTplh9+NRe/lym75yvYRb5hnWw8iKEdYIeY7QuEQg2swy64qnLgryFGIo+aneTfjOgL
yrCqq07o+lwFEei5xI4X02FepajweRsfrB4WvVUV/AgZnhXSOE6a3g1B8QdDoWvzdin2CuzkxWiT
hUSXU3DUzlJeRTHdNRgsDPGYyjC4J+E9o/zPZE/Ys1NbmzYjFxK6YboTLQW+tXFnh61t1Ln1AdVJ
rKldpZ3Wy4k4cSgnhTy0fcefhmu8KAJ9RZawPfWcSO8JRBF3XSYg5FcAIDBJlObCzI/7PhxBg/TT
blZ9Wq6yjl0dEUVvZGZjc01KgP2UhWBF98n8hZrq7uZpKug5Ryyut94Qtz4JcDjHQca9bIqy6jpq
M54kBhSPuwb33hNkbWaK3pc5KDNO8bXwzfbWGRCHAPGGB0uM5QG+cHdEsY2bXVQW0zM5Tkvsi9St
jkYzhr/71k8afN9zfl0GToMvvSVj8uLR680F0FNoSP9ZZv1Plln4di1qAP7/0Nvr95iGui7u/xV8
+7eP+9sOS/winIlzzw0kjFqgV3/fYXnWL1eaWP1MCTp2IXr93x2W9UuwRWO9zRER4Gnjg/5u95O/
4Kosqy/bssBr+M6/s8MyhVx8df8MgQZ25jjIj7bt4+JxvP9SfGCRxpt6y4DSQfB1PLikoDeYURkG
55hMcNYHbOMLL+ANHIxzS1vioqGYP3KK4RnJ1vdSnmwEO6rXglbL4GZkTc5/UXbWp9245qKf2Ue8
1Yg57Y+wk/+IPLCv8vpO8jB4MRyZRA9CO6q6IzlNVDvBrYUlwikVb8LSDa2NkytKJNKY4YIOExe4
jjsiKS4MZ8Spv/RRjS/JW8NQjy48oM0/Zlo5hMOYKqjYGoJjs8hfVkbWDibAPBYb/OOOxBHCjQxM
Va3O4kdTk4u8BjZMnXrAEP6mldUY3jAEo8iVPkrWPUL0azrOmtugIZDzGs/CcKBCqJZTEhM2mSdI
2mdntM0F0bpohEQUsHUjsAAjgBmDPOgbhbtrfyRGbbXevKbVPCG9YxOtjrBOPblNZ58NYetoN3f+
CLnXj1R2aqd6gBjK84/CPs8hJw6iM2daX0RTqzcz9uBcYtFUUVf7RWdVi+Lq5aRhzdaP76ZFq+0Q
bWXbc9KzS6yGTRaw+gMtupSfDC55UCdPXvhs2CHHqL2E0vCro8xrJOT5R05GmHPu6dWao+vyR3B2
qVUD1fgjRJd6NqadYtORLhXrcr52eq81TpGHM2Et1OwYhxY/5kvrz2rYD3UUjtc4aDS9Xz/yua8s
eaFnx1TAGsKuPPvMdxk6So7fj+S/ecBCxw6hwwcZHAXXyvoKhZ2Fk+/aA0XupSoPDBN9vzFttpLb
aLb45/7HDdDZgIp2XNHH/Ch01ektmQbKDGOvdi2khnp67OLYyA/p4jqoF/8BDnGcH1HbflVdaE4n
XnXsNMSPk2FsEWg30qwohmnFcIzAqlC8OntzuxYGFgNMUOTlQJvYHzVz68S0NRAHiKeowwQEH514
IcGzk60YEZnS2uzctwlum4TZD4vOE2M3VK2e1rFjNJjxyVcKV2hnFvWLX6bmPdpp93sGEnEVyOww
VlbPHM+Xth7CdsQ/UOVJbz0mbYStxRQZlo9B1PohKW3OsriYr0fJEmrNmRybty1QDSwzVWapLd1D
9XhgzimuCbFTPgOOD8uXSMfijTRvcwudRTSbNqih2bDsZMgxpO08Njqu2aZaBdBb3/DtfsugIM9O
X8aSQINO4NZoIzKvBptnwqqLCue6rc0BP1dcachcaZFQ1FhZ09bTwEJcE+jI2gR7QbFaw0rP8UX4
bMx5uJ89OMbFRHw7r41hxV2ElHfoTC+MHmAgutQHvAAm4U3TjUiCO+j6W6yRQGicoroqRT4+dpFL
WDPXtAQleTCdEsexLxjmkC+dwE4Pw1gV2zIxKVBIGRGLA7OP82QWWXfVaRX9lpkVB9u573Mq56eE
vY5nY1SA2tGoHWaT+GOqjUavUi6GVMkKc+DlkTfgmoV9RO5ienDykvx17C7A1dBz8y8KctoT3SQB
/VSTPz9j7S0/SaqPwY6dyETFDCcOfhokc64+amQHGambuKnIvACeJI0SVbl6qFUS4kNEUeaWgxbW
YQQsGlRpK6xPI9C1YT9pQhCscUSdbjLbcXEJhrxW11I03ctI7voWCa0iM4MzxYxCr3zyU+J4GzXx
Rllx3RGb0KhYzHocg/5nQS0b/SOzvZet4uUZv8yJIT76IV+ArhU1OUnW7oIhZjHYYdrhEV7YOAgS
vqQTJc2BWRY3WIfmwmOfFfap0Qgqj/TMgw4zHZiQNM2F98VyY2QqXRyPlvLGbUmwVG3py0zvxACj
ZDUIoOoEn6VjXDmzlTIwUzF4iBIxZNfOcsH1Ix4563S59tZWImh+Xy7EdN1Ej+jqZb4Zo8nsVxSw
0qdjyoZXYvDX7ToK1FOgyU/zvDITWg/5zSd4JR33jjovw+LuWhbNms0It3n352ZvLZf8pLEMDoDZ
w9qGiuvS54p4bR0XwFLOryJxtyVPs2Bt/swUfSIOvJgZNIYSGzwRnDrhvhvgj7KMpCVkvswqZZ4m
Xy58hpdymWSMsU8o/myS+TNj+8Fy3JNABqZ08CtQLElfrCGPzEc0IUYmuqAYn5KfUapwuXavfH/5
JdAFuhIqA4kMRRDSt25t+91vsASwy2Rk08vwVolaUTmVTSTCnGXOCyhZCbiHRsXN5FbJvb1MhWqZ
DzMdBfZOLFMj6AUfQy2hv/E6C2b9OP4Mm+pn8ASS1tSUnQ7+t6ccfYANYN6ECirZqvqZX6kAYrNQ
qmiuNj4+TzDOUxzewo6Z9MEZ0joANLYMyIYCEIafLXgDMCXvUsu4auwUgcfri/uhCLALpEAVaWel
RtLmIbcJo9E40LmzbOmnj7TOxzXBXxdyX5fZv2WLsRADz+y/UDVi/8H2yErJgdCLb9WMSeyP2VFM
CtFjOQBEEqUP2kmHda4Ip250W5DgpuninpSkdzIbT1j70cZFVERAnXK8yqvajCL2xyEt3wvNJ185
DYKX11CLN3khlbgNEE2gVNgjnBzb6G92K9HZHTO1dqt4PkyFGFgXBZji4loRUMj5pvdpRBh4Wa6B
1YwjdWXEKnLWwlX9tvQS7VEimXg3Y2O0cEqd6MtRbozopB8Nk4N1ZaXA09fe2Fa7ZCKQVsSuAEOO
mondhWcRJg97tsajU/buR2PEtdibZW4ZpzFNj6aDFm+1oX9H3SHlv1liPuauXf+W1IFWNzbT3R96
mEvF3SCzilu3j7Hqxqky8KBZc4aZ3q+ZSpeuJJwf2fQRWVHwBXgiGZ8rLL5Lmtasvhppi/ZOhZbn
bS3aXoKTw+60PyeBya8xioJBr5wxrL/sKIdsEzhWPB5DzH1gRbnO4bwzqyI4oSCND43wMT0kmYEn
K+hYyFaTW8z3dtvcj10NNEe2zQh2J1D6Tnu0DVIfG19jCUwOCcWnAkweTLY25sjq875AGnNi2jBx
hvA24SLeX5K5jY+FH/mnMjUSqhwVhHfHAbtZ9Ip6momYQ1jV+TZA5uQs5w7y1WIAe5IliOnBU4DN
K+w8PHj9Z8OAEYsTTPj90adwrXzXAH7rPQ/a4FEj230NY2PXqwgU9u0QdCynJ+RWdCllntjOsHCy
Ki9f501kvlhI7s8ud7WbDgQrbC5EhQ3Ec7fYSxJ/+RbsGtWCumY9b2e188kBmW84smiXJkFhv/Rh
9261DQRe4A/5TA4kq//gPGtezEQuAmUQs9yW4cCFw0h0+dxEQ/So4J3XCxeUajHuiw+qAWDi80pu
rFewVxAQmzlXn70Dmx5iEk/jMNlO3MnfzQnoLvPyQ5pZUM9ZurE5naQdnEj8B+5BzOY4n9koZ3pX
5KhEKNejbS1wey9FaCJJcLDwuBMqtHGO8MzzwDsIVPtolzRDvWPhak8wN/3+sYNrJNcJm/oHCmVY
kVsOR3mss/q+1V10z2t/PgASB0SZ+Rzzm3IehkviJ86aFu/6SuSdvbMMbgXgRL6XKhLq8BYXGduD
VB67FCvtSwGSDGulBcQYfMnC151tYV5D0xwujpqwBqJkkk5Nto0bTydWHNUW4blbj934OxtUAjSh
wytMANZrg5UdS3nTTEF/r4xw3kcWTXM1v1swuBMwCdsts+qAAmy4m6xwkmQr3NjO8AQbxlvc4387
pQtfb8XWyHtSYPnFBiKFSQdVOxJHyH2PfiUO2ht0CIazyuuyitM7mB6AZ0EIrpKAZaGS85udxOq3
xXfhAmaIEQN9ft/1xrHrbu/YLblaK8KYnJiZc8veTDxyweUJm84EODXx+hMFQ9N3ETZ652ovP4Lu
m5MDUR3nmqHBD09NWlsfaUXxaW4yzmy4ZOAlioFKYcnMCO5OUKRogiwdBxcBMHVqwfEIBfzFeqI/
NnYD3sxmw/Y3Gz94+7rnLsvZq4Bh4XQfnZLsaxzn9WaMQR8L4LfgCmRxawkuQ5TwicQ8IX6H7o6J
WAAaS4yUqYrxhkZLSW9v4GTWbwmzkBVOPzC/4uxCviflDHSKVbGrn+h5MB06o+0g3SVdibmjaeVx
jAfzDULrEgmV7SGrecyzDcX8LTHx7dk0VVvS1xCjpA+RFPUD4DP0CaijheV2v1l2hreRN8q9a7bx
Mw653N9Euo6zXZjm7t3cUvp6airWk5suCF3Mf8AutoQ3CM0BQMLON1oR9xrayaZbv/bha0Z9Enwl
ge0/2F30FAd0m65k6mJABuLDS3f2dngVxd7PhH/SnalwWjblsZ6S+uKNjdjUreu2W87mPN/qZOju
2xAlHLnX05ukTLrPtI/dfhdYQd8evB43CyN7/1X383hLuK7Com0JD+WkWjbHFjyLd6dXYkNnuPkH
L+V8Tz6Q4G2euGeCTS6W4shZFXGorqtxvoq8QNKqKyvEgoYe2sxxPzsaCS6ZG4HNtkqCaTFTktWI
fZfSl6BG135BYPvi5YabfqkVphviKx+T4tiFADPzxOf3nXJDJvZ341BGdipkxzc0VkgIHMM7lLPo
N3eKAvZqot0HJ3sXeJ22RPVA+U8lJZtagtFzKsluWUA/qHu0Dh9TMQ/ODT2J9t6k8fNrIHV0CEXr
HHEBHebSx9PuoivSHYJ+nxat/dCapr7C4is+IHeUV5jg1DsmOEx5YYYnN+i1mA55VkGG4yGpPufB
HciUZ2ZDgEb6MCAoAF41Fj87S3ujeZfssfV2dht5BrDVHqqJO32GCxJTR60ONWECXiZ1dlG+rW9c
6ch2JekwPSvyj7DFqCv/1mmXpSyMSsQvp/AftXTds7YAq7td6TAT57ge60zAVXHS79yY2n3bNz+H
yWsTkHBc0ZI3XHcoTTucOVW6rlE5wn3BXvpAPmzf5LA6yz6eqDGqWX5kcB2fuO42pMF0V2NqWmaO
qaarm0LjP74dB1ikq/le6XR+M2kKui8rcqT0EKPBN5aj2RKLwVwnksclm5u9rPKjsqJ6H0OyvAUv
afIDTaj/lqxKLjtQtXc2DR+YLnp5HnPm08FzmldQ31eeSXfTCueavM8Dpz80RTvdAZtjcSQoUQes
kr2iGIrXUBTwYYe2vcGXaVIDCvCulvii805tavC4a2408hI30t1K6nlPNcTrxta0K0/eDU5ktXYa
z7nS0jK5SAUz3lnqaktCoMzIY0KoKIKKzmEMHRvPAiG84syDKt3ylvFfqFfCYxq1TbNGyIJdbUaP
BP6CcZ+At3x03anbKbwHvD6CQd76keeTmEldfa1yAzPV0AJopP11p3uw3fMc1dbVZKY1pa8SsH0Y
d29G6otH6Ta0m0/N3D0BFuS2F2X2SzOlYg+vir13NYtD7fL3x8PUI/SRXj0hUHANUbHajFJK7jlz
5n1MZf5OMidZTxXwD7efi+9Re+Ge50N1j2ysuA6Fxg2VveQKQ/WCHWjEYFrAoaVRvNpLWgnwnk33
cZV7NzVwUhB5jAM9zg/Gm1WoZIJFpS2PnmhhM/f2BcCAWgPFxgLihfriOpTM07Ci1ya6zGpZnKQk
SvbxlPZHCn7YTelqdp9dq5Bv8ketJns7IrBdeU1f7zXzBsZpLrZkiqT+mJPcfiIgKP6A0IfNNgdU
tM7JPnXl3N/UBpbf63ikDJ3PFWPkyD8baVrd1rC76cDVW/+JweFcsk5aB0JEzbYVRa/vBDq4M2gy
3T5Nq9T4dTE3qVlGFtdhj2hcliaYk32GljthFwQXZGly6P1HVvj+n8gK+FUtC3fbf6ssfEfxe/6u
/xUj8I8P/EtaCKxf5IUte1ERLJu4JZ/yr4YRP/hFONB1XTOgo+2vf/P3Qj33FxZE3KoB70fbQ5X4
h7RgSVQHAWaA/D/9QB6Nf/9GoR7X6n9VFsh+Cse3KfZzfYdPtpSq/LM9loYglC6yvYeW0yfCFo/2
huONzTgjQAKdNsvzU+9OhDik7dI8bGo/2rqKmXwXBaH91KRpcWSkdDN6o2kNAVILdHstFfa9PXxb
+ynoPJvqXiVwOhmyv9iypF/Ho7SZEK/jpMEBUAmngdB+U5+FUU1HgrUUYcgoBpId9tFjB1hVYBDM
+zW5YuDa5kDN5OANr7UzIbvipt9iNYWGXJIoI2y3GW1xozVkOiptEToy8j6fLPNqxUDVsfLhh43O
Iu0IibcEtM6SZADhT4dSeMBcPk+rvDiQTAKGZiXWgYN22kRytg860UwiThOsSwPFeV3k2r1TsR08
EmLw97iE1TX88mCdEi1j+KT92G4LGAXQo/HSuWtrdKz6GZQYBRNhNdUeGb/q3iR6sBypiS62FbYD
cbasMKHSDHHlDmnV1QDRqEw7A29P1T70x5H5Ti3BzQBMSoQZLSR6jjEVHzMHPOmXyKQbBaR7YJh3
lIEG+raN8GreoXLR4TaLJuSGmhpteIxr35wJMnJSn8JRISNVaWiO22HgIbazuUa/UlzRAEYjO4Gp
d/ZJFuWxRZ7AAl/OjD13I60ebjfuPVApX6KqIyw/dRHsy3Ywn2WognYTiSgijND9YeyAVARq3uJC
dK5a4Lx4Y42DQVrt1XPbiSREeFETSxcuECxp+qkIru1W0ZxAwMBMMrFzBXveKg/TadVgDN53Ttl9
2cXoHSoSXMk+GefE3OQVe2/uFv6jpDCdgJlHDJUMW+8/5KbBlYccKE61RG6Srs9pttfNZrBZRYBv
j/egKquT8CgHMzp48yLxT5yYNCbDeXgMWTXvxqaSp8U8CrjdAPtmilsWZmt8st2yVErAWLndLSv0
EE8LNssVCGGHNXKrMZNXWH5WTcH/D4Nb5VjK2ZvzudqNxi98bhsIf6AbneSRV+twVQnbTNfCoqMM
wFSSHukhUDWW4WFDPNJd5XWEqjGq7Dbww/Gt528bghcIEbcibt3ML2rCXjYbCgBXG5fYmr1n2MHF
XaOrfaUWTHKwQBLSMfmSFveD1vfqh4Lel70XDym/91Tv3TRq3rygx/VlzMN13etvnOcYf9j6F1uo
Vf0hM9J0B1TNyF5rQ7kPioqKjERs5v2udW92W8GK4qjy0dhNrFCotKS2DCLHsJUjWRiibs1+Djy1
bieZrwu6nCkvX/bObZQfACgyTFN3K1UxXbtSDFzCOhbyXZRf2F02p65OyxPSRnAb2U1Iq+wY9n9V
JP2ndutR19//+3+9fxUUIfCKb5PP/p/THxaXTPu/OxMvQ5m+f/w/PuRvXB33F4KAg8/dhiTj/sjp
f+vbsn/5FJxiOnUdtHQYO/8Q2m3rF4enx+nkSw5M658Ow+AXBmlT8IGESFwSC//OYRj44l8PQ0d4
HKqWbQWWI/nffz0MoyiiXwEswH4Yxu7QmtnwXiYuKzm82hc7N7or1QhNg4SDJDWyBJNFGR3byU+v
AlGagNKl/wy0Xn4FLYVJGNaMnWcKZ2OpdLoysjLeIqlSI8MoxOJzYXBO87s7OBe6KjYEnjXBgeLK
MDC74BKEc8Cbe9UGyY2tia3wRHu2KucrpCrEHmVxyjoqdiycQQu6IZt2TU1zPeJbsk1SD+qXTKDV
N1mcn+zZKa/xJ863WGmKT2yO6KS+637ohEgCX0/d1oE2dhaGZ+JzLtZdfC6S8AIkA0cPCeJhmP2W
pBs20cxXDVn4F9i78/prFPDQnKaKXpyiU0ejrGz6HE0007K4q8G0vWfYrU4pLNijav3pdjB8f1+B
rORNS2sB0Q9Uo0ucT9OBgovyqoo4GunzkUvagk6cGFr4E0lgBp2JfVVqRzddTATTCincMArvYjnl
+NQHIvpu8qR9TVzl3BUCG3Al/IDFXmOvp/anqyNMHsa0sI6U3DxjG2ouMcLQA7k+uZQ9Dld9ESbn
MfbLZwXHhylKcMoCDIVLlK0Zs9J3xcR1E8eUHGI5NE3WKGwiH5wgLegDhtrihP6aIQLD7uA2ry4b
gzUp2/rTncM/OtX+vPGC6SUGlZHF8jRwfG4pPDDvKEsUMEKxC6fwG18dd6rP5JidK5slwXEY5vzL
AbC36jJwFpjLY1CglLHeIP363Uo4gfys5dDsGaZZc0xUqMKeUKdC0NyiqG444KAq1j3lEShKBox+
7X2H7ZVpvdopX1kAr3rojKI65ZLehDksPYmkMNR0nOmIaw7bxZkOt6K4RG6V3QTx3O0DY9ZPFvbr
25IZGItzxfq4m/VNjruW434U7AwawP7Mz2tgEmoz0FXEzRKzx9Ih2VaruKq7g4hDezOUJDxzw/0z
4Ci86Qk+bhurCXZu38Dcq6zp2OOZuaG+4wmhA2B1Jvtdknj+rtOt9xhgJNvVecF8GRuUq0KxS9YS
uMMqzCJzm7YkJZpZwxsvDQOzIMY2Q3M5cIdKbEk90FSLuHZduJXmFjx4+zwVxbGY0VVZbhQ2yRjP
n4HM+6Gzkam/lr27Ijtb72ccsTX0oZbiCD1iGFNW9YETeW9izqDpZWJBPojsrp5gTNRG1+4zkhec
7c6OLZ+7555XXvm0Z79lMLphKYty5Kxt1L1Lqshxi4+SLLicu3NXep8pgfbLHGb+oTZaZ9eCaeDh
s3zGovUhiJsqp+LsXnXOvQ9aClRN22+AVOuHKAClS3oUj2vCDRh80xdcpRv8uxQE9xZMycEleO7W
wwu1cPSUmRkB18wVt4QB+nUF3vdKpCi9bLec7dDX3nfvZyH1va593Q42bybhmdsQtNUDySd+qxML
XEcH07pjsMXyU7G9n/Ny65uaxEtKCOQlKkL/aANL3OYZcFEWhdVpwrG09rKx249Vit+xkiRmSTW4
x27GzR4O4Xzxo1nuCDTBnbFZA2q4XKTc+WvrTMZrSV4C5E7c77OgYVwPvYr7yeDsrQED2MpxsXik
IDr4ryuNi2OJvIieLX1WhS/UvsxrEGr1uQ/UeMJpWZ7KXPkH7Cflh5Jlz8LREuv/w9yZ7UiOpNn5
VRq6FhvcjAugESAn6bt7hMeWkXlDREZGct+MpHF5en3eU5CqGjOC+kKAUHVRWRl70M3+5ZzvgGLQ
n3iR09tnqRsjne4cBhsgil6drHHhGyJViIp6HtUmtlMPniAHH7QJz9rmCl/KHONfnv3q1cKWEeGP
2WmlQcVe9PvSbtyQC0O8q1q7wVmB+8t3ThgHWQV1gFkNEAnZNPm7TDC3VKWX03AMRPbi2whjWfro
GO4TS0viVer9kdf/gHMMvFK2G2qhP/ZuGRX6WG7ShHBu/NygINwzhHXIXVYKVMwiaWnFp2v73nO9
qvkkGu5uxgz28EyuHV6VcfpFEmCBOjcxwhhpUFpnt5wA95DSE43mfRya4TUhSHBadxZYn50lOMEF
zWMwx8y5xmpVX34y3FLlvuIlGVhK8wGAdbTLe5tzbOCzqnKxV2DisUAAwNDJayDdQO4GHafeChrl
B2oQ8YRyWp346EHpqX2sEupfTv0ye7Es9wqKIGqwXtGtJVXU3/025A5i3pj79Cw1PT8ipLEPbs6m
P+Y7/yYq3/reW/kUZp1XwPLP9vUQt89Jqcnd0gE5hYiERJoxdd2+Iw5JTp2zDA9utbSnRnOHr8q3
tQ1P7v0aJBW8LKp62wvHD9219596J2MsPgPSo34dTfg0OYlDU75ejSq5NDI1uWbJgYwbXEcbv8sa
5Bs5hypGctbL5MZPVn+2kEUQYY4mNiXTys6tHZLvHQNl0Pddzi5RK8ijJQDkIJHfzTOYbdNm2Mpb
fRn94ostayV+iiUGj2eifjuSt77c2QJ34S4x66jCIxdImNBPpVfv1JQNDsPtafhYuYa+cvQADLL1
8pE0UOZ0C/Qprjckdy/wQIYXvE/kAftLUZnBVGbdbVH6EC6tkBeNeVYohkqSqmAu+htHTx52bTzv
+q7u4R8AnoPibITrfQMyTiTU4ad3nkkwmdnILmu1cxLmk6GV9i8tSqO577wHTxMjUHZPwwSKUq9t
KFESvf0q23l+aSuWpxoehO1ol9zellX5N89u3mZXPRL0i3aoTq/kum0RNbT3Ru0dR8SrXCu2wXVh
3Wihm23t18uWa8+/1GB+smghfuA9B5Cxwap7SETxmaf2DmQ7LsHsNGTufhqmMZzYhCfhaleEmMHp
wxTPyqzE0Nbk5LgZerdnXP6IVuap0NNPLrS3SapfvbDJ9ZlgviYJQmPD9gMnb3l2aUC5d6nC4hQN
neOGubMul7a39SDuKzskrbG7xiLdliImPBznGXlLqT3inSElxm07FjhanxPkJXTrhePXOy8rMZoQ
FjQbj61PyqZB1WmnV9h22UmDLRRmasIOtfb6jSpueW7yct3aahKPhodioMp/2QkFbDXbI3gexOhd
OeK16ZujliKa6oVg7wQHOLxDDo6xmd01f8a8tzSlB43UPkDltfulK8vz5C1c0XHnRIPbSOYjzhw2
ayrO/RQDZ9Ts7ui5Cm1+MzFnjvNTpc3d9zGf3TcVc/6ZisXkpsAEjYhk8J5k57UPfmwgBM2bD6+s
+Xp92UY05CjMXefQseXBijC8d478QL7FOMAcbFwt93xnYhxiKGbfBEiQ97qatChD2/Za2zLEC5KQ
msJWLABZoH1BUa8iKkomQsuSBDPOY4FcSALf64pyP3Qd3gfl7JEQOvxQq+QcJxprNo9LCiFYaA31
+K1NB+zlmSe/NxkG3UIw1Nrg2dE4ePBFm1PRbwlhlPeAO9bHSxVj4PS1reMiSFpZ5+xakr9fa8Tp
NzQoXtilCLEs2Vrg+BNgLEY5PTVmWX+TCUGw+Fbtuwp1eWIlwpAtG8pfDWF+uy5z6t8+qMbdDD8w
8Doq6Baf2hnGKS6wFdj4R2Zm6VkoyLkbY/JMZhRL9pwkVHlk3XfZW490g6OWRE1zjBPiF3SY7Fal
Xw0X/u6osBc6ad8f4rUy9kxakh/w1A021a5JlNRU/bK70b9qXiveFsNgvD5MzISssf+OQCJ5KiC2
PTe4XY+T592le0am+NHjum7pBMDpIOPt+/vlWqe3PicsSAo8Oknfv40ppgutn6erS4xG4ExdTRLr
0J8q1j7RGsdfjN5Ad6xt6mzrcqF0m614W6yO992YJYGndWU9TavTR/NgkAnbk1NGgh5E1kGIH7Ss
XbRCqPlqB4TRPg3gIV1Ip3KSLLsqI832wkbiNdh1d2wsX+fWsP0tyGPPCMzssdCmOhoTKnMPbcyR
bEKITSZOSHOVD3Dv8M/PokfCNVRHby0GEpNN/4CXzTqLSRa/+Ua7KPZb91S4qU1yxNDAYSmX3yJe
PwfAnhtPB5nTgq0JDcnCis/CnhvWGRVjHZ/iNLmqoqByNPyLCbgkBLSggr4Q2TfW5Us4reV3Eg9X
km1zQjdHTL1iJRdBr5agMfvpdG/yYXjUX93U7oRX4Wsf/CWKZeqHLTF/b+Ro4K130TmHKa851q/o
2VkiAW4diWG2KcFY7Jn1a0IBH9PLqbdEFwiBOv0ZaFa8teOtN8U7o+iKY1ypWz45oZtgx48XSnJd
3zJ3W64L/OXtwARsYy3zQ273P3k8wQfMFVw7FsyhIGcn7IaOrEyS6HCsGRYDY/2++mSIbJQxUzuZ
s0Is0+9rql8Tzs+oZEp/rw2ybdMBwFKtBozaXuI9y5wyLOxM3lRbZqGe9t1e9SS+aSKv9twU+dFQ
QCQ6VXkP47rYOzB2rO9EclGsCZh1Sj05ZvPIIr40OdrTIjcx9TZ3N8zqm98ACAWz7bE3LFnjlg2A
habVCK0sxD4lE8hDtDcyBjxXHIUIrbVZPfcir7/DEOPFY6VG/CnjetU2ceoyPNfTbtYDXeW3Shra
02yT8FQdpK3QogHWwmLAL/7aVEV9zYfc+MENKNlrsQBeU8kXnkPA3jBrZRZuaP77aK3xm4lGmBgb
+pbNkC30p1U9L4caygY2RX/YoUlznmQ9F8cF7cpBgOCCwWvbu1GZ8pPgU9SqDvGj35vGHz5n+Aub
vm15MSoOT340/inuDGzifJF735yWDXGq5AU2/RDyAex3eunpTY1Z9Tx0k30tXJMFn1E36OF0+WDx
O72ZlckXg1zoLTGnr7bMzYhOKDumujIeFoP/GufYD2zLUlGF47qE4aEZBBQ4RlTZZB1SfeB7XLSz
lpOoU6DIAzGC58o3Oo2gFgNFholPgzI952Wrt7777JazFuGFQFKF9uKiV3pkyjvcKxGcWCrBcrbg
DfQlgUkEQL3MTvGB4eFCPLa2IQf4F1z3/OB28lIpSQDvMuNttuZvPc0PWgb0zMZyGf3lR9PV2jHL
0/T2/8RltPtqrh/VV//f7gPVT4QZMoPw+9//+sf+3/+cfDUhMO6//IFs4owd5/gll6cv1i28Kx/o
j7f8v/3Lv/0Liz4b785/biEKP6qP+m8f9a+/hdn459nmv28J7+/8x3jT/LtvMI80XFsgf/vTss/V
/86SD6C4gXvnr+NNU/87f8No3yGFzjC9O8HmDx8Rf4Xpjj0gvHHHYDL5L/mI/H92Ed0RPRjRDP7F
/iR0PtGfd32tRNJm14Z9F5L+Hl3n6kpqBYBxecwCRs+NqFyQiSktfskS89auzndXEmXp/0gnGkVD
S7gW1rdidHYAqbYG514ONB/X3oQjn37ybg9JJ/0NGMSuGJJtS4JTvsq9fscvx5FdtidDBpTXW4cq
CgrwGTXtnoPsgDzl5khxBXq+mzr7ZsfG1cb+6iQ/5ySFLUA0X9k9e1r7vM4xYQpWYKdNUFCwlMPP
tXxeEvKSSFISs8PLcLq4rXcY0UoYrX2t7fmtRZXeDvUjCwM67WVXVs4mZzKymPHLCpEnZKzz0jvJ
Xk75AyTMeuOmPnM2VFxrjL8pT8obAJU9KrgcjYnC4ee/4L19vye60GRQ88f3OrJAjDV8ogujm6nO
9+jJPz15/wGD3bj/kv5sBfvHL9HV8XLxMPHU3BHtnx9PWZ30//ZfjP8KRcXsUzLNo7KD63eXJbvV
mdbtQSzLA4JQMj/SIihWN9JG0lb4zfyfvwD7nzbGINrZGbsEhwoH25Il/smLRpoPi04ziyMNT3nb
ZmdvlFuaQBDKCwOHIjUfUC45u/uUJu/WNzJsqUkMoR0qB+Sju/larEFuV0c6gYIby4Scopn0mPNc
ku/UFbivCa896EMBJwSZri1QlO3qafE3hYTJ46ErmSwGHMhjWaLFAmGudeqQmoGqiPUIrsnnAj5p
M83rbSTojE4MFaNpfLM68xSTA+Xl44lQDgqvrk1O//oReck+ZdM3v4e/nnj/OMX+93H4n77VX07N
/0+OSSYTf3pO7if2H+fr/aD/t//yP+pfqfz426P8+PXV/xUY9o/3/MNnaf+daC8fpIugR/BsC7XB
H+sfh7/RURAYPNf4G+9P1R9iCMP/u8HR6HJ0ugY2kP91Ohp4M3Fecjr6wrFN3f9Xlj/GP+9+7p/C
wOJ5J4+R6+Dwef78unIQAyljzAmaG5OpfyZV0XtZXa1uQ9LLnAfbTT14mUbTUeLOzdbWhzwqQU+E
f/qx/Qev77vK5J9e4XwZWLx91xLYeGCa3L/SP73CdSKbQbH6pI4w83wrPILx0JzGB5VU5stYZP55
BvW9Eh5ToR9gyjHu0RtonOqz2PO/si0wLha6RVr9wMyib+q7A39TQrwNK8jNj/qwxIeVNNpw8f3x
muYZlUyOeyGy8cTc0l7CB8XiefBS5vZap61DMCclr3hZTCGruCWqE9QMAKqmd8ME64nGDzlk7i3+
CXUjviDfRE6X8/a8CsfZOJBER9qyVptkONrXKrO0PcNLJgJrP1gfutDLiwDwLplblSO51FArZgfb
trPMPy1rWH8ZhRQvPg/Brlkshehx6h8zVJE5dq0iAys6NT8H1+sPo6PkQ2oPxlFvDFzoqTcinbOH
x4Qgo9CuTTBPuXUsG9wrNDKbanSSVyyxZGPmiAgDOzecd2Ok9GvYN76mE5312BbgXmqLAhxNOtCy
RNvyJvoOtwcDsSmVe0Yv/hn1xXRQbDFDuYBGWZIl7GhgT8ugZdcxsxO4LN3dht6ZiA27GmiOO4ko
HuwlogQcXkSnt6Gf3RdoSZc+l/Uk3pGGxhG6dcksV0dm11sr31r3SL4Y0xaSrS5JVeQv4zRr36ap
U9tcSFzqNrhQ2ZD+Rdue43xgnNRVuRc5FPI3JJ0cxbGjjZepreQxSyw7ZCuzpR++2Gm392rt5AFn
2yYzDg+luw8uVCeiF2nFgpUz1axqTPNCiggOkL8rrAUDVu+gE0+XO9JcC4EOF0GfM251+keAyQgU
0rjbABevw6mS2d6CXRy2g+yubVEM7xmrBTioA6i2BMQSU3jtp7sCmPBUvVwhdii6aJ6njMdqa499
EbUoee7/5fxK5ODvJtSi31aT8DVSTtVySWyWDCWMs5s+k887Vmp+IKRzJVSCJMJpRTnJQP8hK/Fe
pdW47lrYebeyFM6uLO31ZgN9iLqVXURlwQtSzkpbDl2O/sFMIuSWIsKn4BxS1KcIrrsklLVuBrTk
7b6Z2vatrC2L36aLDaos0qiGsmBNSJqIWqteCE9hOsXmKuRjNAFGO2evSBA5z+lsHxoxeLu6Tkyk
7ouPpwp8TgC0349konvBPMdtKBM8EZJAjIhIWX3euaLBEV14UuCREMrliHB4rZEGHWrtjAi+rhY6
UEAUx+W+rxit2XnI4Ns9qXkK9Lq/zu2K+J3x18Vr7GV3p3KGtnKMS+KliEpKP6IeedDHKmCACq1M
r8eTMqzsc2Fi/btKsMPcnb9ooNcY/imKr9W1iK3j1N9biOePUqn2UsOlPay1ElvNdeHc8mUTuC7i
p6QmBN1svezo5IPYMzcdPyUpME+czB7g80b+YDOXY7pj00bSBJj1Fh4X7DQ7cYqDZ1OF8vB35HuM
47ITa1dNYZrkRIb2LcKSOAW/KnpyXOCe6BNzBpmQCYXvOkyllm/zRFlsGj2AiTFj0wBzuQuQt9Ot
MvBGZQ1olRkxqCx+swidemCD36zIiTHAblpsHPiVGBuK75XhjTdIHLBcsKTJt550VlLY4gTbFPx/
Lj9c1GSUbjnTlh25FfWRALf0e0s4tbq7HXldp3dN62z59xBqkkoD0/Bn65y2hTi6th3bkdX6X0vh
FMmhresumsahPnplL97tzB/2a95U9kYNFkpxz3V2sJfJd/DJCf2dNWCKSJSRw2+3pzUHFj28V4Y/
ouBtHupUQ9g79fta0wl+NRz4d3VG/93ezRqM+IkUWYn5+V66BR4CJ02ad7uS5cHPFz4BtpxDPGVe
sFRVfUjNeCIRFAp5HwyEyzxi5VfGroonQPZOvij/3FaxUXw5sNnGJ1Jq7eekhfa/HVqt/WCLPX/E
sVm/NWWqXbrEqdNN3HBBR4bks1X+Or22uS01LqnYfkuUei8qXztB7ZvjE3Jtmg2HER27WtIB9Mya
LLoPnv+kldZTPXuVR4Rb3bMLXZzfxmKKJ67C3jtMYOPy24A64T5Sy55H2VESGONMLLrRmeIKlKz7
nVRQANjnuc43JHgWRae3sKRuxW7JlHOil/e+/Mo1bOaZeg4XwBDnOLfJUKUR657hmDmXmv0fKJbS
3SmjQxnWa51DbrLTfa9sp3uyOa2fGUN3+7xmv530iSm2pIUi4/Ztb74wbLH2eFYSRNfULhOuZGb4
k/tGj1B6D4gC3fyoiifNV94pN3PWeZh1o/ueE+qur3f6NxKCsu+TyEdIo222Mqspk8GKsmYUPxyG
Q/UDqvwct1tW3zEEpadHSOckaHOig24AGfFI0Bre0klM7yX28FdLm6znZjCqIwhNsTWtuXmIS8Ce
xJGmB6oawiocxYeg1pry0KoJ2SjnbNp1WOJPNNdeQJWm3cTC2MboRuAM09p8YbU1tx6GpwX9eaxe
mVrWeKFpI/EW18V8vS+ahmhdF5P0zRRIapBUgDNz476ASZIDgXjzT2xtU4jkMP2WmBVcI2QsARx4
I6gr28KclZgBTqa9WeVdoMG3PKQkozyMA8FSEmdDG1h6pVGLebt5zhn31BW4/T4oyGOaT8QaaXDc
EGWbe7ef1+nYN3l6pJxp6DQNeBKUDc6L3Y+wIL2W+32HNd94LDoseNNClEcBJxXSHxOgJ95rK3K2
wnK8s34qAbO11N3TlNxRCA2ZBWHdy/69jR1yqXKxHIzcHLbk6SVcR5a/rTvBChJ0zo7uKnmAhCG2
g80zamNkOztax+I6wZsExKy1v1L9MMv6nYXkRyww/lvF0XTfJUsfbNIKHZI9a/1P6stmO5CqMoeM
9NQ3DeLaYylJoLGKuCxCnJreFUS3s+4W/b7U6wt/52k4XpLCL3ewkux9jg9oJ1BThkbtqO7aMD0K
PIFpxBih9MxsW5bHfkbpeGyaVVwcv1IIdVKNeFiCsU4YJosXVhx4Xu/7BKH68pAz4nwkmtnqo7xt
li9lVqUb4KjNv3kDe1NifZFY+Tla5ADCAwTNCeIEWtvKg14w4wPLYwhaKFIaJdz0QL476ShZO/VB
HFdA4ueJ7I5GtlsHpOa5dkf9mk9uB4NsLN5moIbmUSVKwzMHWn7vx3EHmIIk17NneiwljTuNW88w
ACtD2ytLGT9HggCxCt69ALJf9GdOm1Tw4KKmDNM5i0M54H1TsToWiX+WhJlZblFGFD3tLiFz4DwJ
NgAmFqOPdYoH1BLOoMFsJATE0vyHzrpDVZfVLL9G+HAPBacit/9AurqcbbqHEdEEk2q9vriAJzY9
e7i3Vs/8Ry64jk3ORD6srw1b3TbHLThkngmyJX8TFYJywLDchxl2OAW0O2YBIiiDU7TV3jRn5QzB
UxjPwT8IcEVb9eRqi+5pnRxg8IBsrKuEQhFk/jp/CEjCt4VTfIdxTcdYKyjLMCYHY9l/SZtIHSdB
puMKo+XmTGKKzhVqrTFdY0lRQOTryeI3FOVL4UbYHpvX1nTtyOGiQRHbAQ7MYveypGX6Zozy2plY
1fA+9ruSLQVMC5qbsxRJcXII6LlDCspx39BjhH6SmiBLxHKz7zJU0A8nhu2vjll9AeV/GBQmsgJR
K7GQyJGztEb6lnncTPiRGhdolUMU8QNTmupTLXJ8aKi+Nng5knO6FumeGcd0dI2fBUb0YRhsuP0F
g2DM8RYUK3qpdQrBr1VbgwuJcNlkIZYiSxLgP+MSMMrfNOkB4fIxXZwztptTsWbOJXGhdUC/IU8o
R+oTrKS6Y7NUrFPJzfUmvMObXk33lTlFNOmlzFrIuwFxloWpp4pbAnTwEMvEPnnDyBzOqLyj0lui
IAzQ/67mZbuYV/tpZFJYb6xGErgy1Pr9MRSBu/Bo4AUjvUbM+7h0nF0hs6MH0lTHB2R4KUYfxulq
CaYavhZVR8bmBlWzNBFISlPo4eJwN+Eea8YDSkVjm2s5aZ141GRQFYTewJPdI/8C7kENsdoKIRbO
SUJK8vK+ReT8g8/2ZsRtg7wD+kRE+rF2SpPOf9dFy7YlXoxv0qNk97ukPLbzOoaGZiQXmMB2JCYf
kIrKzR+e5VnfHHdtn6iAcyKAMbIXddwcUIJpT4YaxVOxdgVnpUAIatcSIQkw40tadaQaULR9GoZB
C220UD5g4/+yMIFhZB7Oc5ef+ioW4aLHP3UEIpDhglUjyxzE80uXj9rJXBRhXrja9xp2rsNsjv6F
XBj/2SOJOKyTLg8agwJWubUV9QCoQuFinUjRoBKXHDo6xAPLpovUq6dczQV1Qi0/IMyBBdDIhbZp
8Q8QMveE7SKnxlEdETk2XAd/6I+uXzwJwBfCY7po2vLamN86fb6MLCNXi5yXwflepNNDPekGIsb5
2cMDm2gVkk25jwvjfi2RFQf5DkBzJdky++9VBZBSZR+SwUZQSuA0CcyRp3weq70/OBzsRIuf7WIy
eY5lc/C94uSJtCIV115PDib9yBWQeqsCawaiLexPaYmxss4O01AmO0uNz7pVZxtvqVVgkrEQrkrr
Ch6OxjnoguZqTaviE5wlK7LRRYBEtgsO55Ez0sR6kBKSgCClZD0NLHHbFG58mktRRRpRznvfoNMn
xzd3z0zG4403u7DFPXWQZUGghnswxvRkVOZ+tSqWzVjoX9vWHc667VqvWPvvCAY1+JEwITHtsHUy
fS7IZxkDRpECblTWvmmTX4bIqSZGo0xxySpuT+CM1DM21Md7bne+oM3ylBOlZn4cqu6rhiF6YZUL
ypqMhTrigD/qLft+RIFbRkztgQVgHHTWXIRmIZfLaqLKZRWhf1p8f3gDRjKE3Xq235HkdgeyGL3H
mUS9bcwSLKxdsrQSJGwE4eG3UHhvSNDhzGveLTx8T0gtkL2Ys78gtsW7wKrRkdsB9t9uyupmg+OH
H31Bnh3KTz+aNI2Q7FaKc4WzO3RaZwJHGntnZQHhy4jPXI0vG8kJkBv3iBp1JjEYHcfjkpWHash+
kiT5tSSSbFG9bSjEzY7tpXCSbt8bQC+4NrVgEuUc5qamI/eqJgBiijUqcsI9N9e+MMTeQAkzAdmf
dHaj9OF7D9pKnbhVxG375UzmVauFv+tdkLiacRJsuNGoLttOqe+jORF7NVtWcei4Dp4l3MkrnOnv
o8VOVjbaGwQa8VDB6v6Ar9Tu+XuMupQtLg3EweroxihRtGfSyy6N1YVtzubVJd7v3MHe2OTCfOcA
xyGsd+LNsioj1FLsKt5ivGHR8lH5eFjkZbqlhg5ky863Gb5GHe2n4mre+GxrAEN7kD4q5zdLz4OT
ZoeqQD47VS+IEykvBaSuTgE24gLfVnELIMDalfXyjv0IpszCAiOb7qjc0i6HZ5rsflva2SWPVbbz
jeHxDoeMLBgBj2lvveaNv+DkslSIsoN6EYkW43yQNFZPnFqXZYGdmSWjPMO+zrPTk/4NyL9AKRuy
SI3MniRW2TQyEIY62sUZyM4JFlLGy7F+HvNqQwznMfZ7f5/149WBJSvDfhz9cGyM6iXpmvndr5GW
I0djD4RCvGrnvdOV825ocYbDxV+aQzZAlEVYDnbCSM190RvqsVtV8iMp2EbxCv2g5X+xZBlMj2aL
27T75TLnepky2j+D0hd/VAKDZVZnzSlpqB0oFPrsensbYi29yfiQ4DvajGPTvmHRWXFVLQAnEN+D
EW7bfFMPSrIPWpDfsXKLaBviLemgzvOaThnM+nW+NGS7Mcs0ne6AnWgMpTZnYe3PZw0sMPzqfOYX
pSe7FrVw5Jouy5CutbJXJWb7ynMWwQg8kzXan3NARBuCKJl6Hdbc9CLet3/ve1s74HnIiBvCwsDn
dD/bNe4BM0zPfpw/V2aT7hD6tjswYcWbhvU77IR8JIOMryvTs6gg4o14YW2MEu556mTFUjq1barw
9snRQflgpsUb5YJKID+7Pqxt0QbdNH0XDb7AhVP8gADJvqCdKMJEpYgW8rJouw3jG6rlaba8s5u0
99Qw12mJJs95O5IYicSoUyZUnfjlMupCAr+Yj2Sez7e8TzoUUvd5uK+7E5PUeVuYZvKtWEVxJqMU
5a6Fkj7qsxyMgwaiDo8wYUc7CMPFD5lPsHYKS2wbKk0KqgIrlc2NnK0EW26k20LClsh4jYsvXJWc
lbOciN/T3mKTLOC8pfWIes0wXnwhUO6aXgE6poRoe557SjI3hoCnJoM4LRe5ECqIaiUscnFcREdO
dooTxCG8C/hc5HBnennzLfNLcTAGp/vdpy2lY2z350nSMIFx128mOpEHcuesXZfKfAfohALIcDoD
FiE26VC1lTjragglxZ+Fi1RucqYUZ3KozOexMpMjYHPzhYMfxoxjpTuVdKD6AMhjJMkrq2OTV0Gh
wik5BzT/LVcfSkrkhIoxWwd0Hh24mX54DufFJhNT8WoaHpoDwcIUUTcbPzLxjNn+inES/cSx1qQh
dsb4V1xm1QtlyPcc+B2mFHkzx/6F3CEVqvvAC9jzfliXdltQO58wqvG4wogMcCyqPe7t+oOoInfv
tUi64BDqkWrgaCSMBwFkFOsjMfFzwB5hIMnE9RibFebAS8tmQOcgbKwaF8ZJ3l69wiJusptdIEvD
q1pSqEWm/JYZeOglmNhdYZJtvA5J9kRaX/fDTjxyU/XYnRAvjyBuQPLCpxM67sD4JYWncYBfQ7kz
wnn0xtOc5TkH3pwfF9P9nVH+3zF5Q4hES+ckmAkJU0SpvYCp4zKBADOH42DUZ/whj6O7PjqJ499S
15sRGJftthnMzxqHOJ6hzLqQyhDjM1itUw+Y70PBj2Zz6v/w8XXsHYA0G6okGxcCG9Pat+D4VHGZ
g1o2jT23Lq2xeSQjqn7NS0NcTYPHr3a15DjCRdjT2E0RxfttyGAvzCymtm43nA0K9d4bFOwtppKR
Mtf+UKCFuapl9hli2C9pS5RZXVSsVyTUCMThKhxNFLu15Jsnj2IwrAcwhPoZvu66uROzj4aH0swo
Cp/JEPTgoZ6fDFPy4pQ1tqcJ5JEZ+8/LPNintK6fdV5EG11MW6lcH8Fd+YKG+boMKxQnB4YhOGIE
1WuBjSwQQLH3Ti2HrUmFw1nIaNSOBl9xJk9wBk5+Yw3ky0Dl4GGeEubVDgeygSL0dQGw86sRLlNL
UlgCCouVX6/oDw2PYQjjqiF5bS3abcuxeBmIfHkkiGC9y5i8i+cPZVC0+atInJvTE2cNavPDyYmj
m5Ozx7R7ZwsCteRi3XzqolOWkvjbZWFWybdlzN+FQqHU9mS3do2LePsW9yoNVxYsz5Io4cAE6f1k
6Y08YRlG6gSQ7E2YubMv5ERJM/ckvUmAMSs5CV3a2pHrkZNdoapPxtvMrulCVm5+vIPVP6o5Rj1a
ui1l94BHdzMKXgEJ+EdjBH636QBzRR4pwImyPWTn8mA4nKcbm5iKHQJsqsGMamGTuwvXSUUcUIAi
Rmfk6NQ7q6t8fo1eZb7p3V1+6I6tOHhzWf9EGgrrpR3N5swHzY+1t7wOHiOqUjO3DefbhYCk3A00
NWufICOqiPuQNORpVYekrQGdAbjU30UmtRf6fuuM/Ui8wZVQwcyMPSUyLe0fOBd6ImBQev+AuKc+
U3egr2No4CuWQkUh1hOMqKxgemuPb2LoswelzbyMUdGphh3TlF7jdcrJux0yyswSzfILHJH+ACJs
5biSuiJd2RWvY2qk9a50mVPVCWQRJpm2DTQbge1DIjytDqxy9mHNJtWE9Nq7p4zYoMhfR1i5B9ZR
lHH1aGZbOmobx3mVIVJrWpO3BQ8U+MWk3nO3/kwrS8NRQhTaaGsK71mTh3pnfpYUfCzcVgZWGy1n
JNKPundSgL45KRr+Cce27i8L4DlKSl28I9i7+wM4BvqLZjn9Twsatxv0Ztxs21GJXzkF+XYl3/zg
xYlzYcs6X7FqoZlW7ISlMw0ERZbiNuLvvEsuEh6UjpimLewea69psWT/lAJs9Fj7MOmqN5SK6ouf
zritycgMXPRHe32WT85ss4YsY4PgA1tokNTz8jJozvzMZC3dgoYnClAR4uFpXfU/qTuT5ciVM0u/
S68bMowOYNGLikDMjJERnDYwMpkE4Jjn4en7Q96q7pKs1GZa9KJkWuleKpKRgPs/nPOdBiOXEBGv
n+yIhBdD6KEcsb4IhGzgaiYqzl8lSR86oYqezlR2i7rROJPUHddL23dQCfakfkE7pqoEzKLOviG1
GqI1G8VN2fMAB5PzmYWkdzmIyokcNJHwKm67g0yrn9Uu/HRrJnpQGMm+afvu3SwafH6E3q2gGF3a
sAP4XqRAuNSpRV2pj0vRpJNX4mWJvLhWywVJTic2gvD921J7BEXpdWNcbVyiEF+yjhjTIcgJ3ZVt
T46fRjBBUu2NzKLrAFNLXJAarmtD8W9tgRXQbsUHfutwXMnMKVeq21VH6TD8GhiB3czYj5OFzCzz
zrJpWochgepomqN1MyjDu99ov5OJoUNMzNY5q6r0JYu4OyC8qQvbdaNrCwhg01mCdLLKLUMYVlwM
01JOvnuIGEvSdZBeew/hBtxsnYXPCtZS0C2hPUUHcAOUBAGhnV5gcCdbMJ/9yRiehzHWtpHVdhtz
cGnQyGxkg7gbzZzVqUF0yXxT2zQeK9sFAlEgCIC3WKovQ1tUANVAGphNh1WdmF2P+K9ulVvFnc6M
KqUxq40DWOwoyQddpyP6W8ijH+zf/AOFiHxKqCaXaUlDM0apOFgFRy0MFrhW7P6OCabKVxtQTBqo
/VpGxgi5vrHBeBXVoZi0aB23tXoLe73bsGRgzNkUPVQqqpYSU1XvP4fdIPBYlPwqkqWgXWbmgdW0
duFbRc4Ge6Y4aj66LLZr2UAakI3tDvrC9JRNg/0zQiNNNmxf6AHZug37vnKJvMadCPi5yO7BZLZn
oy0uSjB5GdO8Yzk0YmcmtnQB8lk5ovSAYVwJypl/oYLJIAus9+6U/5S90LJFL1ip2LnRfiOAU9aN
kvhbUIt8Xl4X+kajUDiYM28qHZvPuEPGs3I7CJ2LAHr/C3+/Hxg65YZ8C52ri736Ikg12raBDFZZ
v6km4KUQomG06DUIaAuTMR3DHfZ3qgeuF/LvZLRi1ceQGglhJYV6AvXvlFn73ozGeJHw+RZFCfKv
CWkMKiM/kHddE8QmLC4bdubU/3j7o1tTOiXjYlkbZyPghG5yPG2xu456nl/izR5aYsXfk5JG99qt
7G82cO6T1SKlb2dnFP02vCSHfLuMs1BLYA0o+ZvCQvacayVArCzTeCo0xVNjMJi9KxsEZ34X67DD
BaNgaoZfzEDpPPTSOAe6aoCEHQC5OVl6ZvE/7PIwcwu43aZ6CNKIV1s2LJgUdPlZo7yD0a4+3JB6
YynyTiWYwua26aQlf/kMK2kT4HtuDEAroGWJK6GMKV8ZDL1H4fTVD27CNS6qh6GHyS4iwQf0qFZF
bxr952szqqx1WlUlWq2iTqfXqOmm1AR1AD2LhxO0A/U8ZFdnTKelnzniTP4vSM4i6aGUEZ6wZNJH
kEYd5OY6g5oyBf1C+ljR+kZZjgnWurnBiRlLrCe7urLx0hYVdhWmGAFgI0fRId+FirNRykG/5qba
PdlE/OzxHpo3RB7KcmLSjwNkGC6JFZhbvWmCt7DJjAfBO6CiFVQrbHtUxByK2W3qdp6PK3GlnaTe
M3dSwbyy8GrqJXYHL49me5EdcBNE2cigvYtiYon7wGsUTX/C5wiYO9MR+WST0AvSj2zpiVLgRbXr
H2wjQMdzv2wxViNnqOJkWumGdreZ7S8jVXM3gtN0xX43fVIS/WIhbV/XgjxW3Zrs01jhfl9Ew/AF
9LnEo+30M0jV7ytapMk9AbpLbyxp3WddMYcLC2zxRRBLdlBGwV4tU7u9rGwyTIIgwdqfh86zObJl
RCj5VjOHjhcV8ddHUg8hYRD8uOEqRe8Sje251dMb0IT4aaDm2kq3Njyzd15wToZeLcuIUtIZ5KNE
r3Ppu8ECmNaa8gWjHjsCxZkQN0VY/AtjOlY8EMss9gHLANHf1WG8CdM+3FtpxDjSd5y9tLCiQaUD
kZI6W/hr2Y5ZRoffvUh5I4Z+j9x2uiIJZr5Z2Taxls4IJC2rUH0QbvCqCOPmVP4DsFt/Casg82yf
Li6u6sBL+zlmfJDXkD1hhBpqa4IfWdQu2SBAt5i8JkN2inNMpRgJdgbl7BUuLnMDmqgnd0xBqtA8
GcfCdvMtc79fDmG/pjoe8CN5VGLWPitTljaqE7Rbib3/Df+Cva4TKDWWaaYPrbU5uBp20rsMhIiW
C6ArITbS0LQGL9L08iWJ+aKc2m8WtMn4HioW1URqi3o+0qFylWQXrgOSA2bwM7IO8ruWqVoW6z5u
GAAM7airiyJgLxuaanLlmO6gB8PLXXFz5Gt2kuoBO+jvotKY9dQB2taIMJsF6OjixLllLdF/jbjn
VJPtdDDc50zKE1Fh/Ram83RDYpmspshnJOVq2a2kuLj1zaivgjAtYKt3ENTDdugOIIjrZeiShS6w
Nb10dQx0Z6IpZSLtlzFvPth41kvuaxYlo1dEOVMDfHxenEEssDIr3MkeRlwa2jpmdYFZMKsZlE9h
gnehN5oLs4HwF2n2KthqSHhLg0EkcgdNHEZRm29wkgbOs6lmajhYgFtHt8LDMiTotiL2CZbp/ip9
19xTqAS/GBLO1Mp5FGWU8hrRhKc0Aq21d5q3eRT0qvqossD2qM375Av9helG9I4+bToz2zBWsKqU
1VS58neomNptxIu/I1QuufsSDyVrAdp7gE4Amwr7Gem8ugnbkqRNR4Q3GO0TVimzhYRFnttPrhnd
c8b1ymJm9M+lW1rkkMMe2KaNNFeK9P19mxrGuqy5a2ieM/WSJGP/zphFHFlZJSsnd1oooL1Zn9kY
mEB2aMCVfIyf41z5knWFRL7i/mwTfx8GA6Juw6rOQTlon1bWMVaMeWcIUgXEatqRgjCowktWTvoO
bqOyYDzT3aaJdfFC79vKSzK7wPvGIKOQbr8sXF370aXjH1Do4EWCyE+g++i34UVQHKxZxvl7UI0J
WUBlymNLq0/rzLSAbZR+6wlXuEkXoG2AEOCeAdXgdqXmseiluX6NbZXCd7b6MD5AZh0eogd6PTYF
iycQXuysKWs9auT41ZUFYKJS8cO3zrSZubmJ7Bk7MN+e0NVwREVKvLZVzOi1LqbPDBj7xoE8tayb
1FgSLsweD5U5XqR0fGYa1mwty57VffPsvVDb+gdxzbh08sB6nkooVx0UV0z64CJputx9EfeCmQab
GF7VctGYac/4pLaZK4yCAEtkeRGPJRvsdDjhjbymk9agjIOv1bo+7AnXoeYMIkLFWN081wTC0zHX
1lYl9YeuytF6i6ZydH4mRYDsIGLsEYd8B/DzDfjCBAbl5NufKtkSMuTXJINp/PmDCaHgIrZNh69c
+82Boxw7f6yblUjgN2OpTDiD/idaMSmlnozrEKU/HHEn/22Vub8aLD95TxoIUVha4ughEvYfFuqr
S5f58oPwo+5kGSxdmNMiho1Bq3Eiyez6r4vh73nKf/+fSvj/Xn4h1dZd5On/3C90jBCCfKb/4BT6
9x/7SwnvGn8zYWCwG7ZcY9a0/yWDhxao4+kwTHKvHYOaEffHfzABTX4CAxH/oUvXmOP9HyG8rv3N
NQXCetVxNH5WiH9JCf8PDhOHu87BmS8wF2rafNT9vf6cKGEqQA3SbtbRs1hxVmx6q0w3ldRORlW7
uwi6GFjfgcza9rcOhfgYWKnxF3nyLx/XfyGER3v49zr4P38OHeAHSdqs/YQx6+T/kw7ecAMFZLxP
3FFc4522tbUJCQzFpWifCKI10QCIi5/Oyupekp9M54Au7CjDoVmUlXFvS/tUs5KtXyZuJzU7GHIo
yKkBreo3jtcL+1BobGb7DlWc1VxHNKOaz9jIKqBnq+2jJwhutJiJ+mjb0/oyxMOZfMq9bhTk9og1
VvtXHP1nRYI/k1Z8byOjYh0ffJqMGT2V/txD6zkUCzXAbT7wQR6X9Ggu8oiFTHHHkLpmDYwgyriw
7DfmSiBc8MXWaN7fiBmJ2dFOjGEDfQHc/qnLEERYwDlG/ZgrOVIkGgrnVYmnG+jn51LU+zoYtrph
77OQmUrMIsYun4fBeneaBErKALjHJHTIDGA7ERLjbA38vG6enkj42YvB+p1jTHbUD6VWHzZswaCx
j9xDN+FrGx14tTYoXq/r5UK3+WMIV18SmbliQ/KVJ913VBpi204Gu+NY/ECz9Xe1pYdQdAzSWOK2
9BhjHBqtPypOW6NxDxP6RH1JovEzqsNdpd5A3CzJWxGwEvpnuIYX8Flr9qaSb8tlyZeNq4g0TdGD
ETceKa5vdk0muJ/nMht+8NTuhlp9n2rM+4VK0k9fvAWMPEawsPRp1joFlYiGDbCA++DxYiG6VgXx
kSZiE2+gfRjV7hQo/ptfTAdA0rfKdjMYAe0DuZinad95mp5qtTvQuUiSzQMvR+a30BoiQyuaeURw
njs0H9JolrrZkEs3JG82jyZi+kcElGrB+P07L1n3snrwcgTys/5glUoiiBtQMr7q4y0d9w29iU2u
ktWFrzLV7mb6apMhd5YIhl67KeVmNa/+0HUMY3sXPkDQ7zD/eeTs0DIT8lxm2yaM30Tr/46V/Aj6
q7AetUnfjUEVVHDBNgm8Avkb0w6g8KupZf22xYdNjQhgyH7qBlYrgvhZyzib47VyiqONaquuUKkh
D8+fTPQpbYt9uxXhpYEivwpkszWIvEbRNMBQyIg5csJLF2hP+F2ZIu3qjAGMBVKN4+AS0YrDdxle
iwnFciy+AMWvZJ/RpipadSxdbQ7RiBNsIMaKVQCVVPRlJc66jC+mpi77QrsipcAbba4TwIWqk247
RnOEdfWLaRKvChNuKo4Nj4aNE1tPd0YOfrHTVHIbOnHKGQeEOoQnfXpEnW55ZWu/R0LYyxhxv5is
5Tga6zYdzrZeb3R9WGaTYx+6rF9hz/glOvOi+XJ+nfSzixlmUTbWOXJJgIndjywud1FrfeextqNC
uY4zQt7U83QdJ9nWytT+KSlRnef2gBCykjcstFQ9PgRJeOzocS4V0za1VvnmS74nFmJOER0h9/We
8A2quKpbm+PcxgnrgufjmiYSohGhL9EMa4FvgFExRO9VF1+55XqAj19SduSC/8HTJa0kZG1vHHKa
nOrBfPHsZ817O6bFnHyFtt52XqZ+fGYbE3iDexzsBjSbv+jS6q4iMJyM8r1JrA8dJCjwtCd1bN9p
OF7j0U7Zv/N7sEYaFYj3HThyO9Jvo6ncXIevJ9VKGu9szyw7WrZg6Vg3MC8LqQC3ttPvUGdsdUyk
U1X8GHG6wWfxCfGJqRLOpawI9WPp8+Zn85ZSK53fuKxe6G3lAorPquyRa1DH07Yl9So1IDrXWrZ1
JvcTWim40JqxjAuvPRGhutSl8tBzg4XtSJFXVacGfVgJ6Gm07XJlpoQmq2n9KWObFwPadNj0753r
XzLFuROXPC9bT5M+g9nYhGzqKj7qebCbAvN3GSgWY4og8bSofpr4WhXfP8YdSywwgwsTKNJirEib
YcDhLOmGwe3hbYXkd+DV2zVaCwHCVC5VQUc+hkGMw0s5miogiCiIvgHagQ5IbmpDqhwpXdealKjS
5nmoHL7JeFUJm8UssSiTue9rMpeqvQibZcwOYpvjLlBHH0Ul4pX44SPRhHm/iYlvJRKa9ROHkJr7
6yb0N0UlvCL/COvsxFbntau03ZC4XpOYB3Lotn1XrBmreprbYZNwkPxExGTHsqF8fS79HrSCCTX3
VObNKy4HZEEJkq8adLX2hvX7rPcw/ScGXLa7iRo/9qza305KOHlDV92F33xWcfsnwSfei+rVASRr
kTQqegwtrr7tk5a14tMwGazuyexVsuqqTMZxHDi5QK6RUc4rr1j2xRrC3wXTAGbMua2ew+En7aaT
aom1lAwjVeOn8fNyZbTSIwXrQP2GfTb6QUfyHQbm2RDNyRDVdo6dUsd+pbZU6FblvjkSyVH701B/
M5m8TEytsQ2frHLgJczfeEVeyhHbRvIB4+8dfttHoMy6aPnUqu0Z5hQTH4vjxQ+PFofWpHXXCmqO
3bN2cdmiFjCIrfQjDZTEGxXzy7VL4ht1uP7j0Q6ilPRANM0uG16DYZjWfrZT+xaSV5uQ6x1r8tdU
ZV+pMR7wUDgFMrYBqZbF7EqEBYT+GigW7Rb5kD19XLo3OBQQaxLNVrSTF8IoMZt2BYF30xvHSWKO
YLOlutHvzulWRgIbETsKT3OzEQTMd4zYwlg95gECs8QtnwIzvlaZWGLDuGHBWoagOaK0eQ+PWfKk
1w9pxp5RKmt81adC1lsNXv3C6KIXO4JAqEz6Kgv5teTFZqLdguUb+m2e1t8mDOEwireoKQXy0ScT
nsNCDBhRSsAvdXJAT4PWTbwwZ/1yIXatGmY8iwRxqFUq9dKKGzgaMn0wkTCv/eRqS0g0xFSpKoVN
nkebHDdQr1T7mGAFImLzRWZaF2gw74Ecf+l++0rs/QaQVbqwzeqlimfXl4QqSVYGKivBkiAYKGYm
ZjQ6qiLEV6AhDSu9lUXGZKzejBruOaS5OuiP3nKXfTg8uS6Puk+OW/9DfjU71mtTuvs+dS9+E51l
vYdUhA3AXg63YUIIVq9DkZ1LP8ecqleDF4ch90e0UtT21nIVeWPeLhhuTO4jsPXXoFdvUatyHjib
KLjHUbxpDGuLNxE/obMuqvYJAci10y6pwQNEWs0UfSgq0+gSFjGWkMUov/q+2aKUeyICMaCBHPaD
W2tL6Hc/bvYS8m6OOeBqLcBgn+PNppEoSiI1niKNXj9x7qJnw2Y2nxEbIlV1W8+aBWcO9UOr2K9x
g6NkLF9KoIcTUYqtfsAMsmRJ13DRMuYmpLFMxTMCsM6CmkQg6RI3YOli+xIuh3X6CCDkL7NORnsX
c3zLNonSsp72tp/Fx8IR6S/FIgowI5ts5/sGjjG1cps3Jlb5S0lsCTgTpJYd/fNPBj/q4krVYTxq
dN8dCUgrgt9wHVjElGCx87ul3zoMiqyBTZSl/hJZEl4dg/WSWgZQ+jjs0bjqaKpy23XwzqTuDRsp
36TShB8p1fA2iQp8O1KxtFVTkDApXYf1SqhiGkxg0WRg7BBDj8HWrkz1Nx/p/LKTafpSUqFu2XU0
G1+V2nMuKmOtMQQ/O+FY7dVMpgdVsatn+j3qYwoz4A5VVl9hTht3cLwDM8SSu0WG/U7Vash1nRns
WoUQC6SE3HGTMnjopZ1dUCo6dvwucTeo3MpjlkssR1FFUIflTqRsF/VRz2x/n1RtvXdbu0MoynDv
ZSCrew90uzg2JhYB7LfH3NE76plRlc+509gvaqWOv4o8Kw+yEf46IKv0bA5T/j4YzM6lkZUPGh3e
H6cO0i9HivaNTYLVs48O5dnsGutuuTK8gVofr3XvFietr6xbZ8rhXOVueBjNl44QGPS6bFqnZgC7
rpkPxTSBbWbRqL8zHO6RK7KkNachuaIxaU99NNkI6uac8Fl3lOatQxAdI37JCOfC8p4Jp9bU56TV
5C6NxoIekoQ+N5hD3ZjurYkQCTYBdT28qgK5bzcB3/F1jcBcmW7cMCg26dxgZ3hKRyiMvg5EpkfA
TRTUq9FiicFglH5gktZPxdBi88IpdFCwN3GmZJAHk+iSDx8DGhIM3KAemmQ86/rITVqkY/dc82SO
hF/VY7rJcw23Yzn9shIJ+72vW/I9/e7uK+LhZNMZOtm7YJQO+2cXsog1J4ZkZhNt2cUfSsw9GGHm
ABNrqTA990wFKTP5kZlqv/UKwuEROnermd+CwDJmqZ/ogFZA6JddEK+Ze5PKCXsKnZ+FZ4BQInFy
AlPdZH71Ouj5Xc/MXaQ6p8RsPVj8y3AGGebtpotPulq9aBrK6UKp38j0YUoZRFSUqbh3ZvfwIfIU
sxhR4SSKwvhpHMhedcazwyJ6V+Co8yxFRzaedWwZJv2M5Jqln4mKTWYrltrHMuprmPQU5XXEykw3
1+TErrNa0T1Ug+1rG4ICzOuDGyJ3c511kGQ/6Cke/2k+9F8MO4yZplD8X6yHY2L6JDHYotcEO62p
7j8MXQTgX9lYot+K5JU2PzpMQzucAa/hstaSca+KrDwNeTBdOZ/CWx8J667JWp4rMHn9okaeBPWo
S7/sP69KPL815P25J2t+k8L5nYrnt6uc3zPtzxs3v3sMtuNnpPcMUHJezXZ+R535bR3n9xbCe/3i
/3mZh4Bg9zaJCQf2edfH+a3HZlLQ1OXBCkBTeUzR6W76tmdd5QdQXaUfj16mVf5FNyxiceazRZtP
mWk+bwKfk0dtcAmVZm/cbRL5rox9qc+DMGyeVZnXz2pep5BxRbUvpoo82IluzJ1POt23OPPm00/M
56A1n4hKkGu/EcaCcBmbCM0uguiiDFfxn8OUzBxAhIj3V+mfw7ZN3H47xk74kRXUGYU6ujdTxu4q
NPT4pTNCGoa+5/jGuCIO5diHV9PNtV++Swp3SvqDUUgu+T+XAGpKyILzzVDPd4Q/3xb5fG/IyB1/
1PkuIcIZb9F8v2jzTaP8uXT428x3aLjcVTnfSc58O9XzPeXbCd6eIX/K5zssnG8zwMuPyI9YcThT
PX0zJDw4qDSAI6LiAxaZqm+AIghBQy2vv46WzVArBSj+3rsAdIh+dOS6CBhAxTybKyAJ+WJKKeCY
gesLg8WaXScZXGuQlnqhh6ei48kzknJd0LRthRK6oBFIBv80U6vNt7mjTjQ3mDzXtaXalRc1fz7R
QCe0tFOntrmnFTvjYcrCcEnARwJjUwqiSXX9kEoOiY3oHfrVmVXEYdYoGUJ9KF5fhlpcWfzi2StU
3SrXsKGpS+gWICYoLOO6lNxr2bAaxM/D3qwsbyHd5rZXzPcqY5TTqh2dxERdiRPtZUxa7BEko7pg
jaQs70mD5FPpZeXNBMNTr2YNsQWx+5sm5lVxVOtotPjs68J8gJGkAiKscKWm8Cy6JnRQzwfJzemF
8uSwjl1x0deoqePobqvo2kQD3y0U4h5p8u6wfj3I0o0RWVJmt6m6DwwNJXkXDuFaDB1FT4NnsjPE
R0Tg8xZgMxoQZNFJOYE2ZWK20rXxia2VuuhT/vWeB2Mp7e4NIUO+B+NrrDNEVEuY4PqmHNmqaJ0L
tWgyWZLkQCmznk0jwuk1w1TGKmr1mbTqlboQvLMY2HdoOKjz4SVnP/zcKwXtmJOEG7Ntwb8FqHOe
Qrsg9TQO8k0z4hvvUTtvDFC9a8ee0HKaXb3udN613GGuicOWDiwY0YsM9UefdfaO6IfoLZqyD4ts
R4QZRYVYzmk2AHarjT+x7zYr9susmYZlpdXsXwswgDO0b6myp1o20jJnRnFKaVGotPMXqwQdGRhU
TGNIyx86fk7EaMPf8EjX6s/9QO12d37O2gUGqlZUV4b5IMUYtHxj+Tu9cOFocO0ec9/+1oo6vcc6
sh9n4EBRUiKqu+QHDPE9TAWuRi2yF7oSmKdiJmmQw6bT2ITftUtNkciaq72sU4+qAL/8GH2No/7W
J++qhT6U3bBodBZImX2ZtBzgSpz9iHq6jSyXKYVhF7AQSww28Ta8F4ywp7rSO8+QHI6aOie6ZYTZ
5rlZPXearj5Y3NV0r9qvIUdwYpXyYVfJVqs4uBTD6emMEUmJQAufAts4sCLHTWPwfg0Vl0SuUA4w
kD51MH3hP9h5uY2aLsenTzRVgITqTTpzkxkYYNKHGJvIUNss12TTTR/kLace4Q7h0sZyujSJojrb
5HN9wgUxdoEi1EOITGaXNCw1/dxuLl3tZxfLV4Yvn/MH1Hxpb4e5ourm2qqcqyyChpIrTBQqr7kG
05XG3hEfrHj+n+qME9d8OHPJNmfrbVq+8f8vC6p/imr6O77df6M1FvgluF7/fIX1b3X99wusv37g
35dXxFNpho6ygbWMsN25mPlrf0WmlU0qFSso08QW/Oef/Mf+yv6bK2xLc+E8aTgSDVZoNdLr8H/9
D938m6ZDcXIEay3LYOv0r+yv4Nn9Qy3l0jTySbgbCLTis/4B5USsTq+GSm2QAjrlPRN4JdRWreYb
cqOSVTNfSlNycSJCQgENGE5GnTo2iC15mtNl+Ocmq/7catN8wWV/7jrjz703KMSBbug54Re5Fdcn
vL/fozZzNhTEKHtYZZDyAiS5S9Ptop3IgpW0svpikitypU1GHogHEI2kkj0NuhvtagbgR+rOZ8cs
6iXf4LhRC60Cs603R+zq65r8eGn2ckUFubdTrteibb2p6lmEjYhr9XmvPlVOvrbxQXhm3AKNsfAI
56V7BC+snTqlDgi0otTRougw6tDuJA59OB61u84t45tz1lr2Xf0LmIGziYvIWTS1NS0gYI477PTN
dXLdfh9HRDu5peiITdfqfaY1n/agOFvVVqs1URFzaAmf6UTit9/Z2qkph++pxd+oDiMqF6mcRGlj
TZqYx4Q7JTA84jZeh9I4IPJ8MlFkNWO7T01tE4UqqA+7VH6xo+rX/mB8JwnjThPeUyzGbZuMBDVT
NgYungd8HdOKyGofvFVO1KEmX5OQdryx7Tch1SdZabBMwbvWPUD6dihXblBC/GuV7sC4qULBp+3T
NB/hdpgbgEc0Aklziat5vjENdboyQW9tgSB/jT3nY1oJ9TqxQD2PrQUcoTLbj7TWwczkogsYDZHL
GmICvMStgS5A681fFdmAm6SFUZ6mgX2AvDP+UAiSbWhGRon4cpgOGOX7pyqMz6pWRD9m1eNyHQvu
gYCWLa1haFtR0nwXcfsnw/mmMRiKW+ZzWqAh9JiUyjijOfNRDDiXmGEDK87pRh1wjW11owQ9d1Aa
9TurI5YiKhuBFCr29QvAn9KLrPFXYslhzQXwkRptd4SUvqN3mkBC63V8s+2WaRWG+sOgOujPBTgC
WfTY4oyJljYbD01snzXFtG5NUNfak20DrMdDlGmll41KhNPQjNN23aRI2JZK0hNsabuJgLvV8ct6
SUEtsaC7R6CCYydNSOXwU2w2kRT8worUuQQcorkkJRemoQgou5eISaX1JKZWUsMPVbCqbWeEtD6F
kUBozgXv+Ynf41mTGkrUVsmIHM2CCjOXYjKH3LaaWzTLUI+Z40m4vQXrVFnRCyog7CfClp1ZWKjm
jHg6J0M1EaIEhY+FnxYIbZj0a2ewgB8GSKgdXHSEse5iK1Fy0rSjyeVzMTyt1TokEi7AWCGobfyM
KtVnE7KiW6dgDjrVAlBriJE9r4VSd9WgoQ7Xfqo49XdObHO6zDUHApaWjzhQstK1PlQ9GF+hIrZ7
t5HYUAKg7B6xbRE19TiETN70PsGY31HRgI3Hab0gEhVgHaogviw7VvAkk+PBH+MR07JQi+Ic1SMc
arHM0ucaHtfv3i9zExcuYDEs15EWXwTNslxPrZk5q7SBl3IKiYkdD0ibw03QDRBYdBAkyVIVDjP5
MUDIuUnb0NZ2kDMa4i8rpY3Wrg21eamnjs/yvdNQ9rh2BEqhZY6TTeqKso0PbIvYa5Ai8IsWod3u
Rn8gMaDETZjk7KsVXf9glcIoGcDbZ5/Ny70kHMpjm9eUVqEzMZoZkA05mAtI+DMpeus7vcM9bIY3
J2NwX2fl+O5YfYlhLEyuhiRLqY0CwGdZ1jyj08jXXVc774FeIpEyGnP60NTpu2et6lVqm734SuUV
bkZCnOwWhG03B8H/L0VYo2qWwRHadykJI11sEJfj840Cg5iZFr2Cqg9fw3msiOdVwsFvN0FfNLqX
29h5VnpG5siBU/ula8yB+NewbJ4lGQbGzU9KsrYTJCQeeniBMiozEUBgixluVgJVg/gQaGQdgYgw
5Gwt/Ma3qlnM91NSF5zKjO4VuRLdB+KCptpPmNuxB3QRpWxJr0i83rhFnfc14BhwFgiO2JM72NIY
VBcT6HkIqNVQd5emGaOzqWDS64wBqqbRXse4NXd+KOTVQfiHthK5kzKpNhLxZHivcb9dC4XlwaID
PXhnfTVeR79Kkwv54PlXZljMouOp3/ldaiuLvnXST+FH2pX8PUxEeuOeh4bQbPoW6XwFyLZekwgC
EOQ1C8BcRcZIvPQbw/lxkok0i7Htf/yw61tYI7md3KErocmyFcBQuiHCcGXnFNk/kSNg5kglVE9x
14kb4zLxCuhfbqIu0u21y+o0edKAPHEqjCHkU7e650FZBADR+4ypg5P/dICF3vpSh95SmjDOhZVC
k0GhjKY0GlBTKjkOviCplfSI69W8A7Yo06esGJyYNU1uCjycSidXrho6b3YeGM5S1u6wkYWf63tB
XtB3rlTdVcS6c1dz1idZhHQdg4FvP5JKsz6mlhskGjlVFwSRBG+iU1jyA1iHgzcmmIxBJ3qOTton
eYyICANLg4yhN7vO1GOCh0wEuVbbqwpnRF7FawdXCBHopN0yhXKn+jGEmnJCzouIYAhq5NIiSCYY
BAq0qNnhlPWckmUy/m/2zmw3ciTN0q9SmOthwsxo3ICeufDd5VpcW0iKG0IKhbjvO59+PiqrpiKi
qjJRQF80Gn0TQCIhudydNP7LOd9hmwYfEhvMlG5D0PMXTTt2ajebZmPd1nGfPmdNwEVHIviC1+57
8p/w+8GqAi5uMlnyu9YHp6KMGiHdEldZfUZXYkgwphvLxltza4gl3nIkmqjfMU8hI6ExnanclCgB
AwI3lmjMzEhYE0YuYtN9UHtWcBnlBlGabPD7W/kZsKnL2RKXAytAjKAerlYUtsWdV4wEc86xMRHS
WUVW+cUHJzXCYMKyHGMfWHI984Rb3sMCytYNpFsCvnQ/sK558MfMvo2pXBD/+pz7dNqMUjXpoZ5F
jmipSBTleZbdmDOiURTo7h4WIs62CafExoib+bLxtduu8sY0ThHEn2pdYsklvLTp62+ji7gDG3FB
+QChvpkGLIS1fyeWBNS6Ac3bko4JqqtkJii7inlLFDzGTcXytxmA7IjSDh5o4GARUt3kfMNkrs6f
8asIbYliNT9jWXHOMS6dS7Qtax+nd3tWAJduGO6Y0FJC81F/hrymn4Gvxe/hr+1nEOySCWu4pMNO
kl5vV0yTE9Ced939SKZOeZSTi9BRzcE7jzkOS78eUKb3xKgGLEOEv5X0H68lqxKG9+TLzLo4V44k
HQaXM913icgjny2iQ8Fd5J11qmb0N6RmPwR2lBBmQILBACjolQdGfM/iK30vu7LfV0klq91gGgkW
ayD4K1qZ6j0IckqwgslAkAq2MX3GA6ocQwe3Y4TqbSsIvEJS4CxSZrAT9R6rJUozK4Q62RCV5YEa
BhKWgFVZV+1UfCub6Vv7Oa1qZZSBEv2cZHWfUy001nH8J2K5Bfr84/T4147nFyazCbRDFEU7HnWR
VoR8WU1NZJURP/zQA/6TMfU/exmovaQgoA1EvfjLkBrVUV74vjEcnbHGRgnHK2blXWnnT97OEjr8
89tZvl8JWx/ENULvX16HLFzV4rrtjnOXd6/x8oQnKpyOIJiYTq1HI4m+pz2S3xURGsr9k1dXy6f1
68s7xEKRbOXQ3f76NqMhSAwAge2RyVS5w37c3is3s3egYWcu0ia9dSuc8gkiqJdkKlDrUk30wnsg
DORBf5YZiKLSpfDIber+eTyPTlEcbbNCHcx+mTFtPC8TTGOI0pumrjmqCmf2UWeH5N1Y3uUff2//
+IbohIVDyy4k4/JFOvqjknIGquKkRVce56hpsPYmxMBgyooGsUyCPZ7xQeqax3/3RU1hCy2lS2Vq
O+KXa7IGoUlMgtfwosF8aTomtXSLBD64iJypev3jF1ta+p+/Ml6MtQlvkN+k9TIS+EErGnimylM3
a4/DHBlbq1YEVxu7TIztn7yrf7wFTC5LC92uw5CDZc3PL6SyRpZFFeVIu4AN3mjJGo3aX1rd4Y/f
kfzHL820PCS/ijJRCcv55UsLkkjH1mylpFzgmQg7Sgq/G8PgkumH2W0SZaJJ81DJE6cSDs1NMnSm
PsOYROFDydd9Vn+lxCuLvdufD+NnfYhGkVrxj//Uf/hMpFRcWh6DHT4Wa6F6//ThGzpo68KNjogP
hHMs3a49j8VIs/Rvv47JbW9Z3jJJYtT48+sQDUPmT9CFx5zkEhApmCcJ5vQJKP98nf9J933443Rf
hw01XRlfppYWOzmpkIb/6xnh5vUd5PsSi3H9GrzWfzm89t/T6C+g4P/yLxMz/ulL/D5VdMzfkOkp
zfgQmYTDn/G3qeJneIa0uAe4t4W2XS6wv00VxW+Iw5ke8j/4s20g8P9/qih+E1rb/D7ezvIr3X9n
qijNn48Y/vDP9Ixldsnjz0Kq8fPVhyN8iNEm6K0/PHZTcQXCYxfsQhNqyAqdKQGMZGKI5s58xNnr
des5fmwqzOXZk490NSJt0O31WiTZV8/v0ekQJ4kHhYBgDCQ9Jk3U5MfQfZtGvYE3FNOFPnXDV7gw
W9oVeyXm+4XnMajpxgzrnWlclO5HTdzhwWcXrq6D9xDhLPiGidyEfCBDEI2r/ZEhvUpqpJUg3aV9
tOIW35RgJpjlG4ZZgJynfWZD7bDHDkV4vLOMvbBj5nmyJVioS69H5oYeTIJ8eKOof2xacQviLtxE
geOuLJOdUOOghM6/temN7fYt7voET3dMah6e0TTExTuxuFJniUSdduFomvVOTFTAmgRjYadrOyPJ
EAhgU5Y3TQcEpAqgFpAuwvDunEqCMksqJsPE28LYYZ1X+kVg2edrAgJDsCOKB6ypO90ku0lP7FrR
49mYnpIGy2R7bm3zmuHvt8SxOZb4W4dpYuMrFeHn02NhzDuVMaeh5F3F+NVXoe0gku35rUEYnYMM
sX/lNYwpXESMZEjG49UPt80/Kasobrh2/v74+v2mYEoqGH07i3/jl2sr6QW40QJVxThnjyC9i7XW
zXnsSXRadBcKAGbq2FDvIU2UN1Y27i2pT23mdptJmMwdGgbBvu/BV0oPiQGOskNlGicseXzzbPbF
Dg/AvQlFcRXHhF2Z0anKTzhB93WZn+S0k1DEczQsAIBvrTSkJyH9XXrXLV9hOS3TSOvOSl4MPubF
vh7V2S5AQcyiaV0v+bKDuSni5tL1nI0aiyWJ9VDO4lxb9a7nqTQBxydT+orY3ZWHkjAL2wfa2jWX
JMq0Cy2/2hYZK3N3UdlIMguKS4P+Gg7USFfEVZlMOQICskaAlVao7kgKsDL3LWMUl6aC3RUK+w7T
wjrp5st5ZKPr+q8kTe6KvFtl/EK2wmwZDTldcFw8KRVcx/mDquurmhi4Rg4P+fiVFDsQvorRckxK
9kvlm9g8wvSZRn0blqRFxVwig6135EgcKrN+FyN/Y59NN8GEQpU9pLXxyI08VcOSoT1//ePLRP38
nP39KjEdOkuXNGAS0pdklh+KnLmAWUfd7W/tIvkeGN2Tz8fn1/Iro6n13NcX0qnvKj+5nrv+Jmhq
HJrjdQTdVyYNEWiVc5kglNrETXmsZ+8GPTxnV3vXuIyvwpbg6bD/KK38T65uyqNfrm6bk5tSkAOc
B4wU7i/lfEMWX9nL2IcSUiNzU+aFn/AHW8V6JA54VacYctLQ3beciwSDsYLlkKoQsjJ6Gcsc1BUT
BbgMmCwrth6l43DNouQg3eDgdLFaKTslH7eHY9bvoa2co7i7Lw35OJuYPagFA2u8z/QSFey2G8Tu
oEQiJua1jaNldLHTIf7/QM9LBnTbGpckIrZLOjFx1OVwF/b9eQDsVNo+GiM7vwoBH+5s2/taObNc
mUn/YMv0picyYNVZ5UduEGYM/e8Bp/yHFy7s+Mj+sI30viGuN4OeUwMs3lnyg3y4fUhsmpfzFwTV
sWZAObveug2tL0PGmt3F2OHUb0OIFZydTJEN24ZJs4CF1ofrKLEYiwIgjsKD9sdtZrVXwojOTcvT
A+3EJna9gyEhnoEUforr9rESinNcP89J9RhEI+bxfN70HUR3A98GwOsqEAfiJu9xCh5EMAOug0Yg
yvuU/PZOmRtbcb/HFqwH9wxo4lhg4x7AA7FSus8kQbRdZm864W09Cd43IKE5FDu++kshyezpB54y
0VM6kojnICl2SNibrkRx2frztlng1F4KkShayeY5nu+XkKcESHTYnSDSkb/hP9V8hHtmCaCZfbkj
X37vJvM2HLBW0699UH+uAWKcO6GBYMYvVTa3K6+Jc8wEqQBpoFk22E6Loca5ZcCGdYIQpbwe4BqU
/TmCvVClul8ZipFgdvQN70mDGvCN4p1EIug4c86cwL9k+M9P9MW5rZKDIog6Lsr7bADcHsQnTXYt
+enMUmdrYs9BmqXRbryCaWg8bEC+gQhKnoEYHBiaHpiME2sEYZ/tI0HQYf4cNNblWJtf0havumU/
W3P1MGZdu+WqPla+8zEr84RVF4oGEfOrVAYn3MzgB9FnkAmBudjS82US8NSC559VlBdOLV41w9at
Guq7wpxeE1IWIUW2zyIFZgaFu2BAOp1r3T72s3vRo/lYmSD/mJOAQ/tiOxB6WjmuVRg/yMZ+7lR3
EmghQaN7jERxOKSQf4ZxMwpxzuyA0FL/S0ZysVszkdLeHW3wVZC8zBU4Lry2nh9eN310a5JdPXG1
67j8mCOFiW9C9Qj6czKfVMWitZ2PtazufOOtT9wPbxZfxwCFmBp3svO+xVrBznL6dWBZd773PXN4
ZHhbbWBnuy4lDtebvLuL++hcGwu0AOy8edezZGlj9zEjlAB1/JoZ+Dq3zRVmAVwx35No2ucDmRrN
s+M9wCRgeKtRQn14UbiR6qUL7iEe7SFxIn65NTISqpvhrugUl4txFYu7UUUlVvpL4TOFRRPDlPwQ
2fpYOztLZ1sk11gSoPvaNyAKPHBwmWM+tx1N+MR9nahnnFEZgRxOSnor5DrOyqfKXwJjImsTgEEl
Jj3rPkCNrLPSewNHmu68vnkzSvsQ1cEhiSQy5Rg+l8eAJCm8zVRhBLS8YaOIAWq9AmlemMAX6z2A
nEH2BY4Xg0A16XejRkTvGu6mMB13NxTzyarzB+DJ4G5j+eAlxguzvKcimR/mMcYl1uKRKOtobSK8
OgYteHLacIxrdt5tIG19g7+2d2fn0EK0tbOoXguXcioAGkyIL9pogaJIaDAuw2sLxbkDM2aT8bsG
2Ya22nljNHzhDeF3tG0PXl6Ck4zVISb9E+ccpYnnZ8nWd1j+KcPfxH37kJoQ1CTQsFlfQgL6SES6
jiVMHfsCLBf7s/oqGUpOX30Fj/l6QjvtmpXCw2AGu1pPoJwHC49j5UWb1iJZotFeSzY9aID/Hc6+
Sp2OMq20vHOiUGVRgT1EInuuZ2bsGbAIrgaydkN5wWcTEcCKxFiVZJFBBF9Qu12HXdHlRRCw/2c1
rf8F48RMT9Hd/evWEq3ua/2jf/r3H/i9UXTd30xy5+gRlWBI6GrqpL/KT8zfGBk6yrbpXulff0gR
U85vlMkYABZZCNZmj/bu7/ITfsJ2KazAYzhMkf6dRtG1fy13FPWZCdybnpPRpbB4pz+WaVVvpw1Z
P+a+9KV+iAM9b7opzC9GB/ZwzyJ231fZS5hkI9hC132JEHWQy2513Jz8o/e5J+2rsNDJEwmeEVk1
s30lPdT1x3FueVyQ1k6pEtW2/aTmAfIPlkn7knNiUUe0gFcTb7L3AejiJ2zexceMGOspJKOeebbJ
0Mp2jPGMjjvl2ShQclVFssNxpy7Guld3XTNUJ93kxQUiD2aUAHaPQT8BJZDk9YJwmZU+legcT3Hq
mQ3bFZ1jJPFncWRkZZxEzAutLY3RCTYjMpPQyvxH9jTVPrMM62R7Rf+1ikqgYLHhJix9nSn64o+u
ePQtrKzA43iKxmYBG5m0Bw4Omkb17i2DHixLWXFRN2Ows3qbQlfFtV7FTRddiix29Bq9P7rXwmHm
HtpmfWuUReIhhI2mW4952o61Yn6Vu5ptlwAUmLAetzJgKQhPPiATGnc+KWRslyN/YP1gLX4/A+jT
qjGm6jocE6LNKmymON4cDbkpCEHmN/M0cWqR495NgJHZzrPxw6WLbBWJ3aVpNdYxlhJkV0ae4i4D
1nVQnUWfO5ofIb5sFvYhUFlSonR9iI2EvVqBnZSYp1bw7Yadh/didoFvNeBHQKXlznZqRblrHOnc
E5/k0GTRjkxtim4hbtgkd/Qs38pEDi+y7e0LdvDBiQV4cQvuXz2SAsoxaCWxBeUCdfHOKmmotyO0
ZZ4YGoLTGluadQGniP4qGT0YKnm5JSGOXa9V0LcjPHIudR4PF1bLQGC2SkQtsTFspU1sDJzQ9CHL
LRboQlNKFhyVt9FskIPhslVQKxotqEikwdyUtoAs5yRue2XVLkGRFdhq0tbVRD9LBkDXzCpjnsFH
6tY2UD9pePBfAmTmq8Trx0ufsL5MzP5Xr86TCyPR+sXBHnBiyZseAlUrPqaCTrbu+KBWlpMTeVT2
qDTWOcoq8rI89r4QFyF+s9oe6KPdZjaPDcoGaDB2o7bR1Nd3RgH02Z3irRgiY2OV1deS6CKC+YoM
g2NvfKk0wxjE8BdiXIY6nV9srEnftAlwUjRzO2KPMXfX+slHYo0yG9dB4TDXmZ3wUgt3AMhWfSNX
p7rO7Pq+wvjqRY2/9s1km3pduypRh7WzHqjooB9aBLLL2O6Rttpwbe0uu/GtjKuevc1o7walknxT
ZfjZIj1Oi4Nh3o9icrBQxUBzartaD8KkzdZZSNTF3GaXgAPtLbdh/4iaIr/C9EWHhOl9n+L/624x
D9D/BGaKu3QWBg7rwBjdrx2IeQhqbmvA32yD8BuwUgE9wcUtvS3E3HrEk49huDc7PhzwtKkxoqgb
+CP5IUusCjNoCQUxh84g0KSlkx1cJ3lH3dPtsNYYO9eOLS6LdtzLzNJ70WuBHquSR1lDJu4HEmCy
YHF+BoS2Pzp8tFQPqJeH0mKDjXC4Ztg2AHsTKaDGPG673cS29wr8mLh3cfN8dWVF/aeiuj9lSpHw
4PjJ2Veuv8OFEH2UANFbaKwW1vK5FdNuAFO0JcJwGMlAcrjhzb57KSFQwjjA27bq5yQ6TH5UYYum
I2A646grNGMIkRMvOpA7UT9rVdP11hNccB87XIbIbpvqvL8nSLXG39QlaP3YrVGSgo1tOrZ6fP7N
OY5F12M+0N1bAPQUcpF3mAPrBBBoumxFkj7XKmhAXo2Hbk6Me7aeS+vkJncTyvUbuxHzjTKwVLt5
bp5J4C2j9kiVNZEKST4kaZX9I5rIftcQO6aYdTnVEd6tcS2aXJQnk6vpZijr9JJ9cNwzbvHkhUbu
7Hte++IYSfKlirriio85uc2SWX9tAb0TI18L2BsVMPWbIIRUHvYTsxQVzA3WWdKmBkJ61o3lKvIz
ZprSwe+irfa6UzrNeh3OvVVRr86n2ujdCEgQX908JOkunTMaxblV9ZqUngR38AgqoBzbmyzUyCXT
bAb3mc7lms4xfq+SsDvKvuNLygwruie0m6tseW0nisxzm0dqR5ridFCytL/JgeEoXT9HHyTbiSI3
ZZoE56wdeZDmxiVch2Khl6f7fuBxX9bVTsbS3kEIZm7gNdhHWmwpe9d1k6M3T8He1yEIEt9Pn4y8
mx9b7arLmdF2spJOpS5KDYNunYemPAbCfCcVKNkIOSRvVuhWyXYGz45ftU8BCVB65BuvqrE+l258
pdxmQgHB2UpqxqvZEIxBWlB8Hes6uCG02IRQPfsBaLfBS74OnKfxOgmFaWynIC9uHUxJLM+qaH4o
FMUbuoqsuxBNbX9pqqR/HGP5XnekMe0jvzEA7UFWdbwm+O505DzniLrz1aTAQU6N1riBcZ1AKjLV
l7h2hgeHo+bVH52IQxfvn7NyE4EEzomt8tGZ4vR7aqJc6EzED1kYMbzAFfkSxkrZhxol/E2L9AGk
kbcbA+aUbgE/ei6t/tnzg7clnoNbyz1VxJBsM0VeQ28Eh7yS92Lme57iYriYKv8aRVm1EjHRKW4H
8iKHPKXuk5qb5NAh5T+N2FPue/h3K6Pp1D7OvZYA1JiiA7hi81bG2TX6Gb6oSdVHVRrWviLwVK3Q
s8WbNIrTTW6p4Tbwuaa7SfBoxUK7K3mmPCLaS3eSXJO1ix/qnDp6fEzK2djYiWfh+mNGXzYpuObC
Mh7IFtmOeopojpR7OzQWcBaiL1AeRPGTxF1w7OusA6qQl+85M15Q9k2OzLDPDyPgj2fbZCDJZLB4
7xv6ZOh4wzK1tKd7hF/VgYhbChPVHHQgwktMIsQQ9mH11cub+TRiS/hwIKuuS9+6KVUdnbJlTJ+j
kH2bcuQpoJFd5a/HvmFwMPVGdEozFr1Uksn44ftALWZYqtFmzAz7erJBVDTw6+jjaoV3pHFPAdOQ
/ZAN0dmGNLGTge/tnFYCbI+d8gpVJIrZCH+09DUjlGZ8z+y5OUdldd25ZnuQomw2kwRg4rZ00iQO
JZcQ7EGmdMMlRWe0ib1c36RwQA5+ybFegIeB1p3shROxGwnfEHO9l9K7IWiDRrpomQ3rIHLuirIk
DaMqhdyFlXHiTMw6og3IbMsqztVVMY15tBZDR9tnedV8cux22JF7aty5YjLFy1ACB7no/YYoTrv0
+O6LVH9QZBXd3iLM4wsPqWo/DoB3HWsIqos5q6j9ajfx3kHCSwmhjadRo/vhnhAABzNqN1+Jxrhi
TGHdUUxOOIMB+JmiIdygjjyquSUkw0Xfg9w7kI2/wvlqPqSJDA5Z00KIW3xUQxufTKu0rzkRWkwj
QXaJiaWvVxlO8eeSn7hUGUb2NXXmfF237pQwP6ycF9wt3X1Rq/qS+5UNtzTaaVdXU3+bGBgnAe1D
PdeGhEJX2jlWfZ8KF101uRoQw/P0fpa2Ig+HhM0XyN2seZpkFnjZSFA0CyqUJKlwtFGsZmyoArug
qcYEuW6yhvlZY+HBXSdVHczbYBbonxO/DJ9wRaN5K8sW64/Q+BEdSgzdgWhP0uy6h+eQbtomu1K9
7dy6gdAmBZgJ4TomfuHdnSL5FpSdS6pc4rxA7+6OqIoB08KWJlcoC0Jm037Oqp3IL9f0kBeNqDsL
zKSEZg7uQzPVYYuru56YHTtQztvC3enK2nsE3G1Ad4MjxS4n11Ps13tOrVewcYwhVVcQsaXDferi
Mhijdh+q4Ixe+KNiSX/w88I4jrHPUArypyiZ6VrRNf4Fb9XbZbZJkePei6E2wMzWhHBZqb9JhG+u
U53sjaXFcBy0ZLqb10OxywtqQ/6SC3KZPwTqRdZ1xkHZI2nQCQU3LXKyikiNZjAZPnn1QPhJGDy0
4TytZBo8GpQdmIYWVknc3tCd50S8uVdIDqpNRlwSe7VxRzPyhvKOrUK8ySPLXc9exLNBBF/bQp0C
QWuGEElt2s6B5zRUE9OosD06CVO/bJA9001/3vhRZpIBSbxQAmFxE/Xkcdoe4vchrXdZqjYiHV/R
fBL8Eh5anAMb1OY3M6zO82BmxRaIy0yKMZa30vQ96KeeXA3DVKO99Vg1xHkT3Pklojbtg88Mqr7b
VqLrgAlHNgPgkhTmmZBcilJj6vejtIij8y3JRjdNJhOHfAdpxknb+tKG0Q+uJuXzdWsSO5PRQCNo
6v6gDcf/0knVPTNsxiQWhikNS9yS8QFXxik3s+r721TEWbi1g9L7kupsfG3NwD819jxYh9ovVxQ0
FrCqknjT1mBRs5YzDQ7pXDK6s8tgZKhlmvOhHMW44sEhnoK8Se9bEZSYT2p243sjSZsL0HItNajb
1Bx5ffmkdXtvIrLdi9Z9aNvEOnHAII2MSvcwptUrOcgmo+JFdA7RyrMaxltS9N/V1IWK6lS410Fn
4vKYwQNxy5XpywTmZWEogiUqar//yp0Vsf0ukZ5nWcg+ebT348Sj2kIXelShFxDRo8ZD6zIlWLmh
9LaRqkuWOJz5nEJi+BJYSfpSpF60j+wW8E3mNM6jS+Gioatm6UjAJbFL/1kjs59sXf/tzF9SIPFA
S/FHE7ir1zwqu59mcH//sb/awPSivcBp7Go44D/O4cAYLhIdz7KtxQTmLoDDvwk2rN9sjxEdKg/5
OaRjOva3OZz5G64w1oQCgZXtmTjE/u9//MQLbH7577/kXXYuorxtMJH9Az9Q2BYvg0wRyRBae/cX
uZBFOA5a88Q7YOfIDhM4jXUA8RMom7kq20AxygCgm0D03+ue9MIgnMdHnprGPT6pJbWuujIqmLqB
n40nB0zRXdNrAm+zipRWydpk0NGBbbfYWaiZwd7U/heNUPCqTQjXq0mQ1x17Q2QIdwZARcjYY/gG
xXxeWX2cI5ROz7FL5BomUgLcsfAToa6rThOLjYZ/U+LUfPCmiTGQT4c8D1N5Vcea2AMMsGKdhVid
ZuGjUS8T54AkXVsHHPjjPYbn8Dkqy+9k++UO4kSzIj8gir+S1vk2eEocIq1Zf+P/wfKQnAZ0cxsU
rs0m19jVMUVvdLfQBqyBh7DhEyEYpNWVl1iHqUNazmqSpU4EPQQTmlz3FRhRninPAPFszjy2vayE
eDo3DBJXg2UyzqkXLo4HwkN0TNlVJhHhE/2zGtqsvBND/D5YjSZbyvfXZjiBnZGC4FW3EV8zOWb8
Kj/v96QBEwfk6eC+H8Y1ljvjvu/YkvSpjbdqsPx8Q/8kbq2B2BNquiFM13MuewqOevmdahDIBhI4
LpTcGMzwvrbTra9GOPiVzlqY7wQRd0Zqq0NahoHBljxNT+WYtvHOnxWjSj02iQ+/wEdzHrqGd+ox
mjzRffr1sansJtzjAO4vqtYiGDb05oq0cGui72BB3vuot8uU5ogi6RtEk/FLniOSW7le44B+dKoK
YXpGWst2IiXx3DpJYq+yShMThKsSfcQwzB7HJ+kZz21j11dz2+pyK0GxROuAevkmJGRKblo82jDw
8P4A6GlZiOX9jaXNRuLOYKcIL7cxAO9oJ3W2g5aMO71aDsMdrZofHpxp7KoLrjAzACcbMLVs6Eyv
DWPIP4oyyk4O+HKeUFNZl/verjCNkFHsXLSfCJ5B1gv7aPBumz440uaBx7cGogYtKJGiJaDKNcXK
dJCDa/PaFfo5bZwzQcqCFkqodRPVh7DV4cqqxVVazmDvzeKOXIg3v9T3HZlxk9TTdeSZBytLrrKh
qy7jwN+YCfJaVMJZX67ILUzQEcxrRIl8ZWqwNi3Zq3TUiXmOJtP4zuW8KVxi1XpxJijFIMrYvRUC
THfBTCfjiNp5GZR43uqHOd9icwI9yM9IWT5nlEa3jRDHknC9zVDDioe2pteqie1NkRjvmsCUe680
/BW0/rNLfl8zTRjcCfHiYnARuFuIHkhIecjMPtwniUN7liJ8rxbgpm1jI/QmAnhkVjTracYLlYDL
f9Wap23l7Me8CLezSdfSlw59LsGPq6og6lPH5PfEHpRK8lSKK4Ft7qs3BfcqzbAHuKrbD35acsug
pqGy3SCkZUfY+c63Wc8Nap9pK92xuVTQnwHVEHydp/6RMOR7jr6rIGaYYVaTwgXq4uGzCEdI052e
lL2vvHqfofrcU4O8p07QrLA3fg8SH6UadVw/a7TTDbi8uZffh9ZN3ro5+Pjh6fRPNFTqUyP1dw2V
qxEZS+zIuODZTVLk/KKhwkfTG31E5IwRlGIVZuhCvDnNyR8ZS+smxLeP63BGoUEHhDJMFGP0HMQF
iZYjnh80VFCqOSdbm7vOLnzvHKuyQxc2UulzXUauyTgU/DxikWT6UtS5/NZPPvezRD/g48pdBvnM
m6DlTUWH5G4sa6KbJcrdPb2NUbPJtjgscsJIAOb0/c76PE1AnC1LkM9Thh09aYnZiOCDdb6joKER
7BTWNZUXogaGoWES37XYUhwi2tDa1hWErHqwF9cpEAbFMAZCWUfQSbMbPLYNXRTxbcY9UaThcLKg
4EJ+DIlMjuMtDpRxnSgP7H4W4O7KPXvVd+bdnEn0Lxxnl3buM+aoFJMmMEtrWZAjQXAUqPRcXZid
036XAD4ecVMW28oMU67VpiJDrUlkh3GpL9BB2jMb9cbHkLmxRYwW0NNkbq51KePkPprQXp0oJLM1
4G9rhW1XbUfPZlFcsbL3vACiWOURi+bbmvFWdh0VdXyaAqnPaAHnEdVVkL9wKDRAMxjhW8VQbJxi
RpSZ2VV809PqvQfs1ciFiG9rQp8vbBHlmwIyk7xCvp4ANYwcBnXIo+N1Sl5PdEkmOIprqvub3M2M
vdOHGjpLb+wltIazbwBPKBgffMMZxN06RlX3dWKtsYaIp5jDL4QNloCbQso3TboRWUd4iBucnRCK
M+Y/JKQQDKH2aYbnWGI+5mm3ZGThR3YXZ7I91tV2CHGTNAgcFvcyrpJLfDjPYTCPlOcYnBens148
z0XgTVt2ysuiWT6wZsA23I2H+tMrjWmaieh7wBBxZ2OnrswYG0WOxbpE0mNiuQ5R56SkvpBI/MR8
cONizYZI/oY0D/gwW5qehAKcO9aOpOT3LBzldVKZ3wsdeFdJh+dbOri/3cUHXmAIt9ymuQhd2TNw
TcJ3XH7DRW+7zW0GX+jYLK7yePGXZ4vTHGflN4pFshMwofc69XboKew1cgWXbGi86njGX7B5BPts
QrOK7fWKeT2D2MXjnoPr37DOLXbm4oCvuiZf9VaNK37xx+fAKD2+7GRxzrdY6KkSdkXZtFdzyXRi
Yme3dzQ7lWxU97DOxqtUyuioMpVfohIkk6ZZvPqjI2+Txb9PFOHWXBz9BmFl62AQrC/9xfHPppks
bmWkGkp7ChGgk+UH6AyXlDESHejHi00GBXllMpsEt2MFGzoZohuHMeYJ24HoGT9pPfY4qSfnk+HD
gE88R1bUQqPTAkQYmYIf4Sf9h2EbBJgOPcPKUmNT7o0aDuUWoHB2wpmTf9TL0zr5fHCXnw9xzMA8
0E0HUuPB/XzQ958P/fmzACBKkWJg/CwM9GeRYC/1QrhUDv/TbeVt1E5/oqqXpuXi7fjXYofDaz29
5hhevn/+uuP7//lff/2ZvwrjkS5g3xGOgyrF/rHPcmDC27RMS3eDskEvHpu/9lmm+M1F6GDThjkO
lpWlBftbn+X8ZpvYNRDGo3VY/s8vbdUftVkI339Rd2L+8EzpIc5nTYkO/xe5QyIV5vkkzDnuDffG
Ec5AsPCcZ7t8juPngG7+xXLL9JiTnYv0CSnTisxacyuSqj8gOPCOMRfbvQf6fAk0j70voPbMZzXk
zjXVj36MLL+5GnjsH6fMjN+KyDDJowvGY86/Bzujtl67eIqndSVb/Z6MMwHETdW113Yq1ANcCeYS
ES542EolizjXTh9UKoeN6wkFKN2U56YyE4b2ZBO3of3/2DuT3cqVtLu+yj/yjBfsGYRnp2/VpfoJ
ISmVDPZtMEg+vRfzll11C3/BroENG/CkgIvKIx2dJuJr9l6bSrEWhDDXUfqM+787tVgZn5nIpVd8
jbuE1TsaqXBY0wkyyBg4zdK0N4GNLkDYTMAzT1ngVLmI6DC9horUr2Ji35xyn3TEs7tjlm+cBnC6
I8biB+DdYEXz1N8onFQbUiU2QnoLycs3L2xT6qsjpXEac0joHqv1G9cewNTRHvwYqKlBjTEgTZFc
3TS22+Fh7Kxt0DXDQ14ybRt6egZ2kwq9n3cTqTaHwjFihRxV+Ga1roP4sxyYotokl9hNdpvnTnvw
ljlt39bTKlf9/BEWbr5i/0CBjI9sY0uu8X4O8m3U9myTXdN+ijKkr2Vfe5uyJ9NyPRaZfjP7MX7u
h1i/TjLqHsMIGLlFuRkgpp9rSqnGwn46meQhHn1TFd0ucaT5VoQeN6TLWBvBwByM7+nUaBdUvpvc
lWKILqgzx3OIaX7b1hrsgTvPItlUcLs22OknwNeGY4i1QTpstVpkmxcxqOKXBRT4EA2UkCuzIgwc
zG6J2tc12Ht7zY984n1xm8Kk3COMbUzL+1liXiYY0rlmhKRtChrbF9pcMBMiVC8BeLZnFgzxpmuM
B9tP63M6aPsX2c0ebUQKzC5VDcGwKQCyewrrn1KKdwJKomvdzuSikSp/tmFZbpQm2BdZIiXD4l9n
OhkEtXcdqNYfZCUsEom76URqU3CL6G9fGRle7JIhhA7i4TJQoX20nSJkxXb1IU6EvLQTmlmPaDs7
HiN4zx1+Bgdoyb0ORXWreyDZk++PJxz/3pt0Wh/J4zwYrwH3znNc59mxzLR+L3B9fegI4oJkn4Xq
Toizdppuk6AnzHzvPhnRZzrDWKxDlQ8feNqbZ28kWbitlPNWDzUwbDU4Ewi6KLBgtSTO1QXKLbkG
m/oGtStVJ/kP8dmRFVFSQYvBYUxY+Yi6fomYMRF+U5jqYDfQM9ZmUWe7FGllNJhTytLXtR5io7Bi
WCkF/BPHY8wI/YLnC7abiELb0s8oD4MT28tpw26rukZBj+SmT+3bZBbdtS4V3FUJCaEbghb9I3vJ
hCqi9q+ZjElKi3JWNjAtrG+6OQLXfa+52hYe2I3GCWOtPUY524HAbLTEXYcMRPumfkpaWTZ7i0iP
nPpGwQ8PJyvcFFPKPCByUkzLzjLNVuXgLexUta1yx9wpoCKUp0FveowzSiHWZSrrbe8EQ0LUmiFu
emEho205it8C1waKHtFusUvxFlv+NBNeQLGDlII8Nl/w7SRK5kKIafWKDTQuWEssYbDGUP7sWI6P
7Dpi+x1/x+ityrqTb2MlHHfFgYjkMSiBzZG6YKvgbSpdBL0SzNiTZbLAwUqtX1GUz+Upocb0VxAt
JuBd8Mn3OFMcRJysAz7jCsQnwrY6eFUowcQ2zEV7Zy4bGKealkNbRxMHI2IG+rO+HHfKJqNnjwVi
WVbYofHmyzEHjloRW7marA7UhI9FhzFWYtft2iFr/EaDvpfbceydcRvbFlFq3YL4208oHxgz2V71
I/EHuigtZhZJjMO7TxMTBDYr5fuSPEvP7n/U0jSYb8wFzP+6b7cBpdVEJ1RMP8ghYK4PJkG9IbL1
vTUkHdKotGIISNMzSYpuwweq3nkLhC63INwy5qQoZxl3olf2j5bVozfqSHH71Rp++UKmarev2Nvn
JEWwEFxlY5M/JFkQvSjSQK556P5qJqP98JLwwSURm3kfSXnsZfLK3ymzCE/KU+P7hOkKvJIa/HdX
mZ1YLwqGo+nHELiTIEcJaA3BQ5SJGdF+tpR7kwuAHzx7q3dhGvIHtIHs91ke9iRpsFLVLJWK9AkN
2Xjuoil+NsFXNegomBGyGzA1++RW0/txqzihHvs1Fm1zK6X2rkY2AH/Es0pH0xfKOxoGCBJaZ1+8
1uzgH4lKZuZYBDbh1CjPx3UlXdogxDvDPgJl9KRY9FyzwsNDjZUpJQoBosorNTLPOcDke/Ldzi1B
/MDDXHXILE5Vnjcv6IQKOLKkKNbrKCBNbu2EDmO/Fvf+JSt54wwnJwLTMDueoDfE+c/GGPIFbZ3O
N6Ux8I3pIyt/SctcnTlDrQ/T6qcXlJHimDMaRZEWzClnL1rnteZHI4eqRvUW8njGXSyfIJ+Heh94
nvHW5NxQ9oSosSh7Lj2i9/ZRUobPNHDGE2TD/N51YGhs9Eggo+yd4urkAHFXFSyEbw7d/jaNXHZk
LHz752Fwp34zJ071bmRVfQQDiHymcWrnh5dIwfCizozPki4RJKMPUHk1YiphKBXhOdwhH8s/ElnP
dAvDkLZbCEYMX1Na6WbPEMB87YuWRW9plt+BdEXxYmmS0/Ht6eAhdVIZ7wLNergdcGit+qzK7kJp
wQnqCVoDCxp7+ox7wVmJNJX3upeshjuhAeQApiCPMv/kvWK3NI+iftZdzy0w9NzvsH4fslYa9Spz
qkVI38BiXGU1ehQjyFgM241hPtfpktgOcIhEEjn7pJFFjA8PfdKG6kIyDnvYTPlxv4mk19+aiC/5
eAZ2l6ztTJLjsjDhi3AcEPLnvKrAtOpn1Y3+fa+TEOpUwvueQsW+A8wwX+fR5EQ1hds9KCuvH7SI
oDr3pmnvfBpxvvEQ948J4WCXlPlKs3a54fhkeBMz+FRZO6uyVL12howok9kkpBszNhDGtE1vfXaL
2HdEaX+Q0F09Gw3JOysLTdaN3468ImGeNdi7R16h2q2TgzXG4iNLcueLfQ5PKyaF9Dm0RvwqnZzI
P3aD+ItdHPnPuQqfEzOBIjU3iNaNniZwdtJrPnnRuDG8fN7jX/UO3LR1xobOQjBXpCgC9/j2wksU
juI8ur0TrpG09ekmAX36rgEIQSmCQvIrr8PiO1KpcwLoGH+iuJqmddzN4QXVz41kqnuc5pxr/v83
jf9LTSP2dnTl/7ppPH0UhfqP//JR1P/1P84fncQ78ZcG8s/H/62B9P8IFlYjFYHlup7zD85qBPNL
Rp4IFn/eX5zVjveH5YSeJVgUBpAUF8jj3xpIZ0kpg0uAGZb9n++7/xav0fX/6qw2OKv4oDLm+acF
XWmr2FIIfPdFxIlFcLhGbm1io5MqGW5ql/nJNowYsq0sgwTBlercbMtt32B4GqIj8KBmN8nAu/FL
tmLmRMhPLhl95ZwmW6OPKHZqI2ZApDxr2ESdSSUQoVgniWQ6FmxIVzlfoxeydLt90HOBdY0pD5xE
za2l7OwlZq1DY1Wx0bZ0v9bgr89hHIbHckZ97KBS2halbE9FMrgr2wqTD5iQKI9BRiWbKK3htXUV
xb1I3XqfkUi+GyaGaZjmqGl17MC/b8reWeGFF5dZkQqypnDtv+OAMPe1Zwz2Y18a1UM/Ncl0bpoB
eGOLYLBeVlaRqKL9JN2fbjoz8xL4t/9cu1WZnel1ZNfuvpJ+BNUvG7gsXfvcpEO9Ibd3fuOSTvEa
987BijLvlAVyelQZQ4hzh3+FXMUcrfiWhsxczqeCaHsYhytpk+1QGTo6e+ztP136BTiRtYGJCMVY
2jcoiTuz/Yatnr0E3lS/sG9VB9Ot7ddAZoRhmB4+CPQeXPeLqHldc4p/KahdDJORCu1lwMoIpBJy
Fm0MFDx2mhiPhlEE45V5VcTjAHf/mqwZxhl9PobM3GjPPhqID6PGELmy3SFcYyDFLmeyVIrmlJ+S
1Djq0Re2/Zby3DiUs2NvuUuszZyzn5HLvwTEgewpTpT94Nv0ig1bxG5jt079jK1hzFjTwft66hwt
iDgfbEpwcC/g0nOz4O5yGbndFn7gHMOikXceg8S1VbeR5O2uNFg/o62odZWc7oCjj6uupTVz+ZH2
XctT/FD4QqytZzBHKKcGn3ZgQDQuYeGyegwof0t+y1G6xrQrpBX9mmqf59TRKdN6WMRIry0+KhI4
QWM/BH4XfeAgyDDoRwb/M1r2FvYjOh0ZTqG/cxqrvERJ3xFSV7X3FfbIdjWHNRHnaqbOtWkrHhI3
j38xvsBTGVX1drIJOUD9b5XQxNq2V6taz2TWhSJX5OkKw/wZecb0MRMj++Twa70NwGHnlxlSc6Pu
8qBMQhDqwHw7wjT4/nSE0dSkbAzXYiiFgy3ShYMgcruqNuPgudCyCkB3thEI904mCFU27kBoMKsn
MMIkqikIbnQTONuTINMr+AiElfZeV9rb1GoE4aejMr/11FSMbSFsU5DOoAWauAyWOjDyThZm0g7F
Uxg+5OP4ZaMuh1hdeV/sFvIDQK3+YYy9+jIqkjRn8gTueFFCtPeiHp9HIyXqzwF8gmQ/O9ZT1O9b
W5FMm/uQ6oIstH/kdVfwt87Shn+pB94nctL6M1URewpvapNhNfmhwgbXzuoQSiP+EbJ32thDHX63
dmVlpNIZ3PpBIj+TOdWfcUS2vd9E081cx/ouIavg1E9ecQdnklIG6/2iaLQm991oJ2dc9YFT4E1D
QHeBN2jSs1bxOz+EtGiJW7ODi7nWbvhOiVxv87L2L/NAWrZQrcdwS+QXgtm9d+HG7ClLFWPW6NIG
O+ii0K5hgK+pLLNhbWUWzdxA5OWR5q860eLX+QZIOO9aH9jRJU2D8TD5idjKtsD3h2w5unidRZZN
a5iIBtAyd/XSbJsf2BvCJ99RINm6LnwA13s/lcDl4nEEXOSKcucZYmJu7an6EXRAeC7qfFzHrpt8
VbZ0aYzmaWsOytyjWM+PA6neW69LyN+ZKyy7ieFtck9qVoENAVWazJ5qOdPLiTadmbtx8uPRfcvJ
EZrwqrnt3tOURtmUJzcG5961gEZ0G3awHyXhAxuzarsHj3P+romHCEdxJcb1oLJmz1LRvfOVm+Gb
NeS3hUIX3WySDVsl7PA8E3h9IA0iOajS0/vSjeF6hJI6Tdtltc7HjhC+WhfpErGpSQBz9PwZGwTv
pVmRPBSGTI/0X/fhTFrvhtOSOR0tnf3GvR2eYfhhX/ZQINzPJqU1nhY4nk1oFifRd1NJ4Gw/Pqdj
JX+lhEU+UN5Fj3bNeJJvhw4/wSqQTta17g12+/ZDF4X/ohLI+RTJYs3EtTigLmOaF5aWgQocGjPb
UR3cF6MTXPJ29jf4MfVlaA2XqSNR0dhPrOgEN2zRrpBYGNpJgkkcww0GkpjxqdX3u8BI8wcvYGeW
wGi2INDJ9hvrXiJv7GCYPwyGCx19yIza3cwqb02fOl4QjsfreIro7infL/ilhje7i9Od6RL3R+Pg
7WHjV8sZL2QNsgVUJCa+8tRkTn0zCx8p2hw29je4DJIQBMcvfX0FwlYAum+U6L6iGUu2NZf2btCN
cZrFrL4LZIO7yuoGtkhcQ2RBefDzglic4ibOPuwkBDtLUFl8G6O3Z/ySt8mu8UDqxa3vHJVyXW6D
OlDnQFvWeShMvQkNU6FmTJP95FacdAaPOSZWnF2qJhpRDUl/389meup80fBq9s1TpMt2XXCdrONy
ig7ZWHUPmm3Yjtl18Nil4XAHB9M5zMXEfU2JehYItKVplVidDJdiABMdinw/uITcq5//Z8v4/wst
rGxbHEAW/7pCPyTFx5f8yP/jrv34+d3Jv5Tnfz74b+V5+IdpCpynGCtIYnL/jlMPPDY/LHwYqRDO
9Cdo/b/vd6AleZ7lmIEf4KVi0/P38tz8g5J98bPSUAa//69/Y8ED9/SfFjyo9SywHZ6Lc5begWr/
L35WO8A+gz9HkNeDxCoJOlzkXQi+tsYU+UXPSJFsyvBZN57Y+4YuVgXnyibQKVELfmP/ZNBWHhgL
gbbFfaqKsNgjt0rf8zYLyPP1a7QSfdZ8NXgaMRI0rPL1FN8YKOkfBFfirlLlby5t3/4MS4rAUXbB
Aw6MRG/Ro7pfUV4VLlttX+4Go9hNobomqUsEnBlajNb9/kiY2BGBN6mwVgkdpw5vTYUZog5j9erH
TfgzM3zlMOOeon1rRGrnlBb81TzNx59x4kbvyovUae5SmwCFsd/PXSUPnhuCDLdN9A5jozaxnV+R
f4lbLKSaciklJoUv2KaZwDToxmVgSbNzp9mLb0O0gNaqcPxpH+Ul8YNzlNSwF6rqO2kS/9qbhnNq
MJfPnRni8u3EnRM0HK+2xw7aRp/CtCWpunqFMLkNtpHsGP1MRbrEwU6o4yo7e+2woZxYMfWnMrO/
2qgYrlGWJJdE+ixaKG+pTmp5dKYuWBsoc71VnAXJpwTq/mJHMZaapHMvseiiT8Q1pJ2NnWf8Gia/
vxYMHV8rZkdX3nD+Tg+UeURVEHume4MUD8hFQMbgGuMLSyJT/Bpd5P5MWjlkcpwVHLoLw5PJBlaQ
Aso6WRjsfnCW8IF3eaGM8odb2CkGLzTdUijzdYgXAZSfN5SFpNTWKrOWxVh3AKfabLie+dNjG74M
ao/VMHgowWLtpGfPiJ4FQ/CNlxAZB0205x7kMuxn6byNbEkOykaPMrhBcZvkeUo5IiSkkgEVdWvr
YhNE3VZngb2xmXpCWZHfmK0iZqtl7d1Y1pAe4bpDiIhMJBpmcQGbEP6kgomfxsHCuINK/Xka7fwk
ZOQ/6rJsGM+NRCOKwVCE2Jr2PftHs0RqbrgYCNwWrmWr6p8dQRrcHpT2Kq53qk7tm9mZil2q/REz
cq7wrVJurhIzzJ9ymnjyleFkIqLgNQtTy9wYbaneZ09WZ0OI+oGpdnCeEX7vJm22K2fEEecCZmBW
u6/JO33O6hFRaMHYujUwDLdTutFeJvcjo8snS0zhDYIueBn0pvPWpF9fqvA0vukrM75zZstlf+os
xiCk6zGu3dbc0zAh9I/Maa2m1FoHIHS/BIaqEKm50RwMr3V39GRiO7bZ3ayqr84aTyKLKDy4CW2z
N3ZtpekQnPog8IKsQdg9YtDZxFZpH2tMW2DEpW9s/uGs/k/0ZEvS+l+QXJx6Nvw41PWeFXIIL2vv
f4AtRUEa6KrjOGDcb0uUJRXS9bouS8nHsaQjQEq01gVZC135mo9wVBYRRnvjzhZ6+jgq1bmfB/DT
hUSNgpbuHA4OEwmYxlzjsVO+Vg0Ghy7QiYOwX4IG6fvWjFbMcLMHWmC+z9nv77YjEeceiRBy/SN+
feekvYl4Bz047u+A2Ox/wpkKFoDCX/524KuohYFPenh+uXz+6cSfDFQnIovNveXRjuQEXBIY+MMQ
4zu1FMrEKlNrL4ibCwLJIKZCdKDgDyPQGHzLJWSR2GtpZmdZIR2aI5RgiEA3dLzDN7Pc+FEW43QM
Gn1YavPGmRvIMqp9F12/g87U7BHcnOzcFussS76aZqwo263iblSiPSJpAIZGqtMptDp5sgkOctdd
NjTbRdl7LIfW8cGomP2W19FeRzpLN8j7kr0HeOxOBTp8h3Bcvk+DOey0n5efNnEHN16MwT+PW7mT
2iIwr9fBKz17dPQLJ7qbGPE88J/Bji4teU3J6DuNg54RqPWCztr39lrV877yNV4qoadjTAEJrc/t
CTTs7fjHBI0XBe+MtZ6nrZEIZBIdZmjtW00CbcYlu83RNeGw4Izctl3UPve2h3rRCetnhvDhpmEJ
8QsCYkzYVpadlQaxh7QxPbNWiX0yMG3v2eg9oqhnYfxwOm0fMNdBcZqFWX03KTFPPjb2Zy+oyjsZ
Ne2dyLzhZCL3OzA4lJeoMdsD2oJj0YpNP0iBkK7t1w3TKGTEymKFrbW+H3WR3QB3UUjecwuElYtu
Ip8U1L2paX8oG+I1a0FG0ZVlf7q4ch6ryKWQjvIn2afawcfukX3cdzOptmatr4xj+stMbPfelN14
LmF9o8EDoMBoO7kwSWKX1AbC2bVWOiEmLoRcm+1QX4JaR7ds+up7H9kJ5jornhAGo71D8Fxu21ar
bYgd+05pWV19Jl4bYoxZl8ROfQKaFN7L5RTJm4hyheQhYISQ8W8nG24+Y/9G5wXBGdN17JCYpyIA
/sc1sZ44qrrlzIp9Ti+mHs3BAYV3X8yG8UssJxwCTyZDLeRnjRLUxQEGyzv39vPvg1H9PiQ5KdyN
Wk7OdjlDRSs5Z/LEnjkIpEl8/HLeYiMvn8blDG5tdzyVuuLMre1mei2jQexsPXGiW1XzMARNdZ5N
S70j2zc3FfEArM9aG97EcjGkyx0RLLeFlVuQCLLlDqFBSYxDwAo3WTO94woyQ4Tvq9CYerb7VhM8
Tmbl3S6y9WgzLvcaW22nXwnmEt6+M0V7MoYawsJyT6o2nTeIgrlByzoWn7pOPa4KPtMO91RSn+u8
IBa07ovmQL603kdS4Ndsf1/ps4l5MZ4MAgpA+Q87C28kI6mOtyj4XTVMSwFB+iQ0E0oKwkspLnDb
p2tCgT26cOoOk/IxCmUDUHLxI0e5ENvIUOOZgON6g9ltPEYehAsSKQvc2uSaDVgnj6lSNvJaIdEy
Dsx2yrFSaOLzLLt6qLqPTl+RxBMX9gsiYveGZBzxUE5WBHOsk90OMUz43cwM8ka27l9DriCJdVPy
ZGC1/RGx7u02samCI3QEA49DS6ZqwUKVdRCTsRWLFufGNxx1aI0mu1LTYf3VALiXvAPbuyumWp7q
qC5uejWECUO3oP3EmfdqolDYkIy7rJ4d09sVkbD2gj3XI82n2GLTtY+twYiILBqcJHHIpnlVd3DS
nYxUcW+unGPgj+6PIq0AY4YCrGPA1cVmqHqsq2XSU5ltfnSMJO03RQIHeyUHkXLx1iTLhWPaXf0a
WaQ/6PBAYWl+juGsvpyqrHmNYSBgvuaLtsO2AOfBZx/drGK8ny8TGpM94R58i4FkJyfcsmyEW2Gc
wmbQh4KU1VMasCLHotdCN278GOKHYb5Zo7ibgW0/OjkZGmNl5HtI7yQkzqgCeNGEfy8nO3tPHT/a
EAzjMaVvi/4zZtv7Xqu+25qBm2/DKkPC7EefJtT87eJG3fZwUs82k5d4ZQR9zlVuJvdGQ2Zp6eRV
RyoLVSDp8757l/BnRCSkrD0fK3lV+0ui0bdpG6gT+iphX0YBYGwgqmATTPpmu+CdX6suc0/D1Kkr
cwzYGRZ6D010BQ8O5mNgMx4H4yOaraBg3yKgguwW+qfQdH/h2IcKWzkoeYucBimqymPQeoJvO8ba
VZk28QPanGnPyUNhHWUmIx3E1llVPFvL7N1tLHUYVF6/aFKLX1iEtN9wgpjWEzVwGPoZwKv57BDe
CpIn9aDEutXV9vVtykaJoh8yrBpHf5sJ7ooF1bjsBoYxdFB4VMS+tSwrj8LvuXeXbQJbd+YMfZ1u
MYNMb4nB59Rc9g+jNhSsanYSGMvdfUzoKZizainr55L1hQYHuR5ZaShF7HzokgruWxM50y15qLj1
4+msln2Iv2xGWBWwJEmWfcmQIdVDFNyJS/l7oTIsu5Xy95plBte+wl9V7IJlC9Mu+5jw92rGiDw/
2QTLxgYJTvKRL1ucKKjbk71sdlLBbHscsECQQpKey2UDJPhDmQemBqN72pHbDMfPoQRDstXLDqmO
5pHGycFOaaDAGMPQ3icev3808+C1oBKECDZP4bUIywnmjoN02VLBu2wSa28PgA8iYWTwSvOJb207
mQzqS+KGVnXVHdO8e0M/d50D89eyYWTqH1kf/YBIHU0l12P92GWBy9Jc9t2DHbfE/uokmX+mqL5W
jhTPRV9SVCvu9tnGFqGHVu+F2XSrSTrj3lQ+W19Ehs99PDawSSaO4qYdWo6kod/Erl3f10HEWoOr
hM93TjzSI+OJ+RG9NWC2zITrB83/gj8bZR/0pvwuLyv7ih8fpEIU+1dEXva90knvb9y+FeU+DELj
BxQt586xSv3LzT6jjpR3XY/YhuJZ+reEdbiHNgEoLI3yWrB/d01MVW2XE/9Y5oSIJqrhFAE96Y2d
sSm8nxN20XQXEnCDLXZikq3DwNrUqAZ7jdCDgvDc2+Q4mYrA3PdqfphkjACHnXtT2umv1Itvsqwo
sfjW5n3gRc0bny8uL6RftxqI1jmXZf2KLB7FTpIzhVgb3LN7nIjqbfY6/eQTbflGJKj34iP1Wvdm
5x47hCwnbgJ58fOFBC1TCzRvTjKysRCF0/jYtykCAELvV2pU8h6tpf8wmdH07iHcIB8yLrCjuSS9
pb4LSI6IqYNg9QHtrg/GVya3MCTKynKWrAnCHF2SnPNkarYuqwYknvgCbRXVe8+A4TFBoNgRSZAe
XFIvGHBTyU55NG3xz4wHakg2pW4lcFy0jhndeWwFjjgTR9KPlbvNbEs+tQmV32BjCkGG0eA7b8ND
nOeSfLdkYgockf7Dc8BAHOP2HnDrvzbDtGgcxzhew7t8iIlPKVfEms27YblwhS+Ry1nZU25MNbr9
Tu3x+1OQZXLeqQAzyQZ19COYp247q5qUdM6MYYV8CkdPUgVEheaGJlqPEF4cfqXJgY1BcVj7jKxX
PJVq3YcFjxj6ol9PUek8T2XSIRKdg686Lp2DZP+0jxwCXbuekBhiqopDabNk7MuyXVkiS/FwgonY
aN2wi8i8zaSwA9pWFF1LlEWM9okidogRM49xxSNkdG4L5GB2BpVGVRKdjYBmE5C7gAlsOjHhg7zb
hg/05Ws7zDWvbcFaz8d0eZWwEJaVUbBhTjBvk9GTtElJQG8usvwshRfwEkTWUbeVRc4emeqoXkp8
AnjYyNZNjsKZjHVjRFaNnwsda1mm2U87r7K3MnFbFi6ZHT24YCAhovn5Hb1Kf3ZJKz4CDGCyhPLS
eU4Nd1j3cVK/Fb5TrO06r84As1L6vzo91IijDqaT5Dho2+ZSOmV36BK9rkdKyTEN2MC54YxsEQQj
3zDnqaddu+sh5K7Ihm23ScHsQyJQtszYQf6anSvbO43dYRK8nqoM3zp4OEj7xINdDiESliB9JtvG
PTZZnl+CpBOsIQ3vGOn0LnZ8rf7Un/zFVfwXF/F/1gp7LhgebCxYY/+Z+q7T0o4idnx7AxMfZNXU
/2rjgYTAxitFiHOS/hfkcEzwTAmFpEUABuZB1sY9avfp02f/1QJ28uR2IqVwgfcyr2SmQ2CkYkNL
3LucXdBvvyecJvC0akUYMf+68sUpgbVWsyqGSLn+3zKQ/38o0RQq/xII8a/n8edvwo3/6rL48yH/
w2XhhOjrF0A1kqnAYuDzJ1USlwVARyFY6ZGK4P62UvxtCm/ZfwSmYDLvsrMOsPqg2fmbSEb8gWjT
ZHRk2fyshUn579gsbH+BZP/d3ohABkc9REvTNtkQ4I1fPqj/MI8KFXS9LLPwDET91o8qlryqoj1e
U42pS5nmELBMZZ99NpwHs3D6I0KWDPh0EdacJUb/4mrX5HvH3fPq13ym1qZZVkf8aRjBQ5GJgFle
X+4olsWtKXtfHAff18ml9Zrqy509de6w1rYnxce0XasqUcMudiOEdqTU+fh7DZBUqy6pidVL8aps
ZJHHPxmSegVHmPDxljkp4GTyjmUDO2gcS0KasuAJIXeabVGzjxcPR/t57ppWMS01/Zdm1vZLFBB4
1klD3zJ7ZMg0zCCo/NKMT4MlfMhImQR0hwwhPNkWBJuu1EQw5IZJ1z24pTucMGgj79HoedjsTtL+
YZYaR1sGji1nPo9Pe5XFFmpg7ZlBSYYqcXy3MkBRv/UkIURr9gsUxx0DAX3rD8ApLrbv9njKIw7S
NZBJZLnc6SME7CBuzXWSFjUSkrG62MpI6DuSqb1UU2p67AQY5619AKcLazadfuiZCRQthU3iY9/j
A+V67Jn3aNaAzKF1nX1l3No1wgSVV5upy/gFLtXzK0j79DYzovDAO+M+miId4M6hDIiqKbzDtovg
OQnTdtx2nVk92Y7D+H1OFwenHwOHqdvRjFEwtiP2liy4zxrT/zJHwbJccRSxyCEs1Sf7T1D369TP
t8rr7JdGJepFxJ7LAA1JsMB9g0B/TVhic04LxeReFg2iStFQ2tc94q2jO/ZyWhBtI9NTfsPG682h
2CrlOA/IdquDFzfJfVe4fbWCFw57zZR0wI20p2CNjkLfMDyUqK+cfBMjFfp2S4n+Npo9JsLREI68
BNEcHt3BSKdN4yV2tGHWZ/HvLB9QOxoj/KCmk63x0ON69Qu3dneaMZV3mEaD6KVJUbNslO/OMAAG
9O4NO6d2ZYKAPHUgDLMN4pSK8EmBYnRl1ljDfWse3Q0/oiTJwKwRCCDDZdpti0btIogZ7J6dMrov
hpGyvJ4yvctG/rCVliE+A3haNZpOG7JMk/vZT5WA5DpiODXX2G5Vu/HztCpZHblSwGtx+uJHGMJD
7wJFKbIa8sI27FXnAleo5/AGMjGCIdVqII8s/+uzaTchH0f/kJMDjsqgM9PnEgjC3i2neRskUMLj
sMvPkxzsXTPaUQNSXgf6OoVlb91bbVI9twQ7AJdGJ+YNpCiGWC3TkxsSFh9LfJV5BzIHFHs3MzPk
k9JAu7qaSiRov0UJDIxgJknqZmQk9aeD3+BiD8xY1mjpwcv9N/bOrDdupEvTf2Uw18NCcCeBmbnI
ZG7KTO2ybN8QkiVz3xlkkL9+HqrcVbKq2tVfA3PTaKBQQLks5UIy4sQ57/u8+GhxUqNORLHaTDRk
caiAMs+2A+FFLS2/IaXhUaRZ8hxqTXw7ytJ5zvKx4TzJzDs+jJT38xUof31a6zwycuvbNc2v0YsU
7gWas6Z3cGhKzFdmJKf5rBEj+6mfQCsgnsYUvJXKmsCj2bEh0e9iuTaXIBbQDssojPM7YsOnStVH
WKEpijLEOBPEP8GTtK5tSSFu23za1f+ya38SspZ0oQtVX3fG0O/0GqvK/5dt+78csYat9Ndy2KuX
pIt/2tx//Mjvm7vnYpRk46QDJDzTf4+M1n+DQSssWxfEvf0+fP+xuRvGbzbXbyHZ4APHY/nniF13
fyOfSHf4GZ0xCUFd/8rm7jofh034cNB44uQ08dZQZxg/b+64xRvPAna/pbzmYagKjlwrpmLiHLtt
jD2DoG4JSnDjM34sNiAdwpPulPk2JEzhmKVkFIZKwKMdzMSnCVozdjSM3pXY4+kX7ozSbs9KTzie
+cQEboi58HS2mbG9KP2p+Twndh5Io8oPiUn6Cziadi+LgSbDAt1qEMxdJYh4e5J5+sEPbNOiAigy
gonB4lkS/7MFo+BgeLl1TFSCE0LWVrcJyb8+Y8PJeGSyln4gOnztNewkE05v1P3nxG89yhDIYjAd
kwsMfKyOYEOrE3oJ55EGMxRZVkys3VlNCDOWJsIzAoMhEiTtEqpMn38ZZ5Gckza5D1vUaHZUDPje
nPbJceaYNAYWDlyKzp0zW/lCxTB2ikB0OoGgmpOpjA/DpGm06AUSpDbfRlU5b3y+OuJR03itNW24
Iox8vG2Jl2Qr8s5epfKjEfVAVzrOU1Ftr6RTJbehZ6eHUq8JYHCH6auaK+cUU9AwgAGqk68TEjLp
RXmmeZEtkeXrTpiI+jtZE0ld5TT0tOWgteJLw/2Y40cnRUaNKdswza4HANLi2pnQRPhDnvsHD1hp
B9By6UOZaiKOoDC6p8qNx+YwcqI+OhGiLYyOjEgqryDDlyyIgdlHi3j3ONZENiBoq1meNRfwGiqr
yL+G2oJQ0eldy9uWgKYvOoUEjGN4gdQq9Bry1mSBZAsLDomtzNYu2UKMy4Rt96s2EPEadmO5K1MC
RflIQ37b0Hd+gBZub+zeUydStoerXieNEAPbQEPaUh6iRWNshztPr2JguagAHiUzjE8g91qOkmOr
3/iYBK8cwxqKwG7Dai9tN98XvjXW61GSDt0Thv3Mrg+ZhXb6xtSILNgARZyi08hHGrYy16uNjfYq
JOvBSW5j9tA924DYO1mktjROi3wdZkO1b2q3OudG3m+j4Y4+JZPOcUCSFn+qRuaUVTYNl7LnOwaO
nn5RbiOv7aod1rZFUeu15VUPIcGcJj2AwjBTUuXmOW00vjIUwOuWucYZuKNZ7HLUmjzVRHXvxrZd
aIqlBjWpBrc4byRV27zWamUHFlXgq5uGX3q63idwqOV5bHyFSZnQWmJqXJieFE5Ul4oj/tzBt+Y0
G16lHfJEjtlheZQJk0xmRToUxFYk7k2Z5N0nHe9NT781d8+dr7eflWGBftLbmgAxAo2do12HUh1G
z+jkoWwiJ6Hra3rTV0twke46D+lkZ5fVS86Z14nWeuM4NRhpop3pfVAk6o8aSQ/qEKc429FlDLS3
K9PKxDea76F/KivqhcAGms6lWDjto3Sxd2HVJixe6MP0QK2oB7bscSQZCg5pXEHQZBvOMBOxfafb
RLJMQxQxRbZxbZk/gjsZd9Jvacux2H+SjT+edLPvLjEmlqQk22AKI8OhAPByJV5cxvyod8L8jNaW
wgPa+3YgTt1BCjqbV5WupueyC/Uveavytdv29l7xFLHC1tHWS3tSfhJDR7AkCHshjA2W/ks09NXN
bDnhK/B6krRdOb+0oxrIpxX8Yp0864hZ72ypnYqgw98nGrUi5XPnReset6+6nbrGHTZuh01p6zIg
J1sjNSE7lS3KogSDGgnOhsrCoJBjkZ/Lwq2NQ0GRWxAWltAF0bNovk+lBTudAowB3JKUFwcdfTpn
ZwCzGABc+NlZ2ZXG9sKUptZj2Oez1LEyEDi9m/xqZhy4tLHy6CrvivzUehTbGk5EYrAt5spgLHhe
x66+oHc8k97hO+NuUqog6qUdH2yA06e+8hEw0v2vv0q4/Q7tPB6JVTcyuQ5c2ZjHSNO8edu40HLX
zDfcdJ9F5Vis4UJO3wTUo2kFcMd/RvMBQKxO8V2uahfJ6GpqROnvaLGg5hfFhCGJ7pUFZRLdwW1H
2oKxoRXsxkeShBb6jJSRzw5WlckVud8tJkTULId0rq3DWBvWeM6tilQe2+Ep6LTiWCH33Y+hT59H
Yya1TiuWSTHG/a2rZE+4ObE6TT/fWgOzaQ5wobwTKrNKyOj0e4MeoBZWARpd3cqYM+epjSaRB2hs
nMdW2tJfWw5c/n2GTiTeSJLPwK3hRZhZs4lvEdMIREn3xQOi2PGu94lXCaph6u8cU/jktyUMFjTD
utW7xnrE312QlVxaF2i0yA1KoU1BwTzPfm6ptXRQNHl2dpr9+cLoeWBXCK/nlyKv8BFKczE3IjJz
7MskLjptXXApydxuinba0n7SIOTllvmdwmmS21rziunGjET8YMc4v/ntwjtmOrk/OxyK5kOqUtY7
LEd9fdFUPkbalvPglebKnEkAxIfHOveLvV6mFmojGvrAvDQdPloIAU4FTky9tsLuQIO1yzouNMkN
aXHVMdsk2I3wrC/LkOuqTSnYORdJZ8CaOJXUEL7iaODm8gsQooJ4KxDLFUBmtLaR3d11dNqeaPXY
xtqWncshN4pYaASo8HWcG+CzDHyvV3zq5iKM8YnunVqAmgMa3r12IOPMoIjGiBMCFDp3X009oeOt
NN14zUGBVnIsYhZsZ9a1DjtMMZ5dJep5zSjCYeRn6/UL8bx2Rvt+IBI9xr+5tsbmm4fPYF/j7f8m
rWFO1p5iDrTuDc0GT2PTPidxNl1GcyL6YodRe7JFOjxqSU4clZi69Dzo1YM3NkBm8i6JoD+4rn0s
2g7EUzGkkkZM+SIsxHWg2NrPc0kWcdtkXPOBY/6lymqOWWiTQcxXGcNpmRIkkjteNm2xzTbXaTID
WtLCHq5cjh2UEMGmwQcts5YsHzSWBGHaxsJ4KEDk06RKo42GYeCoWV70IPFqvMochysH9TGvNpWs
MM0n8xJEq6KiCWZAEw2rMgoWiM+Ws3Z10yHt1oAKNUAo+zQ0LZAzYi93rdMbq7rJazw+HGLnKd5R
kO4zkWGpatO03FqTU9OQmPFiZ4qmt+mN1WosSgsrgcsSmBRZ94jzMyNEoFdr9n3Wk4y78iLyzHDf
R3l9qiBW3Dehhw+6D4sAcYzC5evk+bprRfMctYWXrOc4Nr+pAk5tCCIgq+YvyPtehyQEKoshiX4E
Z92VNzlA7KzJs8kErZxqF4awjFZZEjOGoRMFugnV12fdYjd6jJtKK1azMu1rE2jSEteMW9dssTfv
CY0mSmz0pYER2y+z5zqyVbOeWSCC0aokkZVeTAiDU/n1vmW7WPfsAQfFiOq28pPxU9grOIRjboy7
jgR7qcXlcSC+QFs1fRpPe60rPEWseol/Bdv9eM+UgbGHTYoYevaseHZ1igQjySw7KIZMe20tDeMT
qCx+t/LaG1YgGFhSmDXe8qzqMPmPPtkWeqQtuQIkJqVleyd0B4F86GSMssepbL46qA5wMtVkLjKE
aqcvnqfqbzJyeTrcHubTkQePwjAp4+rJd2R3j5vPPEnLNMjJ0rsHerc4V8xaYqY1I2din40mez0k
mr+zjErtuXvGGNuUkC8WzudkX82JT6PURXgqKrcmybwdyd2D4l0OxCMi3DKWIVqeF8xTtc6NPhs0
eJHuj7jgc5lzAfvK7JkilZr+hLBCXugEPwCpKRbFm7eUYMhHqQeK2WgpDkymQtSEDKT8qTtNodPi
KBimWiNAIhT+Li6t4pVFIn1Kx9E9555IzWBSTbnhOxOIU70EP0mvxzQgUDyEgR5Wn0g0ILBCptBO
EpJch9rUL3TkJisPgQckNTluWFUZMLlYMNFt+yGsOic143VEFMEDUE//JfJrHu2W9u2zknZ6amvb
N1ZuApcGlWyrP9MxxDMoGJEmWmZsawYzuIVIRKgMdWxDLHPNnKUb2jz5lZnO5XXlOikkNA1FGs2l
RbBSYVFpYZnZLJJPfi4YEXqExNC1nZ8BEBf5qvamaOk6pc+1UeHsV3l0J6GMfjbCQtyRx875j1CX
5hKtUTjuDL3sQA64Rp+tebCwZgPLwJGUtC0ajsjeqGLsPYK29rBhpnVZ3k3mjIUOeNp0wzDYWzNW
MWnzub4LSq7MC/QNff6pi814r2aKi0WUNBN1WHbxi2PWFItV6G0a2y12ZWvOpA9h/DxGvS+vHT2M
mbSO2j2y5PyO9aI5RSYfg8pIzyhdYlA5IxsuyLHh3hhpQHNBQ45fX9yU1VYtQNOmmh/ezTb+Rr/6
UbTvYNakj6AL8210YH3I3KTpPhJ+gbeWfiWzJs8l1lBVjnbEEwaBFix8+fLrV1zSR98PKEBN+RiG
mYII4bvO4mJ4P6DwTC6lWffzDlBKeoM3sL+04sViSZbqRTLDy9YXm+6vX3SBOv78oi60YICPPiMb
Q3+LHn03FTESvZpDN1M76OX5ibqmv45CJnCmgNtfzy2i8mlCNsvE9vW/W3H/EWe64Zg67at/f852
LV/kt/i1baf3jpcfP/ajHYeBHIHx0nizWfkZn/4xa8PxwmGNttuPYRv/599mbbjYLcNENKPbju8Z
Fk2yH7M2HdiZ4en0CE1ACFjf/yVD+nKj/nRPsfJ7tAvZkpB/U7r/fCP/2crFwvolRPzUeZQIBM+7
+FI4I5HPhRLCd0+g47+9+6b+I0/th5f+MOQzUh2ql+iaDTS0JSaxI/0rBfmehc9jo3v/NNxePsn7
T+qSiIeNhYpXOJZlGMvT9e7pScMhdXqmAdshRZ0WNWEPHBhavfIMorQ7VC5Rmu640s0mzyXoHndg
GlNDJhoc+RmbHOE3c/QJedU1PfWznaq1KUnz7UX42Cygt6yBapFU6VFHGbD59XcFLvwvb5/pKkpP
bIW2wQ31YcUxWoKVnKGxNjaE3L1rmgiiK5p4bK3WUlfNNu6KCbkT/bFrBqjJnUWqiaEaEQxYOFZC
Np+zmc5F6okvmlWeYtPa0QZ4jtwBFGmRHHpKo5Ua+btGwZigXJyA0YjLqYLttPam5hA1hrjXSoHJ
L8xbOFt5MA3Ryp1vpkqsUxRfgx3fWna6j6bxucOhno3xZpBFoEIiD6Iku8Eaf1vn053VvEyLzR4d
4VeVqHnnTpjTqZtdwtx9SnIdopfvyYWo7+A56haZs8eHUUhZrFY3d2jmo3snEzelltNB9Hllsxny
Ewiw6SktemAfGI+wT/VslFibwI2XbMcIUdvA0mVyNbUu3mEmLHvhZuxyLscx/DP+hYXr/0SK0byy
/LS7HgdSs/Fyl2CfK++rKQwX32FSXXmYrylPl/4zfbavtCj8jT3GxnNtz8MrEkzBzPY4GvF4OYoZ
U5fwiDMFiFltbceYL0rJSwhnZihZ6lvw5fVLkqQvSVQ5B8BlQGqNhqR3R7/RuhpYzhSTJZ1/wdF5
0WAZjgaH6oVLY3dTu9eBtK3rNOQQX4Rk9BRdc+YARs5dde8StnX69Q1pLF36948TpQZtFMe0uCVp
IRkL5+Ld4+RHld7U/aRvZJ6XqPSR2JbruunjbF16UU2nwjbvgVap0xxL7WtMygQdXq+hnZQ0tLxd
8wEh23peWnajlN6rKr3pziTCdAdVaknF6MRtTHDKI6oYyeEyFN/fPsJin4xeqx8L0O94x29Vjbs8
Qgz4Zg784z//731V8M///sly+eGv/JebL5n4L38Zh3CXYDUp3m9oP37kx4bm/eYb8DYt23nDqLhc
+t/FI4SVCl04htB1Csvlz/9tuuT9phv8gU98gm4v2+Af2xlZpQJRPpMq12KUuGyP/4KBcxGuvLst
EaVYDJZIaKBEwrbDpOvn2zKEqIggwjD2Fu3Ni7kdyUGokrMFIuTCVSPChWauA2tR9aInVg/JmEUX
6NnolYmezGMfISzsWu9bGnd6EPa1e1siDDhUWo0R0FXxP2xLP9d0f32/y7L/7jGCIeH0iTfpe8QZ
436ylq4f9E8UH2EgajT+zLXFmcNmuPv1A2y+7Rh/PsF/fekP+2/tWEXd1iaBzVGHUkL1KVrQxtvO
eJA2qdSqgH6atpI6AyyCsa8U0omV0/iQql2ffaS22/00l/YKSkpBiGdDPFAbX2H8ZdGu+fYcU13l
Zhidwx4LV+ICcc7aUuw7eBs1TJY2Tx4yVCII6BuNBa7O8Vli0pgQaDZjc13FBb6avpB3gykixiku
nOFcJZu8NoqLwhfVmcZicm5B1HyJ5dgHOhGop0TPjc1UzM2W7v5GlN+mIRZAzaIdIwfUZ348BNGo
iwdrrNTBHcpxRyQbjS4VJdvUld/S1u/IMKpIuEH+IDiwaumW5W2xWzbYlWK72pHy+UCiz5Wcxpsm
rUlEGIMx1z6TJesfe0IuwOD5j+R5ajsbeUI7kRU1xY5xSufoXBQAqWoO/QEhm3QdZLIzRyyig+c+
9cVATP1olyvDTy/MAYu/MUxXnErtLel0/UYuOUgaxpSLGlXRFsqoEYSgGipaf1vVCvoh1T190AvU
12EQtdCgQcQbWrQmlfaCExzOV1M0W6ogRXLAgiElsAcylmdtjJF2RqmmDHKjgHKeIkBC49QfbBId
v45RiwEignm2oAumPUXDzSh984KnBuasPIaTT5HkGQNcdnXP5HG4UYXqyUezltAsiYJqrPci1u45
HdHbJ3aEyRjXhHiP+MqXkbkZSPg++fFS5jDn7TwnZPbniF2fxOHBQpWy9gzIL01F4ytNQBOCE0mC
QZnzvaaIcsjoxlXDsB7i4jCbLZyVOMk3Sc/drGxT2441DWPpcUTFfzYdxygWSzxVskOh82y55X2f
9ah8jYUE7wHn8e45AAadIxG15HyX9mjZBBINe8fsR/K6TPw/LlNEDHzMDiRyWT9c4V2x9yjL3MUc
vnNssi86UkTMyaNTASjEzGWKOQZoa5inVDQNVZzrgcnOx1u9FOKoRXASnFGNATYbMER1z9m9qrM7
BiNagHl1p0brDhqECjJP0cKeYtpsMr10PEWwPOyJoK9ADvWpUMGkGTtthOqBa2NjOZAvDAUmp/CP
BFUcmsK7TTykUs2k7nuVMAjDH9XHl0Oj13idiadkOqO6T3PeXLkN4x9XyFtEn96DAX5ui15wUwoJ
uY2WK0Krc5sZwVSU9wzkNobyt01cfIO8sOnnJAugIw7rxujiNbqwS5Kb450OWClJm5tk9C+0Vr9S
LgFKYWmcQdoj+Qmnyd1GoVNWSzpG90wbwOZ7L8Wd6ujXUwXeap2ItmEyQtAkQ+rbQAXIFLuFnmco
03+Kc9pEgo9FojSOINw8FoZS1FiYuOt8i9QdNHks87Vi3Lhv64TZfgawsZZdFLRFZt94IRD8fACF
kopG7nMmfQvDiaxVC+QhRc6a1W88TmKU962PEmrukbmauHg4qusdvTU3mXC8uOIESVUc/Ea2t01Y
yOtR4vRNKpzciHr5i2kVEyFB16pn3nICfHNVT9NFa5jTxnay+4mo0YsMZi63oPUJkQ9yidrN1ngo
oE4aHDs0o24vDcz0a+GFcdBbOYrslnI+zSjn/a5LDpGr6K9r2JW1KEk2LmEtLHad/bkotQs3nFnv
aLMVs5fuyxELlOE68x6lFcJ8vfpO3vVeYMnY2Y5prLUhy/adn3wxCeXaWEl4g6uqROcbalu8NOMq
G+KBLMRUPxQ0PS/n1r799T621JkfdjFORZhD4b1xfHU/9H50zYp1Lev0feVXN1VSOFiqoKclsX38
9QvpP4tS3/bLn17pQ2mR9aqMGb2b+yGSMGtCH7pzN6zAbpP0mTnPjsGEREGWIIqDlbfGUv0PDSDz
56L797dArwCvMgdEGk8fzrDET6DR7mZCFpBl1gx9DY1DaMcsfnFAYtnVAijT2V0/1/0+K2HFElcJ
HXjwBVHlYXOkZ8RBoqs+O0na3nA688kLblnlMZiXl7Y7Q1PRBbmSxK7uk7AvyXxS5KVg5AnIxL1o
GzTwbh19h3+jrTQOROuiLW54Hxo6m0WR/Ecv5UeB/l6Q/nfX9v3H/XDmhWoBHiuzdYzzXXjbtcpc
ExFFKoenzetfv9TPLcQf36y7SJ/4F8qp5f+/q8P0ERdCj2ARGoP7vXfxwk229ZV5Shm0dv351y/2
wW//11db2ovvXk1LwFMQEm/scX/CAbDNRxPn/CEdoxc9aaEWOVl/LeM8Bl1kzPteUwhQMrQ3HuzP
s5+CIONKBh2PIUGvapt2sr+Q4cLZUZy2E+CYIJJHAWs1tQNjwgNNj5BRcgawOVc6v63CgdOZ2kkt
RUmzlCcWdcqvP+fPXdK3j0nFz4wDzbLH97rczu8+ZlZgztXYR/ZOY8OsdkKSvEwjo3RztGtkNAzQ
ZEMY7q9f9e8e1J9e9kNNbfSY11ECmXvNsheZiv3iZnhiUUQTA9kK7aKc1GUI6uma4Ua1cUdmzf+J
t8Ci5Dso3VDgfXRS5EJXXV0keM0TtOodWyLeuDOpPsx9e1tb5bVzZXuCetN0vrLqN9tfv4G/uZ2J
4vjz9T88ORKkMuy6yNr3ufxqdom67MvQvCgahxtbi/6hGbCcFD6swXxSYXONdSLt7Q/LUjwiuekr
T+xts0tPRDiPK+Lc+82vP9PfrAY/vcqHz9SZwiS5rrL2Baqj1cgHXHVMOvvCqf/h8v3dKy0fRRie
zWn1L4tB7ctynh2xn8MRvq6nP+aOf2Cf+YdP9Ld36vsX+rAOcP6QPZ00i92kdl+TEQ6y4Vo7Ujgx
qk3SvMsiYjUhL1MeN0uhbNR9ff711/o3R2ZLLAAQTB+G73N2//kpDWM1Nm4Smnt8Z/V+Rp12j0BE
P6AuMve1qR6qmoyxaIhceGcT5VuE69xtiFxzC+2J/L6Mmb3Gikl1UR6zqHh0WjO/1pMlEBu7xa/f
rvnXm40pKho4KLvLO0aN+tOiwpQvCwme4q1F8lhOeIj0WCQ7sHli7WjzmUAlUoOkQCiG1DAaERly
CNW2CaP/AA8aCEmIbQGR0kRslOEmrfQAADoHHaJw6Ec23+t6jA6iWVCGpnXU3YFEjQJ71zCRBFpr
2FHruaK2qsMGYfqrkQj07WNTrIUzWKeu634vcf67UfUPYTImTx6P5h8VQ/DUP/3Ijbl8Kl7/z/+8
fyqS/H9cPr3In5pVv//Yj2YVfDB7mZkZvr2sxO+mL85vTAxh/aIg8uhMvWtX6eZvJMoz2hMmemgW
ATauP5xOzGvovzNCQFcCT/hfcjot9+qfC+cyrDTppPEvm1djufnw6LWN6UnyY/EGRvU1kIUBcUbz
tbCII2znnvoqu7A6NXMrZ//UeGKS9eHFUdq4DhNuvhNIZ3zQnx8kpekCiyEKXj3X5n3YMxvQFuNK
S+G+6iXOijlPMaR3BPfJWiTI23TxrZz8aOPXCmV23FsATn30Mpdk/cFnmZV9LNtlxm4nEL1av2S/
7fwz9FMvkC2J6vsQhci0D0UdhJxcbihM7excLxITBJX3ZowuDsw5v9CdKxCFatSvrEoHWSud7gyN
nKRhDNJrGFzzNmdaTZBl3pmXrjXTVBDNQn0oSDFsp8iATdNp9y7SQ4jBlX81msj4XCZ0KPbAmCWa
Nj2QlmNtGpeIDT1VgFtzR+6MSdhHP8OBabMEHmaLqKi1ajVi2BcFSba33MYA1NI4XdBqiRwPWmNX
5rHBt1HvMM+FO1DARNprCD8A/k/eVy+00KhkRm3cMs+LakK/fVacXuNb6+jATUPanXpopvsx47x8
U5jR8FqEk/hSWl2XcnrVymkt5pIfxR80fh4jorsxSo/FXWl2j7LR7M0QglTxjf7oldbRJ6FjH6Ut
yIPWS3aIcr86Uvj4VSwFqBKrE9qOTjK1gk2RHFFKqJ4hh1KXEnEWFwvozoAwYpcjl9gZuKIWa6pX
nUrUIYc4V8WeQMfxPjKrdOeHIxOAVs7brvM0DMtc7k7PxFNO62bjkLQRrn23ULtM868KensnH2DG
NqP9eDa1jGaaS7+L0QkhHFrn7fUeNdfSg7bhwUr9NCVjXC/qMBS96RjWqPJyLj8RIOD+ETTCkFar
UjP87WAZc0AKU/foRLr3uAwYz3Vac09H9tHTG3OF2xnhaZTk60b41tmcWv9+QNHOCEz2AVVFtzGJ
sAvoj1BvRw17CFewuwcck/sr226zOy9CQky8pWPrcFn8BeOSVY1ODhN24K+pJ019WztkevAVi7IJ
sm5IeFp06GJbwnsKZ2WOBn4yOgfzpVe65nMJQ/AW+xQqfReV/5LkgVWODJnXGVn7nTt2/kPfd6ih
pmWYki5jlUQW1r2ZOYiGVaUaFwFC5uOxV0PVBuFgh+NW1zSgrL6dputRJBBHVYYi9IBWanyuJ5XI
1ZAatCRbvdW/IuSBOA1/CFaZ7rGbz0763Kk2v4bImmFtl/l9lxj2HiXzoSMCfe/l4/e5J9GgaBVu
r9I0v0cojF6w/qf7KbKTc5PJ+ADrKEPDUyPgixpzuHT8GL+WndQ81ErvH5zR8L+loRkeADbNgWbn
2rpExIB0pyts5G5N2gSJ3nXnWccfgm6pfTTDnDGtHPVLUc32UzgP5VaOVfLdcHR9MzICuCXkwrsj
UV5/KqLZudblLIHwsGVPyusewjSudvnQiRMe/eJznNrNpyo1zQfUF9Yh7kiir+upDwOA4hDGpQTh
U3cdTpWsBFS7Jo5Db78BMCqjI4FCUYd1K/esBwMoCqRdfvJzO4e7MJ3i72FoOu7ewjM1b3Sax/Me
ZcxsrfoknTbI5LYeUAocXPZceEEq8SmuI4EjD8rDhEpW15hYqhRqB3eamlZlGBPVrlw/gXmXsBrj
a0CrHGdVmG6BRBGPg/cRv6HbuP6pr6fiYjYnvds2VqZHK08zvEPYePpXm+D1a9nOw6ER5LB0Js7R
INWGUQvSkpp+Q0oJjw3asvApduAorMLeH4/ozcZPMi179xDiGQiDht7SjY5qE9yXSbsnjBL1VKaq
vuzbuDMu4sLzN4M2fZkQ19IcjPhiiCwkepru1ytw5+HQUVBtCLIgr15ISR9lQvvbBA4V2mdu/jna
FDPGwvU4Zb4JKqFnQiztBm1aMw5EuBRug0FVMsIG5oDd44uqBzMYmEbqixauJOpFNv0XrRw7a+Nm
tfWIJ1J8bhJyUkUzG98S2RNlZs2wBPu53QpoyFejcvyXDovxpWiUn+5MfJwlqrI5nNegGpGNR5C7
1/y15Nj0zVyto9o170Nsfdge4WAxFbH6Zk+PnzeA0yfDFBTPJASPOmp6XHcpNWbWZXXNmmmxXsTz
BF4A2wVe1jCyJQwCLM5q62X0rQmyqPDqGcu+g8qh+sTWE0YBfmJXriuYlQ9Z0s/HrE39LZcMFkjq
9VuLicmpqUM2vMhnzCUat78YqoHRdR6bGtSFqiivG3xKuDp4HGpMyvCtJ/uaMByQ437hmlcEuDqX
yDbbNRKA8lRM7chqiuOooO+5izOJB9IlkwaSNjZ0qMy1Gd9qgFadgMk3BmZrGMXyoGsUCX1rbBDS
ei/pVHDfyolEpRWOiO57C8z4akbBUK1FD/afvi6VECau+HNhDVYA2q2/IRNmZ/aOuoZd59/O2Rh9
0nsbttDing1bgTi0junX4u+wwU/47amLo/iqc3H38HVq1gO2swFoWZLxzCSti/4xmhSnCEfMiGmX
yGbLbs/eHJ/QmG/ydmBDlk23I50SOolrxPcE2I2XA7QD5olWk10awN+vc7JLLi2lE687ulpyq3qy
8yarF8cY2sjM0Gc1oNVHizqssDjrQDCcbSKiEouZ+Q0zrx2MTnuVTZFYFVNIqnda83r8oLMdwsK9
6Il73aGtN7De1vEWWd+I9jItvWuAb/i5nU43iyBDTESv3KmrY5V5+KZxDoFt4qaiDqIQ+l6QLHOJ
4EXlBy/R5lvHSB0TXTzC89U48IaQXBRIPAy625zjZftKo9nrd5aX9N/gWCGTJyQaN9zQ1vXeHQxx
Qjw7IGf28oSpTOFONksrXMOVrxfheCgTpP9kQNCUhLe5WKatqTl2Uz/L9fDmqXbf/NX1YrXuF9P1
2Ih8A9lrhi7/5sruncWhzYGQ/KZ0MW7Pi4XbwiHySZ8pKdfkRWSLqLlGCgyGeoEKYgKHx9LhqXvz
hhfEs143XT1fZqId9u1iIk8XO7kgqw7LLBZzIopxm6s353lGyER9CFViZbxph3cyLKbXdeTnxgLE
yNpX/83FPrw52s3F3G7/7nPvlAFY7c3/LlTVnqQG4XIzcYo/xYtVvn9zzUdvDnquC256XLg466E+
sIglDP+6U/vmvi/fnPhtpOHKhycHhxRm+hReRbjKyyDFMIGH6s3Rn765+zMKYntrI7W+G978/yRe
R2KTDoYxXPhOA0QP6AxFR5WTpzUQMEXZIxQVML25FRh9bPJh6ndUa1AI6oVH4C5kAh7qdLjQrdY8
Fgu5YH6DGAwLz2Cqw6E8YmTGESYSWDEo0UFHBB52R0rWGj/xXOZYETANqCDUZtIIXEEZtQH6vuQW
cXIY0LQ6mCy5JiAXwBKHj3k+pJ/aKR8S9CMLnsHuOZTnFSJHoJnaq9DTkEnIgnMQ7CqHSY0sxdXC
ezDHBf2QLBQIrnZ9JnkpzdfzQomwF15E2OXGcV6S5n077E9FlQKWsN8gE3z0zcSbkGvlWOqyHuyc
4KE4gq6TUh4B9PIb+x4DHukY/9DX+NALwmNoGzRfCM1AV+ot0TU/H8cIiOllnlj9JtRFfiDn8rlM
yrv/x96ZLLmNZFn7Vdp6jzTAMTiw6A1BEiRjniO0gYUUEZgnx4yn7w9SVZkyMn/pr15XLsrSLEsC
CYDufu895zsM4Z5Nr7jDxsTGKunXc8j80qbDcvNT5fw3vfY/t1V+XB7XML1KG3cw9uE/Xz4LW0GI
pdbtVMg8QVvq8pybn/+mI/y9ov254l2/JWRtKk6d6xD1+ufLzO0yiHGx+t0QddSEQ09WidTIrzxY
8ULYSDbUhWD0XcZvhJVqK4e4gclqEPL3jD/NPs5a2Z87ddHdZqi8L9Zb5jsoS/C81fOzEBQKSeZE
pd+zL3bXpg4++kdz9T/9mN/1Yzg7/7If8/Tedv+1eS+j1/xPDZkff+5HQ8bT/0B/iflclxKn308N
GddG2ArHnWaM8b0lwyv4T/2Q/IN5l6RJgoZIrDX6vxoywkBES6+W3rP8Lo8U/45+6M99cwDAtBVJ
EvawRRkSXfenTra0tKjJXccNVNxn+0ZPvc2AFxScduZCxpqPv/7RGeso4uefA9ezDEPQS+KOIF76
NL0kNDWkx+QhF8/aKIhElr4TWtbcDAaug2kexm0RQohhd/Z0DBXzgD0vxe3wuKgw98dBmA/ZQO7d
9jef63NvaP1cwmU1QEtF50zSAPt5crPOiS2OZ24wivxLV/I5mJC5KD3tg+isk0cER0CCp2LsnkM5
mS9s1eunX3+IdcX5fG9MxK66TtFGi+zTZ8jcxgknwJlBnUxNEGZteHKNpLr/9VX+5omjBgZJgAKa
dpy3/vefZlSSm5zGS+oGZoVmIxufXEuiocRJRGmBqOfXV/ub72SbOt/GoovImPHT+6WEMkCFuV7g
gbjeT+46ie9r8ZurrFvFpzsHiYnGItGJvMPi01sFacRo4NLLAH4CXyObR/CB/e1QJN9+/XX+5uaR
xO2g8eD7MDT9dCFbW7ij6+sbJjqHVi39GJOlAdFaXsN8vvw/XAwaFL1aiyGT/uliU29VlWwtdL1g
JfycPZTBtkCqtEAyJqf48OvLfReEf76L5L7R42dFYJ369KwSIuEW3MIyaEjBgc9SeeejDPXbnEoB
3hT2pLpsnH3cwZ5eKgCoBlCKr05ulkg9puY2zVwVmGUxbOnSkIWoEy/lO6aLkNlelutO1EVN+HXp
NUeq6cQ3i8Ilx7ZeqA+w30MD6BYSHcA7DJAPnBuFS/Q3m/732c7n78iUEE2ezlr8l/dxBKsw2nMi
g6iMxTG1Nfc4D7buowl/0OZyj6C4PZYq+pAmubwkwor7MbLc39zqv3tfPfwOAEY4+iEp/vNvUKXU
WXaYewHCe+s4WcllCdQHTl7s/GY2/Ncr0dVn/xD45BCofH6mcb12dlLPDSSOax/GOp7WqvjSIuzY
/fr1Mcim/8vPcG3qM2Mw6RDLH//9p6WlKQxTk6KVgeUNYpcNWnJQrPjXQncmuK68CKLp7qNsAsDa
d4juOldvfKRONYfoahoPHizqALUXdO62t507kgLtV3to3MPo0Cb0zaaf79AqWuddN1RnGYI8LFvx
TAVskLG2z+mg+k1vNCRJS0iH3uweYGA4e7iSc6A1bbNVqoHqbyvP4P+oY7q0IyiZwdgJTKqFEV70
tMauStsg0hQAtLOLhkmQ8+kmV6FepK9zkxaAqLxxp+cekdzkHBB42sgjbgj5nODmv6LqTw5La0Gf
DHUSmoDQnhjshRfwzbde1pm7HOLzMbYTJuWFQe069fW9JVT9LPqyfnUj3cUeArCUTmwD06Ia2x2u
Ygy7XpkfEr1L7zS9bq4gc9G3nGiBbdE5EDk+jWbzTJpHeKGGOHyMvQWMJ2CQb87Ykv0Q6uZLpqVP
ZS4IcAA75pylnboyPcVAoQAIS1KVie/zUA6GWbMCROLWMNyqBTPguGe6ZbZXC1XhBj6TE7SNygK+
DobcgbKMBmWypa3V53RbEtKdWaXmc4/U9pXh1hc9CJoQl01PXRTkdLHeOTJxT0YTawbQVYgivXHZ
dCGzCdtEUttUVvtkAHRfIVJ0RAu7bp0NDQ/vkWPbzCCk9LoHFxsnOUv64I8NcB3l2NZ5MzjFCnmm
ikkitw79Bkg+Ulr41DA+4QD02wzT5UFEntqXLs9btMOa2K61tFadbNzinkSlpw9GsrNw273EtZjP
UHVbL9Dt9GHjwsG9AhKso1BhPEtXotdBpbF4APhU1qxAzkF2fhxbG+shEs9yM+h6+q2xU76DDG3e
eI8ZyF1ucRDagiqoiSxU4anASpkTqfmxRObMHKRP8BronRmmgStqhF4pKs5zkRXNaXE6p9qioga9
5tBCiUkKD8TCAWfDelB8BUI3eIzSQ23rWao5KjpbaPQyaNGhPl04C2q4TWpFBM6DaVXEKhSg/Mrw
ErRJhLKhouMxlQafNx6VWW3IPHASvxBODDFBS6B9jWrfD0Zzij1b4ZcsizuzBKScJfN+wmd5D3Fz
IuWrhqbAZzsQIR7tvabzDngtCp7vVGwjZ+L9yBemTwyjeoAYVWQ8AiKRZ+bcvFeG3eySXiWcT5vm
ixd6jsEB1WyOmgFDzNFwowIqQs1pkDoQaHTjSFLIuPu6m124MEZ9OsjxMS6Vy3eFUIs2pHjVsVBf
plCfD66pwrfMXADlZrhzb4aUSV3OI74LpakfCKjMdyN66kCD0W1xFFXfBrvoboQH/MMbtSJQLd6p
RkTGnlYaqdcMZUAZkCpAAMBZKEaiOCUMJYWVdzPUJ6YE7hm2moZG5DJiM2gjVLFp+BDNg3XWKCO6
Ai8tzpTqvNcEruIDCLpulwMzsDe0OIgrhhNyELpdoUfukt1kA0LEfRudkowgVKfmcAz0HANrPTwD
EW5PbqVDxrMhAiAChUQfLuVFB5Go92sLNjDEDGsTOQR4MIzKiUGHEICCmYO3aYNbNIleH8CY34lG
thc15PevE9lwGHBF6rPNJwiHswm2UDUeU6GFzzVJaRucPmT8NdZC8guZZOUsl4vIS597jKZB1QLp
Axzd+pFzDSf5VtczYpzjAhtQbxKwDjgmWoYhwJZGPpTpjO8MOGADZHVWkIHda8YzETvmhZW3FyPp
SFsX1IY/jeTQCGs2zuER4O3GMp/vVS6zrZ1X475C78VwoaOgMBxGrUoNt2Fbl8leQWfZ5N0iNmmp
fUzABopR2vcckpagb+jz2BU/ZccgMgXt124kpuHCKrubOlHnZloyxEOH74NBUQAAylejqpQf881N
hf4qiqpNY3XEwMl2S84laWywG1ExjuZlM/bhLSzjYidD+Oco0i+sClM34P9lM5nOBF6/b76EXuj6
kuRK35mXa8fGs5COJdQJZxqd51LGtPzyaAYmE2YmHd0ohNpJuijHqrmsHziXEe5RJuaBATIJWMlI
643F5jIp8FsYjebdxXzfF+WNAxLfKVfcDadwJpbzJqVRnPeV3JJAEeoMehTphk7FHdkwppDXuV3C
ziTkTz0NsWq/Qi1E9dbQ1+rB2jB62jtlgX27XT7IGGUiBiiLdnH/Wix5deSvIyrEnXCJWYrgTZv4
F5jPt6z9W53F55IfYRMsKfNUzKPZC06R5iSiMNow3lpo4I1MG/Mo3idJNjOpQEaUjeqMSdR0hQns
cUCrso087cHMR3K72eSvSUlx9+0SphnoDwOPQ+iMvLlkKfqLtJo74K13oIdJsajRHzEc0Q9dm6Wn
aW5RYjUY9HpmaazyfcmskZ5PMDRCBFGVOwFLCkMkOrEbkDP5+dwV4rqv82Rb6nH5UrlQ0xrLJrZi
hjmvWC2m1qs+2JBo8pZjfkCCNTxE0OpKHyL0+K7yxbYIaoDcxGSb1vji6ZwZ7XkPVqdiHlkVxzFp
PyohqtM0hsadaXjYQPT5GpRadpoXmx6hZ4LfNwxteES8TOjrkqldzLO5atxZPzLXD/Hieep2IWlm
3xbhm0KvfUnibLTPE688QfKH4cDYPDtMg44bOyXstg8bEJGFftMs4I1aMxZ72lnTfglt+GaRFZWn
lGAocCdC3xsm0TeTSJd9NSXZmcUEJCeutQcmPWXYCshfq74JUrTO0MFn3b4kamHnOWkehKVnHC2w
Scw4nLPM6p9nNVUXDIAvyWhq3+yi7pn2mDXBFWSEUhte9qjmSZZu21cT5k1Q6M1wLOw5yCrtkXy5
LNuQghvtmjIsT1VYpLu4niLIZ07xgBCku/TQMQc6m+BhqrFKMbN5sOrY3ZSxC/DcG9RbU44LOzeH
go1IqsQnTmPc1oK1OQOVdQlzIrqBzVD6rU6ABOQ2LduYOnRXGhnD9RSrp3odeFVafx6LIcfNMO6q
mHV76daUVrJ2VDUBnhyguQ9eN2C2AIW+1PJCkJTENZPkhoM9OcJRGm7JYFqDIkxXbIqpfGxT8Dy1
LHcDKK7SSQ4Mjbtj3sOQkwwnD2Ylo51rwFVxzQm9JEbGINdWX6fctyRh7PGlzrh1as09edWEHJ78
3YOZMwPSim3TZwYtSnsLMqwOOMpnOzdiJOvEaRggu8bYw/U3qrC/dY0dPssCVEut82seZ2e3YHfu
6uZh7kD6tsN86rT+0U3FGl9J3NKgXrxOY4+OtW/k3z0KM7tglnIXDexQSWFc5ZN8j7J3eB5D0CSM
8xny3zMqASvY1KfalueJbVxogjkLwNSWkFLtXPEGwSnxwJKMpvutmmS6j0TBxBlSvVsPZIU0xdNi
vtGKy/euaKB2g+Xzc7wSjFxnjQfYJvcQkVtWsfJBLe6j0wAqBx5KNMWXqbLPY3gPlrC7M1BtwJNz
le7LIn6IhUdeUXGPqeClFM2xxp2AebW8NB0M4LoYqo1TD+MOyB0Y+hTosyBWZmvZ9C/iRhwJxW3W
FKvblF/VMU/jr7Qdjs44bzWXEAfAHxjJhoF5dBwe4EUMV6UX2VdzLdv3DoogTTP7mIVacfISe52p
jaSxj+HXzJQU5pT7911jMbmlyOcnq9nON7JW6n3RWn4UFvZeeXp+mjN0hiIc4/Uo5RA5YDJ2jEn0
27ZTmW5d7MUkxJYXwkJq3ZYTZ5U69CjuRwu/BSVCO+KD6W2NMwxfOBVpxlLQhxs4ntBAKp43dSsU
H03eofa+sswx8R2hvgyoXVpwrniNOX3Co+xJmmPNryMO9KZ3Gy/mhZmGT91cXhYO+JNy4rlHGuYv
2PTqGMdLzaZfPugdiig1mLhj0pp4L7IGDJSfWNe/Ss16cnLimBbFnj3XLQ9NZY81DMprZjHF40Qz
FGU8eQxqjIyDtYhqV6NHAFPUpq/J0HckZMUFS0qVnmSpq80sia9ryD3cRlJ9KY1+CLAV800Rn6GZ
GK5so5mZQpnVbsEX9SHRQlyRdMLpzjHz/azr1Z5Ah247I+UpqVn2KfXPaSzXrBKn8m2hrlVHgWFj
Ln6O4eMHZRz2AS2Wu6aPSBSvcUgPRE5xPLxqG63fTawdO8sLnYvKEwjK0om6GTlHc7kIBvwKpehe
dyiO3VVpkqUQChGj7gXa8V2EBMKXozPdCw1csSxrzpJq1EFpyurbxJc6SSXzLQn14UYYfX0QsdYH
7Lf6Zd3gQ4yqrESHfQC5lyKNIjNEn5t8F7V9epFhn31sjcp5dCf7PZwMxh9EAQRxbupPACa7Q2mk
2l1dD+rryLt9TbCIczEnwIOQrmgBKtYhwHEX+2PutZd2T6qwRRuHERYwVL3BcLcZOc0DLjda+aBX
GbkPUWfudSPhNWzp8fm52Rb6po/r/ggGj/BGPX+ZG46KER2vb2EUlzssJrMfK45CHSVy4KXELE2I
HLaYOXu0/qWNfsRxTrXq5pd+IXN+VA5p2+W411ujP65iuN2Yril5MLKvE92GcGhlGHQl1syydW5i
GlH+UPDEMZ54BzHYxn6il5Jt0rFHLtbi6J2UOqaMiUtvnPYeP3RqqUKd4WsYoGHiRsLvV1x4GBQ5
xuYx2VzGSCY7AJt6GVTQT8IJirxD31Jk866H0BMsthgIdxrdE9CzkJ4LKe5mwmmeAuxubIVJbnhq
+GSivhEIxEAqi76UcskvmilmZEn+DOW4uvUYWeGoUQRe4ops97AnhzMIaw9C2E9ctj2VCjk5Qdk7
pAkVVGvAPQrJ1oOY2gRUQ6PiS6Fr9IZK1Zq7otfpBRWaQdcxcfzILXl9qqrek3UZRnuKPuupj5Sx
5RWsn4aUbRpEF8FlZT9AFa+orebUKW/oVZQPtTZ6GBzj+pVQPvM2YeB/LZrG3MXzKi5ylkRdZ8L7
ytSNmHhKUBTPhKAhl1nhX0vqd+Qk0WDqJYbcUn3nWu4cb8qOw1TSEm1CZ9doFVFyMLf8unXLjSmN
5DTHM4pWW1VyA/uUGJhy+YIYRz9ECEKf4wpvcZ6mig6H81XijeFw4ME4NMFHtoVZr0biiungnJw7
A5UWgcApxAr9xoMriPetjJoDgMn4PBrKdEe0bHImBuaXGy2jo3qWTz3yJas3h5s51a23IR0bcdKW
bA6GUZpEpTuLfMaVClrTGuVk71QfJx8VL5n0zXpO6/M46ub7pfAkZBQdxOjO1abOAp+v8ufRsfud
No9Ueku33OMSs4KaYPkHNWfWlqnJXer0rJmeyr4VYRPvU9eYtu40RfiTndbP2tp+CDPU891w6RaG
OhFag7EabhivIfDCi1IV3i5dDXAbSxJfvYHJgYAUtuwjF1IPBfFDz9m6dhpVcQmEL9unZS3P7dgz
9rkxxixzble+1FVtnjoCYnaLJat5axGyDe88HB5GogHusnBo7pMMjayOvxrjHhIQvQQvPmsQ8f02
r/ODUXsTyHOZ9NsGKZRDiKfBmggPzUDXkrtA3bxi8CM5ajtM3421sWIthS7Xh5AvI3rpcwPNM8vY
DDay7xEQOk2b77VwrF8d+Pdkl48yu5esP5d94fbvqrRBxYUUk0HPrXbP2b/jbJ8IdRvaLatXdktC
dBF4A6kx9pryU3s6hDK7v7Yiw97SyRn8NhyczTJolzTccTKEo98OIQsvc4S9Zo8Q2LO6CeQQbWvy
iHzg+L6nae1WmzK73gweeXV2lEJ7a9pH2SQp0agZhuK2qJ1XzMDi4A2u8JXC9zJ6qLvk0vW3lJQh
v/8iDYpYc3ZTU/OpkDONM7ufsIHYa+hkA1ofb0srCD6dhmVTLSPeTlDUYzcGdGoxFLqhDmcdfye8
b2yuvYbnM5HWoexgLc9x1oD+S26drux3uJ9PoaXjCuZtwYRPV3hHVweERpuKr1OF1WNbpEVhcAaf
ZQCQD/4LgmzicKTqAylXpCaxDu4byDUv6GdRP9H+qG9KIktvAcJ0zwjt0yvuPHUxrbu9MSh5xVlu
9J0mcvcFv76tPoj3Lo7UwVuM6cpe0PxtSGUMv9KD5YRPvxzOvBl16LRY83T4a1LKfY9nEWFI1NSp
nwHT7D7QIBnTTjdIbN5iiGbsSOJkzJpp1hBQyGaFXQMqGD/z3FMGo4FUy7Hz5hrmcqEzUnU7aM+V
LC46HOUPmTMQghe7zXkbOeM21NeJS5hoX2ZSvaY8iXc5XnRW/rG9tcfaCora0K9oi0j+6tajfdHS
0bOlhFXrcZb1/GZqRH5VZyzTMQo+Jj2TXyo0XbU1XIV5vkXLTJieme6ogEIfyfNHv6iHspu8B0zw
xOi00ZzKTVS2pC8bCy7c6WmB7LyxOhh08ZBstVX979bYlKs5SU5RRU+Igc4xyhPtsR21ZOuhY1zb
7pkPajFBwwPYEtDnvquoupoIII9LlOq+HSx4O2iNzCMnWOhOhM05y17v2BVxhboERdsoZktfuaCA
EPfjene1uMc4rOvaZYVUvdrrgBAB4UkvvjOlaZ9x6KuOSMiqHR79+s4Z5qLayM4xWqT4LVNqGh5O
uFl60V23Zok9Fom8c69HdXNQWUQRCeyuhmIWWuqkER/YbWZ9nvaZ22KLj2hr6qN0nvley76bi3Yd
VCB+NJehM9eKJb8O9QivgLE05tssGg69Wq2RpOiVBsZst6kfXNCLpIAOaws5A0/4YTkZSVej6xJ0
ygyB7Y1+yZM9ZfK5m2N5zkRq5WIb8pbBpzw6AmGwbkdRvXXsNQ8q0iykdyRCeC+YgioOMlpRkiS1
dDgcLR3L0eLQtEOzxm+LMC9E4GCPDQI6LPOh5yf8GOpp/ZHJcqHw99riipxswYihSSGoNwCx3hrN
1pGfzRO8BDu5SwpgqHh1gbm7DCq+zJhLruw6zb/mmHbpmEbRVT9V1nOvmXDP2z4qXlMbAG6NcnIg
ndpbMesaBZM/FRC8vbqy77zKdus17sV4betIHEbVDcWmdWPnOtMx1Ptu00bXSJXp7ZJML+IwedRb
r/uoSlE9MkQKn4qoqMBJkealtdz5lNuZHR1OkgfyxpancCYIrIwIWN/M2IlfhNKcV7rA1hfSNFow
jmhtSQ0FGtpyhF/MQe5KXpFTrVnkTSDN2qEmnD7EAp5Uo2/jA5+y0Nm7FsG0TWk+anZBqPukzxdq
HL2X1BCZr8sWVdjsJieHNrPDHKPDMlCp8HWhycIPoMqbF7fswhNhsg6H6iVXQcYBkJTeoo1hodv3
bF7l+1D21bVT4pRn2KCZq/ofmHXCIcjItC8J7R7MZ8go6N3oxBEYUR4MiHov0XEQycqy3+zMqi6u
GZehS54i+l12gkwU5GhR383tqLxNNucuNwdWqW8RwHohujE/WuPsHqcw7k6JVdVvaL8ZDFZGZzZ+
Ck9+IXUlQY3vjTrk5ayoLlgwXLA2hN1fC1BIVUCZPEGmFA1VNAkLKcaAJF9J4vidvhmpGm9oWI/X
uh42d/Ygq3e76WFr62V2WvrQ+YBo58JtqevzyJKa5gtjMD+Ak1fvmchGMPpD1b/AW3efU6VaicVO
KgfRX4NScR4ti4yZ0nQOvKok2jMgvW/txkhBS9qkAJCjpN9iGbUeI1kUb2WkHg1iVlD9cyKBFLqQ
7pZHxkTHvVlz0sf5tWi9GPcHvdOe8xSqP0nrfTm0HW09G7h+sacM4Cb39cABQ3PqRT+lcWMVWKAN
nXkDqe6X89TZ1dZm6soaEZXu3gQZdRan7F/IZu1uPy4Nrw4UawD5wmWzEW3GILp2Nf1iaKyJsVXZ
i0sCbmnYya6bfduR0Wuv6hCHpGqfLWOu0y1qdJIWClXdxjwod2+5rfXQMiCcdzpRv28cjSBUeivz
O/2O/86/o8Dr71hwJsbzvOdtTtsAKeDaGVQtLHHplc6X/jthvObIfxaFJvGL3bqzec4YRItG114r
De8UyfmrUrDFmBwTj0dpze+EMxLfgGGCAdy1athy6WNPzHHkS5Qv+ZuKxpCWJRmHsTMjFTGMczxW
KPKUayknMK0VqS7pYItNYpO3SdgsDRMDITChdHCLyl0dmTBme0NW3c6KE1pnrZF+C1srP0orgUOd
Rx1mFanrCajysPmmZjmz61oG2z+jm/ksy7Tc18fOeV4QuW8YYlC8FSossoPKM/MtzRFTz4o4JJKN
ZiOYh6IMzGxw/Dzt5r2DO5hhnlseRwgNzU4yTLsmHIhAImX17CZt2H5b0trgiCc09QQtvdiOA6eJ
Kq4/zMHwzmzN8k4paqvrcTG1HCU41dqsWnUxzz2Bxk1CjT9j48HYvtGY9gXUNnhBqZqJwHIHEwdW
nibXsWtf5cx9AxE1awR8YaJ0bbXpkKKfHfbM7eN92VqvdqXPt5qTWt80OCQb4C/nszCqN5AA6QOs
7RwP8lh5NH+t5pmYz/JcA7x2mWO4vY0wcvxGiLEKLf4sByFjFxUUGzd4L+uzBjXOdImyvHHXmp7h
KRXztQT/d5V3dcK+zVH1ajC09IFAULbSXwsmrL+TSyBBYQqKhQzhzSd9D6gkB9Hw5AYzkIMrj9g2
vGstUwSdsb054ooJqckYjAMEfxsXthTV98W+HrI1XrT9ltWt7btuQbMTt6KflwyYyskhk5ljPPNm
YVyXEaaqjShQ4dJAtcGaOFZ1Gq10ueja5LIVRHaPNr1BE6VW7vdjhsNs5ATMXo8rqeozEZBZqRFk
bbhbJ2Qt61VP5tNo3089xYE9zsY1ecbf0rKyfE0O3YE4DERe0KMA1cerVGpyzd/cOvFXGaHn0bMl
nAfP7BrO92cBTcGrxO2zOK2joaRu0K8ti/AmNLAzIS1IlsYZbYbpMXc3ZrBHqPrnvUc4dM3L1CBg
2oa4Q6RfEIvgbvrC2aWeORz1ClBPNWlnk95T7+YZB2AzBQuT4hH59dNfhaSfXz2Ux7aHDtpAz+Cu
yrmfxDIJe0k9eMoLdFWn30k+C3l+yxSfLVp3S9icsx3YnAGAtPHJ0PX+nYlXf1RE2xyg/25to8z4
iQEBIosr+c3v4q+yPQ9xpuPyXkqywT+LBCN6eI5B1G2QGTSqGEVG3rkeluo3l/lkxV/lp/yD0Wf9
CbC0G5+eY83A2GrD2gsYf84Z27fEETqqfjtNufNVUMCzRma1XxphuQ37wblNOIROpAg3hIp3wrvK
ZxeSdM+PpSb9/aoze52MiHCB/JTo96SdtI+/eXCf7w3rtW7Y9mqVtlx6P59kmsSGLzQkePeGVrAo
ELdsg4iiOZiGWb2h7289etlVpSfVS77QPWP+o/vxANtkBl+P0zSZ3+zUm34wKf4j0v6NSFt6uska
+tND/IttPqhef5Zn/+tP/BBokwCK8ciGA8F77khvZVuju+j+57+l+YeDOo9XU1j/QDX+U6BtoN1G
CAqiVgreAVSa/xJoGxaJoki6MdNbBn8dmrt/A/D4l02CDwZh0kUsTWwpUto/LxNCUrba+TjuKHgq
BF7EJYcp1j3DYBvXinT6jQj5L8vS9+txQRtxNvfjE20ij0xOgLk+0i7Dh41r5APbVwrugUL6p2dw
/WOX/Rl2hKD98xKIqtVdYZgs5La09XV3/mkJ7B2bOjOOxx3cArCVhW3XK2zDQEci6ossjIaLfjHT
IBdduY2w1785eTVcM2TKjuRDYXxrtMw4kaUCaz/rW1aqzIvUk5WnkG4Rz9iXDrboU6+L9us8IvLx
W0OS0pNObow1cWGeSKeietfIMkMukhn3hUtJuDclLf+zzlL6dZKLNvLbZAmJfJHWe+fE1Q5mdLpm
7DC+6SctfmdIRH8PY/O2CvPl2mvYtJgVzFHQDD2dnb4bblIEV2cNiv/h0Fj0fQiyYSKz6SXmH7gf
7KwCVCeNuiiX0SZyKXg3WqTJoF5MxRk9T7XG770R1hupkDjeTDmojwKu2Um2zlFGvA8GIV07TZbn
5ezcl2j4a0YUJmVfpC1nWJnLa9ZVCEiCA2uIZI5AsmetoL5HnniTWgvhXsxQ56lXJItirm9q2Eym
p6nzGTaTj1N1IIeWk2pueBiFOL/QUsnsbGfQNDxpc/ucQGJmDG1l27lJGG9KRPTTIKHxpOme9oEf
xyznpsGY0NYwyYboMrNI3JBHuWmFdjs3AzsbB3vHIDoLwqoF2dc7MpXFKlObXF4pZHEGQK40wZ7e
p/wL4zipj9WhzZlVDTmGK2JYaZ9ZXFw4BUBoVwfcSIOmrxQ/HfwcVKwXRRllW+FEX8eQV91oc3eL
aiZIRv2mytTWXe9oZuJACq34riP3xNcn8Wb3pPNlEvkaJqvcKAIsX+6GGIOa3di8Cc2MHLHCeEud
Yg/dt/Gx2QcQ6z9Q/We7LFTPBLx8cGq/BGn9gYvtvOiiU1RnBt3+FbASN3cRBYhmoyqcB7yUWdDB
rYpzlewIouS9g+BN0yQkue88NS2oVykF5lXTEfCjVc8lAxF/NMGgmWN+hgTv3emp0bJJOXuMfSSp
IMPfeBGwiqEbvR1GyGyzuCUnRI9I195yL8UcR5dmOH2Nw/ZpioSzswX9n8zMGM2G2n1oRuf08HR/
MSl8K22V50jCa7Ow3ExORKmGZ9VR4jkjyygOQ+IaQi6Xj2R92hYyGa1DYQRKkmSwDYMWgpQwvW9W
v+yxrbphq1p79HmwNzEuRj+sRkA1ed5uQAiS/t6I5b7TQNGFrbwfdb5pKYvzoeQ5WHr9FVRz9UPc
/J/N9f9jcxXrCef/zaQJ+vRVvXafN9jvf+pfG6yFGpzBFL5eFFprAOaPDdZx/4BspEMQ/8cOy1nr
nw4o6w+2XfsfPBrDdvhDLQjP+H/+W+h/wFs2SYeDam9gqrb+nQ3283GOTQ7EAYQljp/s9J95ip4g
n7NlI9h1NmscEqt5foqFM/2bZg783Q4nCaxW0mHs+X0v/GmvazGuQLsrnZ1jZcOXQdfcVS8aITru
siGICoQoPz2Fv9lejc+17XpFSHRYzzhem4b76WztFUvm9hnTSWlMHgPMQmcJ77W4wBwjzXJbOEVy
58LAOnShe9uPukdYEH/qSzmbRqA30HhbJzZPRoOYH0lNevLmfLwALrGcG7Clfofl+nzyWD/vetKC
QIbtTZfrg/rpDqUS3es4lZI1sirexoF6oJUG/5th4wfTwCoyRhLVY+JWb6rSl7d+csfHOUrrwO4r
6yMCWvFQVlN3ipibfPz6doq/vid8PBNTnkHViRuY9/Hnjye9Rq9TAK673qiti2QxWOcTMDhb2Y7x
2ZxOLGXkg1ZniE8Z4GiERHWAfRjuSPcQT5Z8EnNUXJEIeWYY9REo8M3ErI4x34DHnIngkL3QfXED
6PvqOq9E9bWPjCwAH1Pf/vq7fCJhwx3nVruSnxDnKwsj2KeDl5sso971pg02LMf0b5PTOk6TiLZT
DWt/JBczA1yo2zutasc3lKYVONii9DLKmzUk0fG0m36auhfHGlAxGgaIhEyznycjg4hjX0iViG0p
k8GXsGOvSrMfjl0FXAHd9UttM5tIQvvZszvz8n9ZO7PlxpFsy/7K/YBGGQDHaNbWZk0CHESJEqkh
pHiBaXTMg2PG1/diZj5kqKoz+pr1W0VlhASCgLufc/ZeGwUYGT7zrTcnw66enWLPfBn2QlE215YW
LQDB4z/g0IkRbYg64/DG4CzsZ48ow3wUN6rW4w/PUbCOjF7UB9tpaG6kEIUYlJn6gakYuweFpt8F
1TKlz/98L78TrbiVF6AVRezFOoXI69fHQuVjWtdmY4clRf5BaMXysTiNc20poZ+RN/C84t/wOa7p
enmH6FkF/3wB/3aK5gpcXdhMEA1hCOc7vI8mKsET7WyHRiQK6s6s3FTpqF8TqrKFIfulpeN0C3QC
GkTBubfY9Vz0l9Pk6s2qm+6mkSNDELMx3f1YMb9ztQZ+Qlm6Bv4VUUMlr4AqDa2ckJQX84ePoPC+
J0Xy4OeT9myITF7XBG0AFa7pskJzmK492Mybrnf03zy5LO2/dk3++LDU3JeGCTXDH//9b4tE7en1
4F7ewjZrhqMsLkKySxNhX7Ov3AGXh7+M/5Sub76cVOPJg6ht2uGW59U7ehneo93aMwpCqb//8/fw
vVC7PAiXFwsYG75AaotfHwT018WQ2yPycM+01xzZv+Jh3jPTnAJ3Gn5Tpf2H20BFiFOVIhPe6HdX
ecUGNXpzZ4d0h9xnvZox91Bp3P7zR/oPK/Ivv+XbMpGj+3VaoewwE0nySXOsup77EvmChTN488+/
6z98IkaLFohf1n+L//nr7QOpbyMXs+0w79zhyRhRUUzR4v5mFzYvP+bvDV9IAxwcyIFlCTd1z/1e
TrPkenOeOuFgq3PdmpKT57xFQgW4/YEkvVviVtZiGj8mbDUAabXbxSDXkv0EUpFAeen3PTrQ2KpO
TluPW1d2iHymc2vW2EChkoc1BdxKBwNVW5M5r4S/qKAgoCqFvPPPt+z712PTZrDg9pGQ41/OVbQg
/r4jLdZCWJGj3LBh26FXnHgrh3iagGmR9ptF5t9uG9y/y8ZnOBxgDNv79nDHS2QiqKVgc3MHsdWc
aTtXX4aDVMSUizbqd9xq/ze/lKPg95eKaAtOAhyXWNgwEH//ukazs83CGKMQHMID9WwVConJ1I+m
8Vk0FWQxuLNnjEx7xjkvTIwAQtG+fk3lRRurxwfOPigyPYxPkXPX1iC4WFtIGVb1Nu8wnbVR8hKZ
7UvFZCOhhlwRgwOiriDeqMk7pm7jtIeIZa2U2+p3zJ3oUJBp5ydUSKsLuWuV6LO+UaQMEB2ODAEh
yTXDlnxD+AazkQgCkKiLEzYSf3XRTLMPnGcI5qy5+8zy7qVf9beL82rVy0cJOui2XArU1bYtn1sE
4rdak5obRmMyQIv2R8p3sWL+SFMkcUosyE2evsyLBhMNq1i89qd2+DBzX22tGIbJqsAJ8zIlprfx
9eIBIeWd8tAUVRDopfEeMdkK7aigitdk8ZPgrgQ7Rm6rDXPIjAkqaZNTbkNlmlVxJK03uzMmJyJ+
Pm260KBjsDJUb362IvMIeXCJVjAkKSJJNgLAI/Q1XEbHLYKITeIn6jkiEGjekMg4r+vcuQdRXwVd
c5milX2PNnpp4vmgyDQ+RfEAczWZMdHoITL0HZlMy9bMBUDFh35AUjVZQTeb/tc8iuts7B/otHwi
DLSfEhDaG7GUReh7w48ibq6wG7WblibMTUQj4alJU3EaMmVD3aqrgp+VMy/xF3/li+ZU+Auq3967
GTL0Rl2NHiPuJaMxXDTO2tC64Rav5QTGP7fvusFjnNvytfUK4MEqiuWXN3Q+08mo3enE851oKxjP
JWJyckkF4eld1W0SGlB3VVXUwJ1ymi0Tcbs21rpmDiCdzI+5XLqTiOb+sTZTJDeamh+0OKq3jMGy
o1Y3crdMSjtnHLSOjGHidYoxNzCaAmPz4tRH+t99mDFCCinnjVctMtQe8Jp9NFXdBDHf3m4hMupE
CsCbGhifppdPOIJd3KLLvNOR8y3VAy3TS/sao0g030SMWxlNpeO+MrLqPYqM+IHJlLFqSJHkAO4Z
gdfQjdMY1wcdYLKAOOIcb6u0T24zxseMHMRAr2cDVY8qvzy9nTbaYM1XpLKgB7G9z7ixX0iDiLAW
GRVCQGUm0w+3daudJUdtNc/MhmMxwW5q42VPDw7XgpI/VN3+qNG9pqvONtRbjm7gSXoZYHwEslsf
DQ+S7dJcU/nAGSqUHaBLdHapIgxBaZ4MbWhxa7qwJUFbpXaTcFVBbUT85aw8s8JOu6Zoxj1yBCfk
b8ktXdnrqB0+hS0PeTXBrEt9p1yVupgI6Yj5CyQm3A+T74UDqSAbdM7eRVRFo6zSvHvRz2+tZ1fn
XI1gsXtWBd7BJbBEMuzzwr5bal2c+rjgOzF7MjMxcfdXltGOvFRdvIn9Ec+MDxPPrOprN8WomYkL
NnmmlYdGPn7sxB+9K4Sgut7wAaumXc82qyPIs5kNoilINInT17YHLgPzbjzS4MxP9lyN6Ma0IiSe
pgviPN3i5nmB0NluJLQz4urBHnc6yufBH4KJ/vMReTdh3dpkvoOE6tEYNWnQ+LEeJJls7kytwGoc
UdoxYyysJxE1iAsFoM4Q0y86/OxW6/T+LKP5YCBa7EW7J3L0IUItySeus5PQJ4O8h8T80IkOveTo
cNL3QOps09YkIEctuBDobd0qE/NnWcfLrpnEvYEszS4tc0XE8IAwoN+WS92HvjLfyqE5xKgkcysD
OWQ5hM8O1nasHXOrNP2+omsKd3C4Ke0huh57UmRWtl63z91SGOh9UeL/lJRnA47bArtMis1rha7n
0Bko1swCbXibyWO/YAjuzNFYx6NYzLVbYQ3WGtWve0xV2gofiLVxUCmtqzG64tgBYCRNs0MltOFO
M5IGVBrjb9R59ZXttNXZcpoTeL8Zo7SvvSaWql4XpWdbI3KTp6gkzaaDJHBNRLF45qrpUveZfSzR
BG8ZMpNy4dTxq880+6rxdISoDjunMueG96L2d0PS4wclK/h6ZqQWtBJrWS1spvizjcdOZfoNFrp+
0xHZzjOuTsr4ymL6CJhw5/bB61zsTkZc35ljPp8dmXmHWuWYphc3vTjH59AibvlHufjzc5/TA/bN
3DhPsmnoOVvshbGZbi3VJT8vkhmcqW2zwfjvXuyk+j6J/eoqJWBklcTznY7GM5gyIe/o7JB4xKe9
HqE0Hrqhta8j0dthHA36g6nHySlPOrFX7ehdW76Etuin8mZAZBsi7BqOjZt+1EWTPsR2oa8TS+o7
HtGw6ds3r7DRLOScF4l5uqwufhyT+ZpDHAsX15n3rSVCYkCu6v7Wvkg8Wqe8HfOkWUk6wt3aqJ0o
1HrPvRGkLJ+Jg7E/7KQpnt3LxFDTrKc5Im25ihFRl003bO1xQB/VLV26hZ1TrjTLKa66DKu9Lyy1
QZYkgkRPCaTRVHOv2QNa5QlI6wAE0473RPPUG31GLpYbDVlWVsGDH3VKI/KxdKx9KodlX3o6wJfO
vfP49yuGF9qp9NP8ZkmaD6c1jVDPlOAEnKvyvlT9UWvFDgbJV+mpK5kt8s7OfCeAIYP8Z4zT/SC4
z9JNwC4IXEu0o25aWYcDHh0OatEGLcuIVNGYMRHDR7wdDb+/hewqH6nw8HKXeWJsfKsEIOm2gzpa
wo+eXOUa56Lo9Is4rL4SUk430zS1H62d6HDpmjh+GEsuRtMt+xMxnI9dLC6vMtIEQzPm3xlkrAcK
JZuxSjj0bSI7FVgDJjG/4tx2r4uhxdgFy7cMle+W57p0y33cpMNnPk5Ov0qFVh8klrxti34cbbOR
GI8aWnFCHzPfCyqb/Xqg/cNgBpLc1kI6y1bZN9GDVRsEERn4UVbtWMjt3Ag755zZ4DluYhr3CRk+
T5c0+2eFlYLEHcYWZIHF9MnBYkBaWDFa8I9ZnA0bM9PGQFAMAeWNNPsFniz9vDrKXxyzd7fAJ5Cq
ZxgyV+NY+Dc+pjUuXncwLPgLppOhBnqxyhttuZ0A/HFkUm19W89xe5MO6Rkx7Jvlpj/6wgIzF8/m
lcJbu+v75blnrr1ul6K5qK3VrgckF5oFElrvst0QCelyulVLc2kRMY8vnCYgzqy/NoUyNviR4o2L
OeuqYBqFbqWIpj305E1UiCAtcn/D7opnX8DiXLWE/By0KamfMHAd+ugDof7ZG80H5Q2vBsIy8qN/
2ln7HJsWDlypFadmIJWl1Ut3bQH6gNvmZV2QE4YTVLqB7qnCKHvE3KwCF0norsi13qAVZXJO8uzy
BlxBd4/IGEpv5YmWCYTZH7MykSgtHdt+RaUMn5tL6OGE2vKU+9N9NBVih5usfJkWfUFsPepiR2tp
/BzSqLtfkMBt56nSwrKu3R0OAolEm23vo++9gearEWGKRRYclaLe8iZ7zbpT1cmT6bgbmGe9lFWH
rcMAJuBUspzgLl6JMqtPTka/Y2X4SRMMRJPh1y3HJ10hxqRWGQSofsnY1EFD/zHpSTcjDXKSL/7N
heRZkP3XzJrDxuqo2FovsEmv8PukIef/Fou0jwLcotUaKtNnhIJxwV4lTuVucBu6aIX1jiXXqsSa
dAMNBZfv3aOgo2BwaRo+gm9F5NC5+oEOQbVV4M54uXsf4x+2PiuCkpuO6wGp40dH03EziU5/5R02
w1mMJO/03nKnDToONfSFHIN7Ve1F6Wk3egzxYqVPKrvJY0KhFIePEAtEiSg0r7Z95CVBwvj9UEjv
MR/0K7Noq7ell8lWj5v4Hrhodb+Qf7bu624+JQXLaUsKywlWn/4ztnP/jLTJvDFdnfmVkcv3y1L4
s5BVfN+PBeZKDrnGQaXANLCB+4+YG7oHN/MzP+i75J2FJT/Gwzg9whxIUvLXyTg1mrb8eUm95zPE
2S4G5wmJIJFHY5HNiTDB6qpKa7Enx6E7Jgaq8Uoz5Y+k7km9MsGi1jktxBFR2KHgwPaj8MHJoPny
8y1nHpi5JN9qoVdMKJ4GlFaXLkNyS2NueMosGnOTBvm4Qhvqr5xqbE96G7u0UxY170rOawcn75zP
0Wigai/wl06CR/XUeOlcxittNM297VIfxznV5I7cQrgGJaiATZN65S4miOlH2xbqpUlxKIRCZ3Cw
qpqFsDgO5+ljj7oiMAl2DK1CAyCAzpXCxpOFft3EQ3zUHL0MDbuqESwqeLDCqCkDY3XHNpluiF3P
BW9JA9Z59mbUm2X5qAHfWHu5ZwdNjeR7acrumLnTyY08l4d/gGRS8xE05Kp1+cUfLWc9MvtXYTZ7
CAB8DRsmtZVnn7VYJoGLyp25N5jXdePL9tHoDPqVus75jv/cvOM9msJhGcxbAy0r5T0HnmOktOHV
jiMcvDDpFbBKG0N2VVpjcka7QB5RQwRnoC1z3xwqCzWtkvOZD0oLvVaTRlFViC2b+rydXKfYZULT
xVMRRe0Xti7C6U0ad+WVaRX4bygM7PHgz4ljrpbIcOcgnzMF3Uc2mnar207nHYzZQXw+2fZzXwCl
rxdPnPNF+LtESzCWFkPVeajxm7TibccjGlJnjrddMzYsBSjIJvAaiR9vsF3UhOaR9UEKlleHc6tm
85ouNaZ9B7twCDoX3ow9Ntp+auwKs6bfPgJkgq2u6c5qbFzqNM2bvpbahxZL7T1eLRjh3myjHjaQ
nNgiZ3ZYiVpwENeFWyw/TPD+X+BinBt9sbUPPnrz0kdQclZeVHdXbIUsA3w3YIhnnFDqaHtyPraV
49VgP5Z8M9iDfk03TLKeI1rG4CjAKzRRVd8mZCscK7yVPyktKRfdsfHecNhlNLdZuH8Qse3jVhcj
0KPYw9yH4h3q++jUL23jV0FeW9EzIyXeqyFPKPSS6v4i+L6OlC2zjeaJN9K5QjEiyrM6MA41/cwt
YNKrLAPosSy0wFYlVJ1zMrs58sip2wi9lgfgAcYtKglM9qnqlbvqh7LdzOXSEcgCjYqEFdWFhVlh
voV9tkvZvp5khvOWFT520IaPRnulljR7rTguXfgj3Y5XVR4arzfu6jbVoAygwEdqAYBFW3dTBw17
muYIrL+LjNzCZXWTGgaFAdXwmwlBBLX9IrEMTp+tMXyqVkPjiqEeLa+xF4aLWQ/ezcYaWUIru+yf
VC3llefX/jXIoORzcAscOEuVzEc6W+wMBQfrC2rd7aGdGLRBFX75Zaq1T1T7sJ2ZrX21pj2275df
Ua4sZ+z884R52g4dZKhIEAbyd1Dh6Aj4dDFbqxoJ/tqK+HDVHFGCL0+2gmqxzpbxLdFq5I+DN3W3
U+TeDXFn33SXnGk+VhQk3YRXy89EfxjglO/VaHUr3o4XQm7w75kashIKk2zrdDNEQpYIkAvz8tPr
6cPJrV9YL67yxlu9ccVzy0e/8tiGV/QXuz0zLpzbZSGe2J3WloZoB+XfbB81YxrXnGUgP+eZFzTG
chOXBRF0DvaTqGvqjzmfaLcVvbaNampdDTs6SLOxw84CIAfrDuYuTzPsfcuRVuLp881x1U1syTij
JgQVi7at9DYPCmKG2pXszRoJr1ZudEu5+8o1oUCx0hn3taecd1oZqR/AREcbqaXkehjtuYhUfGeY
9AVJcUDR7/TiJop6cjN5DgE/VBJBcTXv+MbBciymxdDVI0S4j/1DNfjPoybcp3jB65zNql5n3mLQ
mi3IEWfvvcJ7Im68occXwXHleTCc9ECIRbHmcFCTjTmM62RoUHz4/ngzjV5GJICuzaFPDAo1EPXV
yZ2pioGnDwcF7/9dKqA8dR6ptbCZYhGiUT4Wjp09SNkvZ02T7hPz+oqSiIQ5rHU9vl5P6tU6d1JC
34D0eE/eRY8s6ty8hxTgU88m0ZoSqN4bC+nktcAMq0YF7a3JhhJuDo+Kb10c8iNnyS3bNOrcBH3R
WstsEibJapUct+bhJ8to01H+Iubc+NXI0R59dAeMjNuyntumLjZt4vbnDun3Lud4jyCa9shI2WXi
APLtUTsl+Zwem6oC9dkUsAQqlQfjaDvXk4XpecyMcuM1SxrYQ0sN1OZOoKK0vkum6g6XsHg0pmhV
KvNnUjmvPpnw+NmcKcEPMjQwOQhxD8gFXXdzfuMQl7cjRUU/44QSa7xE3hXgkfwmabOHMvZN/BFD
/NUYpnHvKst66PEWkoklllBrwGGZY8Yi7YznsRjJmsrt7Dixk5Z9UYatTPszqGt5Dze82LbgCTZm
QZeZhq64GUsLPIEDBqxvq3LFMOSl95R+0GWubaeo2OPndbe9xWOUxt1XR7XyMS86NmRtWvcznOzJ
Rhg3MHjKEsB55E/mYaPKbAvQhN5Q5HYVT7iQABWW+KHr+83COFQ0Jd8xI9tQn9t3qy2WgxxHcev1
nQK2gNGyxr6LG4r+0xY5XL+pMl0js70zvZD454bAmxX5CjWWELvtN+nskhvZMVquQ73JD55CLVJr
oU/MJ5ER/Uvh2x8Aq+S21yZjD+GFv+3lzqnX1bpqnWtz6XYaGJsVrGvroBpsBhx4mR0U2ypOTxUG
uLcYBvnF7xOvzPECyZqG+UAD7DHzYXTVurtm8LC+AGBWcujrvVDJQV7SSzs15R+iA/yUCfVzWeS1
AUYIHWFSVcCSTFmsmO2bbAeavaltSqDFTvauObf4C/wGampXMsni6OHiCZkI710okCH4uaTQ2iXA
mALE36WcsA1/+lmS7HcoBrzeonIo2vtpI1lzA92V2RDkif1GyIJ1jz0Wg66MzVjB9zCdjTWn3S6f
59qi11LFV7YGu3orCgP61GBo8jXi/+D1VDVmVZKDHgRwWmot8hswjg1hxntbr6mlw8XzZmIf/JpW
BorqU6RZ0T0gIGCDvV/5W9cz9z5Ydunhe29sM2EOP4zjvCNoKXmN3Ihd0U15pFRiVOkDPLuUkSNx
Hv6rTCIWYkT77lpvYi06OAn1yVpmjjG++H6anXzp2oKgJA8J4NwzH2E+ml7n9rCsl2yaQBGa9EQJ
Ol/1kv3QAc53WU8B0hMInpzTccju+85itWXdwNFDRvayGqPSRgeSOO5LDb32da5M+yMj0Qczj98X
q9Hn3NxS163Naso3y4IK2Gtmo9sBWgKXj+CcsY4cqBajGnWJp6lnGsUqTE2SIFdT5165jk0PX8NS
b3V4oJf86OjVRP3b3IrUhH9Rv8Y6oRfMuW5t9ndZlbdCk4c27bR7yxhnfQXYSZ5sDiQ3PHHxCxSo
hoq4WY2t1K9hlH0oe+oDiYVklw+Eh9vR3IA9QS1f+D8HOZztZnpGrjihAIw4ZqQLML8JKIn0JJEL
paqO2HX8taN40IuEZqNEJYzIxujP7N2kr3sZXbI0r4uQMoBKtdMsDE/5MhSfC/z6tQJTiWM5Bp8T
o8J1I2oma9BRmThMpWq/HfGBlt2j7AmbmBJBkzq3m2OKfkDPsxsyQnFMT64RGF5Mk6KtouiZeqHQ
Q1RpTeBCC9wPleh+JkbaFmvlzNNh6VpwQgOOaw6+CWPhBmOsVvSSJS/G1VGt5lT6u1k3+kCn1DFZ
fwpiVvLSvm+I7OGgRf800TWGI3b60krtYvZixaW3Ot0kla0CM5qW59mlaivWjLLobDg8LLeOKp7H
0RAnuRiwMdpOzD9xA2W7ntPxjeXjLZubxaD5xViPI9ECECydff1myjW9WbkutwE9mIZhv5XRraA1
9E5tShWypBDiBlnSqOD+cSe12DXCyDbyR0o4WJ8KE+lsrsfC0A+WrzEvaIfssSAARvX1uLGL8alr
i4Y7KB8ZIG9rw3N3ObOksF9Uu9bnWcWBrcAnVal2KyQjRdaV5LGryB60vJrKZOBBQymqq69ySeDJ
uKTdJPPWNRUWkLwKYXWyZdPIXy9eQgceZi/mywE0kRf3K8usAU7OBeEoFWIUJ7Ds5M3sTbtG1FiP
O1LE1bMO+gx7m9Xs7dRsPsqMfmwwmTwgY4JTflWA/LrPbcOc1o3RZbssyi5ZUYt77cZeAcHEaYGr
0KzziSeWC9flIuItHXmKCUrpXPTf7VAnV0xOGDmYRb6blJ8XgdKhraysYlzOy5SQMe0aYxuYQMZ2
XqbneGbBinFaSdPnlFXxnSwoAx+MYd47JFDQJ57q5GAvFkuY7Q53XcbYbDAjCrnK1A4ENdWUTHD0
9socrHLt2GN2HDnHXA1zJDtGaLXFNA0ECpj1vOJl73TTCsaOW77WzP4paxdM+N7ihYkDPoZQUGBP
vrl3XBxzqzG2t3bLCWpFUWreUMEBCFVMFaFRNcuprD9a2JmfVQaWQbm9dp1dTrzjYiZn9HrVUfgD
GT6I2u/SZXF2vErizqcd9GTFpht6Ptkw3rCU1Ht2tzJBRYCzqaa1laasWzDirpEZwQRzB87OUTMe
WHGn9cBZbtOzSm8dVNiruYKCi1o4Is6UdsNVxBQoqDM/DmAhOud+8ZObzKjsdwPGCbSGpbqQalOy
MnsLqm9MivclJ30M6CGJQI+hd9SEbDwrsrbvDZ7PU1wbPEpSdPQdluoMnqZdoTB3CNoQLapsYDuF
HKy93ujgCctsTgIvswvM7XW27Vun+9GAw19XumCgP5Yo20ABpHziQutjsG8ltLdauh343yp+t9DR
vtiAa29nE1gT40RsyggVV+R4YQR0/WFNso/DncorcDNiPsQAURlHVAPfzlg13qs2ai9ErX3KwRU3
ti/ueKDo1tNNWoMGSu9izbiAelMilYIRrtV09BdG19uaqhcOEYtnDAipHXY81g3HR0HLdCy8eG+k
iXx0G72dLxvRoAeVn5O/o3FnkQws/jVI4Whnu4V6N+WId6E8A1jtbhutwLGnT+4aL+yg1t2YIp+J
O4LVJc2ie56u5EdW1sbzaAooU24rQ0hlchNV0XILTopYO7enviRUi7FzbujPqC67x2wxaUx58BpX
6WJ4+1jBd0a1JT99uXhBHcG98Z1lvm/8pr7GZV1s2C3y0HEBpkLFqalHQXowfjH+qJIJSBFlc9BS
qi9T5vmVTQL9Xuv8jhjIhInJknvzprWG5Uijpdsvcaa9ZlI6T6LloE36V7FrtZjILseNt1OSJhuj
gxFlTv2Hhl9kn4wmyHTXxMe+jo3kOlrG6Y4nMudIbamXyhnSd/yM9NJjudy7JIeNZC31NHVmxsco
GAK6xuRH4q8G/GAPD7OMiHVhuOFNa33o2ntjKtqjRXCffdS9criCYgOE0NbGPrSptXZNEjNBXzL9
bhYxHn/NKYydb8R5WDsdGhUDWobrp+5DNAjzGNcVBxHDpWmTmyPvM69eLVuGmN6SA1ErkJBoSKiW
trrRKu3RLbVPgbTzoai15lz1FtBJYJCXUy3yfysBtKCp4Xbupfsgpmw4a6RnBml6Gmm1bkwr7Z+B
K7Z3tiGmZw1SQJgiRDmIKvHWeGj6Z5aVZyfLxc2sXc4HY5EdRWaZhzJvYWbKuLiTHQlYkT1kH8MQ
kQ434stTxZBQquisDgisdtSGCdlKtdnFa+QfQPfcttkOylteCgxIM+ifxXwvhMZ5rK2xROeckw9p
YsugxC2GswdUZ+u4C8lovbnG6IM0ouxhewlZ74vaoe/jdFsl3P6qHgE8xY5hPNt+XrHWclU4muAc
nmi2JodhAVRGzzblp7rTpqr1bE8mobir3aYNC6xpAcQp79ATCAXx6wvLxwYKGzLMCJ87x2jAfDPZ
GitwpViJ27TcNQ5dY8eTL14cf6BS+vTotmK8cjdJBHDMRaLWtE66rRuwB05Wrcgt35aJylfFnLH4
zVYQF8O1VJJkgOpp6ll2psUNppzBEGnCOnPjOOSVXfeGFQyJa+zz4QJ+MHYohnBJDjHhcBB87DFB
gcBUqFuNE4MsD08x8BTI4qa2W/TmKhfWDjPvtdXQ/Z5JETrT6rJ2rTelG6sDas3EPaGY7Pv0pwsA
YqO5Mr3xyGa+N5l/PdglFWO1YBFyisrY/o+lAgitGN0ThtfJVy2OrRtKYB0CgMy25DK1j3+I8/5/
O0a2n9Ul2rf9n5cf/F5xpQkIhv/16x/bP/8sP6uLtfGXP4Rlx0znBBJqPn+2fc4/5Qf99Tf/X//j
XxnDv/WCIPexEBn+370g/7v8eC1ey/96LT/+65i8V2+v6r/2bc4f21/9IX/9pL8ScsS/MIHgwzAE
Gx02YLShf/pDfPNfZAMg/bskUri26yHX/MsfQmTxRRFI4gdxtK5uXvzVf/lDnH+5tsXbRr/VxlzP
z/3v+EOMb9pHz9ExhXBlFMyE8zKU/lVm2ba8EgDt1TYeC7FK7eKtrL0sFC4utZhQ3w1J3F+g0SFA
+9lbZbTgq4jHWzOkhAFToVbyyjZAsWivozF5Gmgd/UYI+j1K63KJxPjo9M1xoxIV/u0SxRDh6syk
2nq8UmRZ0fMgP4ASNPavBzillpiOTguxU5q4uJgNrP72Lf8nr8k3J+dfF2ARJcStcsnP+fUeAU6o
PUYv8K8lF0CC47CuDSY6IonCmOUUXHAUgZjtrvr4siUbXMc/X8I3MewfV+B4+GOJSrnIr7/5VlsL
OFpe5M1W9ZJoUcN96GP8cE35p836z5fmP3zU796Jv36Rw68BHOGb4ttHJQyz7Wg5IlupiHfuZOdv
3K5+rpqCLuDsJ+vZYV1vEE6v6DfAiYt0IBaTebLLi00CYQKiERG9tqk9hmoy9bOA276+vBfM8ye1
78tq3qrCyhBhMffPMssN6Z7RqeiHjuG/xAHcm3eNFnNQQrsKXc55gfSx1xUxxFbSRFeyxPmoAcbZ
tvYS38zR4zJaPK3F8lAZnr2xphF+cpt9GWLJwnbI30qNKNYcJvji+Z9DXJzF4v7452/omx+JG8cr
odO+J9ZPt8Ae/PqMuEtJyGjSYNYREUXFNL+kURR4aH7WkWlCLI+lv3Kbwf+Nsvx7BBu/2LLxRaDy
FeYfy8ivvxh1k1szuE63XsthBj5aunc9enGYjM1AirZlfLsw01Mmx3Xa2oy5acy7XskXClQIQhpl
vId31XZ5pwTEpcCPUJ5VzThvc6b/wBlNvMcktf0uVMU0uba/6dUv1w6I98Jg0CHju/q3x1rvfabz
YFG2mNfKAEaWjSzl4qAdgFWiewozl/jkLuqKI6Ij5DjGfszoxF/kJxE8/T8XIIvjg33tIPlaeS0O
Spr/beCiTKHDB6hlEsv7f/e7tmCEmRi4WZCQ87Nr/F2aTiKlplN85dtRU4JuE4uCB4L5zxutnBpN
a49XF46W+bv38z/cMNPC0K9f2Ov/lrfXmwRw9r6CHD609XqAPYZYu2t/I01nR/q3r0WYBpYPlFiC
BefXz1fSfRJak+fbeHbLraua7EpF8dtvbqL178sqjQffNaFwGBbWkm/fflUoZDbpQEKumX/Rs+Qg
5rRIGSQZ6Cuy2/hsGk2DaOhonRhLdlXY+ZchreUEUirk4Bn/H+bObLlu5rrCr5IXgAtoAA3g9syH
PJwpidINSpREDI15Bp4+Xx87jkipyHJVLlKpuJz4N8/U6N6991rf4tzBQGs5dCdwbhmEjKBwyxhp
7Yi7gN5oGuQwFf6jgYoPBrB3Laa54TLS+xiG0bwNCJl2hj122yRDtoE2b29O7G/k44h1UgfGtkz4
x9rYtU44/Zlw9mTXByH/faf2EVgvcAOgmfmIrybjcIYYVCIJdiAdi1UcVM5OiPbz1BEML6qRHnOX
PudL8oxg6y5n7H8R4rpbOVilG6Swh5ZJFFzF4mBMgcllygx26H5ekC2BcSnZc1HB6QsQCbvn9PMi
onUwVNmzHFiDjoo+1Uu17IYseIxZHGujU7xv+w6pO+QR4rW2tujgovK0j3r3hkqCuHjCi+0YjQ+W
BB2x0lOxLEid75Y5sy0LEia0tRmHlL+x61oQa5HVa/z23xjNAM/rc3FPPAbFQ7JwEC/SwEeRvoBl
BNMTEQsJV3EiVKdDj6l+ScXpOdrZiWnFwIiTjXvsq3arOEA2KXHC67wxnjwUqRsnbIJ1ENv+BsNL
uO4dYG7sZcVe0eiytYaQGUayNlpO4Gzu7FXu5Cc3qx5SK3isWyZzdY/OV4V+vKf4sTlYBgciMj9N
0Tb3MllwGCBvpMDYh17x3Jhtc2z7CjKBlwHZnyL0bzObJRw/iVRD7uo6e6GhJrSf8RJR4+WSqxcc
+cF+gn+3iRw+KLI4d4VzD54XHexi8DfC9K5xfWLNrzkDoLHiy+9rcxNWrPNSH5lzSX2lLF4K6eEL
8iJWLL/s7JFngFZ8jdHeJd4AimMBLniFnKLdTGH0UgasiSJmtyar1efCVJ4muKArVHwQk5b82aYJ
ddND81jLAWk22rzdAmhd2ib5KrPZXMrQezS7jM9IeXqSKYSF8w9DZXDdSgb3IHJovOi1O48sG7Ni
lAYGEux9nDz7KN6ImLLviEEL9szhnn1zAMrICrc6Ho3zwm2QfNLVmvCMIHywcrmfdRptQCFD2pD6
5yOQs8KY4N8xXGOqP1B8OnhGroqJH6tPdLVh8PfwFNgrH/UyjAV+/tbkcan60lwJMcSn0TSMLXaa
ZF35LNqyox2q3zhvlyqmL5ZdanCmBQGfW7h9+wXeRLDrO5P9upp41Ly4giEekMkz8Nt5M4KKhewr
Cy3xxs3xuiRdkK7TaTgR3RytU0VCuxYjrHI2MAO1yCrwwEUsfA6WrvrnD5yb7p3I6ick/ziYpvSl
lrxrJgu4Elhgvadeuok62h/YCYo04gVaMAadpj1UEgRPY9GF6Ue+RC4D1EO0u+nABYwMXetAQCuj
mdJXG9xSPpRlS23lUj25AtGwPp0g50JPJPFp51pOeCFk+jKbYXgrSLjDOAJilA7MtmkL+NOTQPsa
/CwyNhNbsHIhvqPzbJNPbctzTDP2yR3YaxXz+Y07uXvQ6M8d9ZXezmYSJwg5ktfnTal32V7irn3C
C8LB2EtCtSXa9cy9475DejlzNu7q6fNsJAA6bLAX3KX/dZuIdcEiE9sgvZbFWnrX509IWvyLfiTq
xL3TRwFW9Luu4o2df4NKBES+GCOA4xBw63hCfOhCw9DLpoBiHAqX2CyLlnjqAMNroFNUUbZtEErQ
rWYxnnc6H7Xk2o39x3J22VGhmmzZTcabFj/idjJ4flOezO0Ia3oDMc84ZDrIstO/zgSOc+0u5WmJ
CnNDFBb/r2qZLs47Mf5UCjEZMf9O4FNwxsMQWfxHL6tQWPDfkLwTf9rR2tdVDD9An/TVLin7ZWeo
PLkuA1NtfBcJW4Bod80a5s/rcwWDKkolXTwr6UIaCbdIWuc9fG0exJkvUq+waeGfjCvKdHaaHdh0
Qg1LFl0TsPFkNG5QVrH7+AM/jU3X7/zrtmnzlCAFIVmDXZ9bULGvI/5gjQVod95/Ge/reWUMWUVZ
9soIyvJQpy1yH3aAJuAFophV7fY8QN6iTpIcJry4bDdg+9TmXA73SZpt+xEtpBFm8ycEjuXB04pG
G7AtIkn1fF4rRZc/p37MpGR6hLY6c2A0TCIGvmp92oQB+6LqeATCplNXiNHURqLKI6o+Ezg6Ydwy
Je1XPSGPO29Y0G9K3EVjwrfK9IP6HMBhWtfxARgfB97c1dfskvVl4sTd0RlxgbRuLmGFxdOGnlSw
U/2o1WdBuMFvRIxNO6IQD2PXPEAoj55jD70n5bST7AYUY8zKk3YfeHT2kgkSeV0+hU3R7SZuVj8M
BlcPdpZWlwA7MdlV3UOKm27PPSdhMkYPzXQs9Eg5qlfl2ckm7q1wY9uE90RZvXMXrklDGenSoBrK
Y+PGtKX7nL79wgTLGUP4QXNdIjXmWFAxdXK9NNe2BVLYI+H+AjnOc2+Q/Jp6AoqrCu01qc7tTo3m
ckmUkrkiR+oZQLq4K71Kbejg8i8++hLXHeNDYOT1deJmCiV+mqyxWYO/cTAcEDYP1CmLHGqUGkNJ
DheomPnGBtH8SpHIbbsBv4xVk/tnopDbCs+B9lw/ZTrMLdATzIF4rKuBtDYManbLkA0pS5I6IS+P
P6ro+GOOBRc/XgrGG5bV75revYCj9C3KovGX6pqYWCM/3IzwV5knyB+Vp2lTM5JYimfDitm0gPkj
T8J2Z9TEMLIaGoLoigRKj4nHwCnppIYiQVlFyJSR4kKy29HEBYA+wJS3xkjuQsMG0CKyiGiBodHh
N43iK4OwpqRk/0Xy88kyx4tGEtHuMx9hKzd+VZLF541CIR6ySJTsje+oL3Hi1pZ97BbnDvgsoV2N
eWoMW22KiC3TTPt2w1Df0A1tGpJTzlOrbz6LgmNlLmxLSZ+8WFMZIHmnfrJQhBKCFs+f7M6p9S+8
ECfBCYQrIXwZU6Okz+1nn4u6dy6dxXwaBFuFYbVPRUiLI1d18yNa0GdwEvdbeLMdUUMUwfFUL7tR
UTGZWmG9Sg3BxqX3ccdQCC055+hZr2HNdVuDsNV9XzX8t/SN3g0o7hiPEGFHV5RDxrqzJ79ZZQUd
7AZnxBqVD24CsvuccXxmlubvVTHcxT4rJgzyBi4qXPWFo0C/zwH8kUX3Yd9qSDUZ8hO5Vulzb8XP
yi2fyDqiRnbNu5bxAWNAjxUat9PFGTGWmHpo5kW3RTaeMO994wJZ70zs05etKZpPkNm/ppxpUUdu
rJgD6BFsasTeqat05N34VFWoFjqqa72dAiRertB9K5hMQIpH138EP/RczfmJAoOJhzc1VIH2VdVQ
1+AYOTFZktwbEeR3YgTpPOUPyOK2g4CE1omMz5o0SFDGNL41G6v6mph89zgJ8KdCacocVliVsRp6
ErMosPhOGYzzPTue/7m0i+YyMpLxMa8NqMbYqTZCN6+SaF6PSkFf9NnXwpY6R9XxdG3A6+5XMtCb
dE7hNAwVtXfboa4cqTHFMlT0y1McHE15gOi7R1bUHq0ASpURv0Sc9igYu21buNeRzfs8n+go/BLO
iPS51ms1YplcYwzilkdNwOVabFN7NrYGb3jl6DOzmEsS4vWtZZloECHqIF8nap7KnKNnGPvxJqp4
pIRr8mMDzN93/RxezHQmqXUyVHSyU/d1PxDmiJLbiACBTV5MdceNfns+5Ro46qcEb886cGYfDU1g
naKKl8kEa3iK7eVbDqz1J8kxKDVo69MBYRaAlTmCMMNqCuYw/J6NLX+lyV/MxTSfcSMVp4xT77z6
uW9uOy8F7u4sLzQh+FSZvPenZC8DcVdAcDq0ISdXioBUN6pcZ6kPfRQMVy5t+9WMmfRwRp71pSDq
gBqKTSGq7pqgyDnMgoohGuNbHGDXhI35aNtsBVqb0axyuwujXxJ23OpyFsuydWpeXlOp16lDgZUY
4iZrBjJ9HETkRjxaaP7oSrHaOeJ6fqKhcO7OZ28w8ZzGTvj4/sXf/Vt7QfpSmJbwpGm+Tc0eUgay
BLSpPYpzLuI2DVu3657qiqZgapKLhEQf3hppPwzssmUXi7xnq6k+u/UXv64eTT+xeIa56Ooyo/dM
g8Gm96iG6NYU00I4E5xNkcHZjEeT0JJxuJW5gfrAhxEuuujTuZF5viNB7PmJ1yR+kRO6d7eTd5Za
is1odNZJIH25kNWUnybDoqBDO89q4A7UAdDjvqQE92tXq8RNlNH6EtZDZ7jv/Z/QfJrLAtn12ol0
FRhrVhx33o0b+eFRWdb0n7fImQjYDAqANdIVeAtLSIk6yCOelH3YcqfEHhBetHg+DhItgcwVtvHz
xqsjTklY1bckisb3f9Y/G6AOKS102RwL6Rr93NdNIzzAtZsI1e9Tr8VpJJb40DbUSbFEeUYuL6GR
Ep0S4nP7g3aVJmy97VdxfSfj3gYUI+glvX5pnmyLwJ+g3/v1NKxw4Hgb5BnWfTLKfOPgLfnWm2m4
DbWzCQHSbTnkw0NQif1sT9YHxJw/5ynkXaFmATvkeSzvN33gXvRmFZej2jt6E9ANA3AilNBIwraN
69wlEbvr+9+8/nhvuqj0RzEfMp4wkXy++fg2Ek+um4RktaHtb7N6JrE14t/hJXqcWmR1Q4zPrhgb
0pWjIT+8/+p/eZqZE/AGAp9fn1HW6y8/50u1O5B3+5qQpY2iobMuuFB8sML/8rXSZRauBHHylzEV
p6lwmZJ1+8VKHObuHdevdPqGgOy6DYi06rKP+CNvYTy6OR3YqEQgIAmL7v6bD1aTk05Zknf7KEnb
y7CjYZ4AzTyyJdDKGf1HpsvFqjLpnmnMYj5lpA9NGH+w/QKtHpKfS/b5/e/6DTDk/JaYI0oXEo9D
E/jN4qoMKImBWfGMqfRbWYH6+Wfxq1JqvGyqP+DJ6Cnjm5UFS8bzIKMIP9CDyNe/bQ+wWIaFavd+
4l03AHs2hYFctgzxdZtUzSA5YXtk6aeKxOPM9D41iTRWQzJe9UJhihsJawG68QFLTU9l/3hbgXBd
ljqPtjyPRH7DJNn+VM2RF7X7nCR2nI8Uz2CxaOWYBQ0VrF5oz04xTbIvdldVOveRijbOaekCkLSa
icYUdRxeZwH9vtQJt9K+Hi18ql2a/pDtwe3MabM4lCCdd0TicieocfoorlZ51Kdbo4u2MRP5tbdE
8RpnyibTU0cl8ToLU4cM5x26OFvfrU1TIAVF1WiSVMhXQytLj+3OB1u6mM3x/RXylh3OEtGTZOjW
NvheEHlvhqVgSaaOiyHplSHXBdzt0drromGVjTl9MZSbOF7thNZBjj1hQMqkPyatVXSGdUlB6NGq
DTnpFqxFF5XZG1vXZEo06Lp5UVSlLYi8K1oSCHd9OqFR/uF+Zun3+HpD8yDnAjSwXclQ2nwzX6GX
wT7fUGxSlLarlLzgDT01JM5e84S+ES2ezE8+PlcgLcgRjYyQ4xG9+/tf5Z+LH/ss0G7QZ/jCwBC9
Xvw52t1q8KJ6j6zhQox8MYKVAE1BfvBCb+F7+jfzmHEHJDiBA0Ld9PqVmIKEpA6pijxYuoIpdQ9g
wGVXe13xki2wXj2PrlSiu8v11APiU8SriZ5AtTCHiDRW8bPgCo+dUZy8nPue4gp4BrKW+s5YcHmn
v31qbGbzdkYbzgi5u7z/bf3tR2OAxwDU9UwX0fKbyXHBzVVYS1zt4xaQhMgIqGkw4a3zlqpzyifC
U8b+p74vnUGqfR2/zLn/wY715wbpIYtgngjnyPlTzZCJvvUqC9mi6ZS/7AD8A18DHeQMMC4hLB+8
mvhzguV52MUC5r62ZYJjeP3D2bBYfFOKivnlGO1URd6JHksi6ET7bkUuDVwK6qVjyAHxLbohS+up
nEp1JXMIJo4ZPVe+NV9lTr3AoBP+SjlA+Z1cWy4hsFzB5PoAevbnOco7dvWg2IO+QdH4+h0jXweo
N/FoecacEFVedRuDCJhtjxtoRSsbmrCZfTC0/EvBz6uxIsyAChX+2ZsnKaN0QJ8pyj1J8CxhrHdc
xCdxSktn0jHv9FMjgEaW6o9kY8lLHJB3554h/XZji3UQ3EpBCyFkUERAzkAiumtbF7RWrB3+721l
c8WMJddu2+2exEK9de6JFBYXJx0BsOs8vZslLv1aPX5xRJ/cKW5U67y0Y3JPsTpGCvVnEtqfMgC8
K8tgqFdZErMpQ4dd7OliPhwDZMG0JoF+3+HwAjasZxtlBqqCmRtK2/RFJh0vN+HvscJvtoFdoqra
ET8Dy/D9J+6v24a0HQQ8EoI7mo3Xv2XlL0ncOGwb0dzFtypnjGlxfdkJF5MXjeWSM5BLbhKIZ9rm
dLNdfuhirP3N2AuSNmVDuulMj+i81+f4KI7JnBAw67SVC+RIfD2PNkE+wI5iWgvuoLGv45Qf4f1P
ohfd6/0eTjrVBWomAcnJfbPfN5HDCBYE2R5OBQ5/AAU6c4dHwokHIGxBvg78Jf/q+KG3sb1BfXBm
On+WsL5w8LSgeUFrZL3V9wT+pALYrORiZ0zRStFMt5ai3+9ndMJt8rs+FxU2mMSO1bEn1GWjHE7I
yaCPneh/5yoSwXoTFFi0sEw5u5goeQyA5Ox8M60eO2H5ZLQ0X8/zB1obxJXTqZ5I5w4R6buVnga4
NNlTmpJ7M9c9vkm3c5cquWvq0flsZu6mMoNTM4gEUfri7matecmj4IX/ZeiB3+EXTPtsX+Bw3CuP
ceP7P9JfKgtfUH0TeRyA5XOl/hZ/q7oGZnVFOsblvmZIcR4Q5I4eCRO2va4SHsOly8YVGJUjsZvm
akmoGEgYY3iAUU2PYRYTwHrVQHbitL7L9P5Wy0fSWhLm4hUOdMKgoplZhGfm8/79d//nvge6koqC
597kmvr2jtR3RtVCRC/3hu9ophBzE7YKhdScBi/dqCzMP9j1/iiePdYU9SmXMmQOHOxvDsTYasO5
UdwEaW2jYa466Pd6cn+exbTnn7dnKDSwv6DkQDRC4Btzzq72V3Y59dumbtTWRcyyQqrx0ebx9qA8
vzmXupbnTauG9H/+248pZz9NDYXJMIlrzC8N72GmjOj1lDXT38r7X/9fXk4/4iiVYB1aUBZfvxxZ
nC4WolLtR1evWnjms0FB5bSsHe6OH92I/bc3BKCK2NM9FJ0I2Sxujq9fL24Gpo04GfZxHLvkiw4O
eyGxYJMT7Bg1BVg8FBVJohn5NmXoIXEhdliWUVw7peN9GZ08uE0H4o/t/qaV/rStZSdXzojxdOQZ
3dBdaS8zyAx7AoUkrsoiORU2voJQh1glS1fgjuWPJwNBeMyu7xLa4ce0LyzwtdgbjFLkm1RjW7nD
OPHaKJMR1AT4AdOOB+zrIz5GVYMUrkmtFJF9gZbDYKKibtrZdNZc22yMQjbfIeECJ1kb6SZMFTRi
7sm7ZTDwKRa+v+nJaiWxzXi2tNoO8Gh/N1Oo7UjsSsmR5qYWkjBK2xAUSE/NDcCHOfWmULl9gUDV
RQemgnQj87rYFZWT4IJu0ObnDuHAIwDdve3V/iFIeA9GFUb0dx+qzrmJYhDJBt3hS18aC+2fxfrW
jwGoCE+5Hzxo9ttC3RM+RZhARMuuZHJff/1jB0jXAyPjlEdB4R/O9x47QzVStCaTbWqpFAn8TVXX
Bc70EQ7FMjtbUekfsMTjSSaGZH7RU9d7jQftJIt/ZCK1dz7SQyI3wAW7LKDtbPh4hNggMV43xY4h
grPWXYmdby/GI2w55xToP5+W3U0Xi0d8Sw7gaYmSxO3tbd/kBTrx1v+g4fT28EL2xwPFE0wdw0Zj
vlnq7Jx4OWvl7+Jm2TcxdAEmse8/vW83z/NLeCgMQZdL648kE25hGGulzoLF078pB9qvA6iCjarw
r7edXfPdwDF4/0XfFgW8KHunQ3HDfYJt480OFWHuSWXceLu69Ootw69mTQpgzdiNLAnfZqRn2G57
LBszBFih2g/aWtbb2t6zOefQ+VHA00+l4/J6Vc2AUIdUOzB7WZELPEEmq4S9YNrQLxi6wbEKOn/P
bvdI20HtM0cOn97/Cs4KuN8Lo/N7oEUO2NNH9KsF4r/v0jw2jScaQ+5SqYzNMNftIXfshou42cLO
GZJgTSRx+30yl/CaL9K5LidUp0UnABkpb9nEg9esWxLRdn2++E9mK/gq65bqLq52uYqb+xHG8tEF
R3Akbt471bUjT1411p8FSd7kXRQWqICgu7U9jDjxYGQfFF+u4DO8+owUsLRMyRiyaVxzNr/+jHPS
4U7kCN31PFWn0W6mHVgRax3gir44f4gAUvGtCWn+RL66tWbwCH51MZdNRs79eqEE25BeCEQhhu4V
wDXbeFguea7N9jgt4qVCi3EwBomEDNfdJonsO6VBhlWTDBfLErfYNmWDAmDx93LyBqba7RbuAbRJ
SDPbTHYLCh/MbyS/Gru8EguYAhdrT0ysbVO31xj4sQfJAYlFHN3PhmuQIzJmt/NSfV4aQGVN3F+4
I17JxTGzVQQy6EokXvdklMXP95eM/cdJy9dJEx5NpUcrGEjU668TqkaYwGkIdpFq6J30RrMGoXlK
ovEhz50QCI9j7ZbOwl4oZ4JN6HitU0A6B+UTqQ5MgkAf5svrLOAxS4shvqxVZH6vdaixCfP0kr8i
TwN5oUyEneJAI6mHaRPLvTIHHccYXHLLM9dmh2TP7VpnV4u6QNQnmrUhy899Nve7YTIecxrSG7U0
H1U2zh+7FQAWbpu0jVyfB9h6s6BSHCWSdoq7A7DS3/h4FL6JaWQIxhsnIqn3xbYv/W7fjZOxA2lv
IMSp40sr7fzD7CQVmIawJ5GozD+Rooe8I+GxU0vrQohwU3Jzx4qFKSMQfIjjNmbDGpm7khTZxE/X
velb25nk7WmOwa4K52Ec7CfHsLLVHHgPYZz85K6D15L51GXeGd4hQrRxFRWJf9tRT27jzK+3wZBx
HS/iCrj21O0lvYG9w8hvx2CShT7wklOQ2R/0cP62dphcODS92fv+KArnKYmZUbJ2QL2/4Dbwb/Wz
gt0ZKJIVDR+0cc+RF2+efNu1UajRySVmLHhTIOc9vSqz79hhkVNtUubQTwjL4stqKay1ueTTzjbD
9DqWXXwp/IYNr6H8ska+9GmoqeB9HO9ME78MQQghU16FC/HxFiqfSV4QnFECh+O5HlIkr/yz64qa
cGMErMsm5fgQI08zZftL2eLpFSViPqtehl9WSSIAsUEWk8OpOKWtKbcqsqNdjCT+0wjO456Bf7ix
RDzcVUmyrB2BTkM5Fi0uCTMwIrznCjFXAIFC3nX4Yw6Bmtk5lqC/ymXhnRrcFVejybaMzZVQCf12
mJjqbNh8+IT50ti0A8eMEUNgXrvCS3clnvvvdWek18IsMQc3hfnNDnV48GAxzo7j0tgFTa7t2JGx
A8nJZuRZchvTC6IC5YFYPjig/7JaWCT0YrQeXZ+Sr3eaVspM5RGqWJ/QKvYQvr+mcjmcSqfEv88D
8f7W9ufrMVVEkU6JxUXdfXtLl6pAGbyU7i4j7Z75Nk8DsrngiObIP8QLCbHvv571Z2HJtY3UPG68
yNRJ19Xv6LdLko+8rRZR5OzQMdnbZEYZapFEc0pyBlHFAoB9gnC7jVpJHnXfHJqW7UIqKD1lzsPv
4Xlegz4I1xM353XQc1CZAz+1WTpQXzyrw4rIR4FI2NznLdu1W+jD3QUIRK5ydusW5fdZbyNRQbgb
iEL+upV9R79Y4w9FFZqWibGJ6E0+llDBjov0r6DcqB1Thpe6hPq1jO6L8rLvIua9G2Y37WY/XC7p
a4mt1U80VsrmsV1Y65bBzn8+WvGQN+uGfLAnFGX2FlzUcmch8kUjwtMUBJySMUvwsiTO9nLsnG5f
Sn2a5uRRRxV1iUo4Z/qcnHlTP6vAMlJkPf38DB4XmdPAOl9qlrhqmvaAQJezB/LNplVV/TlJlLHj
e7PBO/KGKo/gLTouyyYwYqYAcz396z/NWO8JIb67xgPdvSpRhmx6MdbrCWnBatanbhqL9ugkoK0a
ah7UYSP1QDctfIlTe4w707+yagb4fcb/GXQR0E2PJ7SI+UfMiAqiCElVaUvE32i+8bVGbQPZEBUR
YeO4d/XHNFwrvR6MZdlUg9US3FLKPR6l4CjyhO8uc/19tshPcvZ+EB5PCFrmiCNP53DCUwPNaeSp
idzZ3w81Jmc/oYw+P+6B5OtDacorGJwCVUClE+d8/3Fgd1za+TnOq/3/2tF5lfxoSMJ46V57OP9f
Wjotk/+RWl7yjqez6YvvP+Lv2X/dNt9//mrj352c//sH/mXl9P7hYLqk3W8LQED0mP9t5bT+gQ8I
spdrWR6OJvffTk4R/IPzVPJPk8jBfqkzO/4n6UsSwGkSpsmfoxODu/E/cXJysWA7+v08RQKBvhzH
KEYwn/SYN6VfHeUVIHG6B02SROkBc7q68VpS3jd22INOnaY+S8HFFlB0vaqJgcb5RV9vSi8WR/pi
6VZaosHcX7jyyjJxyKyGKeFf0ZQkX5ekCqAt+DhotgYAyYuFMPhd4TbC3NLPs6Pr0nXz5GA4c/WV
jE3456WVFM2K0zziHh3lLeApPsHndmRLtTpvJNy3GrYEXApkbr7zXC0zuQwhVxDmtUBssk0hwIyu
lzEY7wKrT5PDBPViWQtSuwUg9LTBSrgMKI8HjBa3tqgHMGlVhfVjdq3oCmS9c0edB21f1YMHASkd
K2DOYIMTyofcfIkTs1yQS0Da3jiO4dwXcejgRwvz6KnGv4WmxA/nH7Y0utsqzUKtuCz6tQ9gpV/Z
jTN8j9OWEA3fzelrVTL5iu6jPTQhdAaUsKbJnEA2mzEX8mhZHarmgpoVzHAh5MrGrPDYSTE/MT6C
zFgsAioi53tyED4MCjoVjaLrNKc5PMbWs69Ebo1X40TWpp1nSBIXJ1mu7STvrQfBGQVi15nraOcE
lR18GTpgrXMNRWybBSaahKWIhOb4WkaZrYhvb5Jj3baueQP9ZATfXy92G+xSfBD+Y4s9RNcjTHdD
7JlPzD7xUoKh4MuKjyTZFQy+q3HLn3EuCZCq4broMAULExGxM148WDeR5zN5NjzgUOmY1htijmHC
9OZ03yXmSzrX87ZQyKhG9rkjcSBAAyuiSRoobXh1gG0Mc7hcczTHKxLXXawPDukSyppRD2I/gKok
RzS4Qe890Fg9jpVh4Ww0wgAcTZ9vnTR8oLSKru1s+CIqm5uNZArK+kDQ5/608vxYDM1xnKJib2Rm
rmc7Yq01zFubBt5VJOziQrJs7nO7Mo5ygs5IIiVfXU2mOmYjbYWuLnqJ2CAynLX0sUkuoX/FBaW9
8p0SWdiQ16cshjEoTCf+6QxttvehKHxJOheumq3cQw8oFRxySQZkANUHFF50o/zK29pZX97Dqiuv
maMyn1fusl2YsGlBmRl+irLpQXVghOZORce5HwnN9Dx47aTarZKgDDfeRHqZU6a4tlP7oYb5S8EU
YcaNRLiTYeZsnQIIE3oqazWEtBKsrr+qmQ8DVYjptKSz2z9mcXU7VA3KFnOB7Ye/hOo57m7COIND
tcwdtQqKLheAWukKjrFmHc3DPbdUcoI846Eoql99n9wq9BUrN8SeknVdR/pl6wFT5imLfAOhHv8J
s21VPNHNrdiM7EdnYP3POVECefgzs+K91RfBLSet+auBsblqyuqykl5PU1MCNQ0M2LRqevGK7rJn
gLquR4NfvrJzSFVqMRAGR6CA+g55g4uT2ybcxk64fAB5bk9pDDasaPOMmBJAPKMHly2b3eXJ4H3v
0jRcuJc59Z5Q0/HKjxWKcN8YH9AXP8guTC9IkfHwZGQwzUcii3xncoiVmoq7BvbC1vIgmzAKXq7R
LfXOZs4n9xATaIaVzxj6jUyFba4dp4g2MzTzgTxRMX9OCFMBcRGO10GgKmBQHlAXMqR+dHXzUtU2
0J7ery9IrLF3sUXUKZd6AkzVkN+6ZIjhuGvFxYQy9LmsCiia3F358KNb3DodECi40jRLhSaVd0h5
tu5c+1/GQEQ/KzUgRf7tVL395yn0exyyPA/xXp1OQBC0osNkBqyvDW/6lGUJEhBUB8Bz0Q4doTlj
LjddUs43LR6TT1BfHfa4EmfBaNcQd4tmKB4LKCt0TzLrZx8R2Xiiy2pZW9W5aBgEaHrMUfz6iPct
jqnRHD2UsQCU6y0D3pzYed+Kjy6o3fFmwr8POh266ucWfhIpRWZhE3sTyMG9rJLFv4IerG5jP2aL
qquwRWpvgz7qRNc+o4vWhVksv6h2LlHIqhlJH7BBdwVz1cf34WFTCELVHsfRm/c9+/slscTTLoux
nyz2MB2YvAdkTNI89wW1nQ2Visc+7D4HcPo2EhwTFnga6ZSyMOo66hCG0C6JTxPnVueXdOKRMq7l
GCzzgURAWMRc/biO7hGxEo8yYb07NObs5ifPSXyyQCRs4n4Ag+J580XbCueYRTCt141jEq6jZLWd
ys69yefWvm3tOILVNm8Xu+H+kFQgAgtSMVdDapU3eZDDQkFjfoNE1v1CSJoNmlhD3kHy7+KuANdq
MjAlrBAqcOQ/xK4PXx+HaDpfDkH3Hfo7FDEcCoKe/HWVPg8Dt2jD8k+lxf3GpdG5YSLV3semwjdW
8sVRb4Df1MG5dNaNQ2H2Cbx8Fw13xiSj90D8GMW9GPvkmqSSGPG3LW+HJD54NGePHCuKHpTMPjde
BU+lpUd+XLyeu8dctcO2ijDFYCUontJZkx1F9UyilbtuoBGu3AULrsXavKm92noAQf/DQ6pwX8Y8
eahY+uu2c9sIaHLcGvDvCKU5aoBLdFEMBA//zGaneqIfTI/Mh2/v7LG5u9fVUg2CTdl1py/BMsHK
CyDzfJ8JTv7ahdyyHtzQEAXvz6vntWSs8dWyo/jarwiSJABCPo9p6GmLD9OECPr7M1e9Fpm7hDxb
WJ27DwwTDngM7krkqXywbaP7YaO+WCnw9w+imPp4C8Jy2buZD3+r7smynOLmqi976Foh07Bvbu5H
9yYA6CtSxqkIyINZd/0YbaQzJVspDf+xptMBp86W36lqlcdxQuzcYQQaepGA08Y+h6vGXLWZoe7H
oibMhzGXDXK6UYnJBUhr4xwKjnbLZlfVO5CS1SZix0I52Sx9vWZuGl0TGx3wdYqUY99Dxs4Eub6f
yzT/ovvJv/pS9gdKr06wRZbMdCqQ4Cv8MpBA/b44VHOwsPv5mO22IzP7z9LFs6FmZV+XTj6AaQuC
p77l5pzkDv2SJozuFwMyHQlmTfHA21CP1rLw69bAg1aLk5kX0h8JrK4dF4O4T8xGrAADrZuAeEyg
GO1WNOLrjFPqgsYL7glzVinxAYn3NIfjy1D1hrm2rGE4WGaxg9PL0TW6qbtXap6+oc0CuBpOyKJW
LXbF73hbhwerypyncPIk6dv5AAcsaoWfaDAc4gg/t78tCh8xh5LxFSxRek+KaPC9auvp0XJ064qm
u6KFL1rqksJyD04K/HtLD1pATS1Vv4N/K3/0/03emS1Hbpzb+omgAJAAEritQs0Di8W5bxDsbhHz
PCSApz8fWvbZlva2fXy540Q45FBIYpNFIPMf1vqWYyX7Sus75lfMy8eN3ac992rJ0Bi4djd9091G
u6KwwwtYBInwVmYRpCfNSuqL1UsF9NEcfup5g+9A71r3jY696RDumZo4lakZ0mnAbns3ezURtVqN
cb6utIbNaMdl8cH8KH+yASYfVID1zArRLOLDsRiCWQFMY9ujElupwWuPHHqAXvRpGDPC6Ot8Wtmj
Mr91sprS/Wip6PuUlDTNeZANlyqZu1VtBphoslS288mlxtZJXQpP08jxskV1In8CLDLOQez0xygx
G6i7wpxfsY2Z1cboDLSg4ai9FK0d3TqncL+Xo9E94ehjyLg8kjRP6QiV0wt5CYEpM3x0a56RdcNs
6oxhxjjEeJXpf8ZchauuC8nXY2wd3rAOzM+dHmsPpOty2Es9QjJH4o321fVWgZ0sN0kEa1vdvsLy
Y4jHUnO41BjdPuZIiO+MGSc8eolZ/z51YXowaidI1yWL5vdiZHK9JcAohLdiWV9mPAywrTALbvIu
xmhfx3LcBNqQDqsmSetX+LczCOhizDcISVySAQNXbbzUnaD8au3Iri+au1PbJN4Dw0rvzudTXFVn
UHU6bfNBgJixcQNRFD77OLNaj6BQPnLS4MCjul3frIE8kuEaEjjYWJpaoLiJ8hOb8ck6QawSrpJq
LB8wfccPfWyG+1oTLZHIVij2TRHb7TqT2YAtOUk7ss5ii7lQ0XTeK6YxMIJ2KV8MEF3f6WNEuUpA
r1mrupiciUchbq7NNE4M2jo8WFOj3k1dfxq0rn7OhxqKa4/25wGyg17ehnSM9sNs2p9YfyX/aMpI
swjN8VCDmNwg/W7f+1q0X4TaubmvqdJ9KnVcW7OVhK8Ap7mJ0gE8a97kESpa6UYgjI0i3VIIa5ew
RNe87SuNPB4mTKwMRPTSDI55nArRNWT8ZHqy83qN4IIQRvsVbHjzIF1sDSSFzDAL8hEgptUepDO4
H2B1xqeGcmv0DezHB1olJ9wao8gOaPDzZtvVU+7PPU8n3seplA+1wf7Fx0ZAur07TARhK/E5TEVz
gEgAspXcZ1C8csJm1FjKo5+sqMAihpMgvWttvGmNylcxUbA/pAi7n2GVkdHTJ27eYDwcloqVc+KT
dpb8JVp4uUbTT7ZLoZEWOtpKUhYl0yuZGpmx4iP2YqyQFclqoopgfQBdpvytebEh4w6z8DXp1odk
7rtny84SAybEyGRbzwQ5dSFufsKXrPriAsklqsJZ/OP9+F6VIkgfci13eIab5dwkuncSPue5ANvA
yupWsR0bNkCZy3g31hYZIrosZ7gXVEUIYZYkhLhSPMyZN6+qugt/zM0sTq0LvXSDzWTGZJiTYgCs
3sUrmGS1viL0ZZqOKhu08AD0pok2eEfh1XqUbXqf5C8jOMbf7VS5B13zijfbTqNXrxj6aTWYutop
ALnEDzJQdSDdgdiO3PWM6/IrNUj93AbIJjG/5kUGq7V1B38iZgipoa3tuJJqnx0DfZxOM5abS1xP
yDAFgZi0f1ho5RdfX2U/z56B8s+kiQw950iGtbWdMhZJIEHmp2Gc9GvGdMY3tQWPB8d4WsdjUt5b
xwt+lHOFXt4mnSvTx4k7u4Ub3pedRr/Yifg+M5RiUR5lb/Byh2uWWuNzWRE9ReuIDYrPWn+IJQo7
r6iCS5vp9nHghX+eOkr/RsumfShHCFPxWHyVriwebLOxn3nsqYQT62gw1SafIOjew26wTrljzOSv
GShIbdEfUOfDYehEsTNToLzSfqImbx6RbdcnQAvof3pR7lMA1B86v7nvgUhgCQ66vR0ImyN+1EjP
VV/Et1ZOa8ZU1godM9GdymTO0AZm+OVa0UuA6G9v2dUmbzKBys5T5NtpIYE/dnOGRfDhgXXd1Wmr
dl7kkQJY1rj2HfRGjM3fPA4sxsuVOtht/MMAy7pMK4CtNQmEcgE2xDb7oxkF8d4Ju+wUuInpswWM
16ExZt9QAxeX2aoJaCXBjG8ya/cIWLo9O1zpa52bbPl52q2MLQGhdAcH2vs3O5j/porQbQuROut4
y7DA3Dl/Wa5qHL+F4iA5mENsUnYuVZoryvBawcFXa5tHaFqjRDBWVS/A8Ey9PACWI67wX/eTmF7+
Ou1EvYa8a5mt8n/EHv95OdP0AYZSojwOU+OQU9J23xmNK9hAg+W1D65bGM4t1bHLbwChqPsAL7dZ
iBMd69mB9zuyhlc1mjZzsslswi0Ub+ZngqS8+tOByG/5VqvZbzUu3BtLdT55R2TvLvh+xhLLQC5X
g/FdEvgKKZSu8Y3xhwYOpBNP5qC0H00EshgvcPgiddFLWCdh/N7FYjHDDdbF02OGAgAX3twm5EGJ
o/GxLp0EigvWn8006+kJ9EDjE2kiKCRE+KCw3a475Ep3KfOJULFRXPos5DosbHKKx+zdFKX+2Jnh
kUwVd20uQ0u5jC+BITPJxBnCCamh9442jFzte/Vr7Bn+GoEi9tK/gJcyDjCtWv6UruPeRjtt7tDb
jTeEhHW9qgHRMP5aCvaxs3v4YqEb72MWKC9wenhOs1/VvfGr0vd+Vf3jrw4gHtLph100nJ1swB6S
X32C0ZViT/LYuOrwSppIyZZ2gmmS84mEIVsRxucetMB8YUHSH6qxCVHF88Gn5B+sSP8oF70CPQta
BNoXd+lkIOLaF0z2/O3S5wTR2EUbd+Z+TsoJdoeh6IiW3shduqQoUrHfVLm9M+uGGeUyEV1zmmjf
s19N1rj0W8nSeXlLD2Yu3dikMd6uoVRMa2Y5tGuVR+zdE+j59MM2s+qTvCG99wt4ROMbtiA+JLvM
7Gs301/ulOUwC2eQXr03QeUUP7XI6eNNZPfhVyewLd3+9Wti/jdbBuMWiIXYA032E4Zrsg35xx1m
XzjJALOiP8TUWhcyJ0LgNaSttY1ID+TauIfabXJFwHYZbMamfHCzMjhHY4lnVXMUDtgurJmmzVro
MwEgVLrIU3Wn6yG51WJO+s7KuhqIYhD1k6XAPFQmiQ3hFCtcueMDQkNiIxW2p1wZw9nAUNexUBiD
H+g+IcDGlXNwYIk/QlojiXZ0kqNwjKdKREgZgxuIOszZQYggQwRbQw+feMfFFZfwhcYMe7Zm6SRE
xjpIa+Z14Kyb2nX2UVzbMDccClTuDn0/VDK7OU6i3/BsoOUrLTt8RnpW7EKwO5tw7El0K0WpmL3B
xLpyuNQ3tyHDt6WS6Xyb2bIiKg6w98Yes/Q41zrhgb0B0YEGvCp+yr5FtpG6PYWk3d1Mgspe51AF
fikSCMD2nPke7tQcr7YMPiK2Ch+jPeXFWuVlsw26NNrF2PRTbl1LsrNIum0ip3BfuDavnOUoh5+v
gW0w5cnwMw88j+ur14MdnXAR+yPRCYvQE5HhSvaDt4cqHzxCUo++53B/0F2G8SYICu0+MhlhUhAT
pxTbwzFLUEaYemxcGS3OPJUUnVnijSdEsto3Dxbchi9H5KPmFvc0ThYgN1n2L/oU8AZgM10NqmNm
xiYn2jrE0WKKs4fthNPsYzCN+BkstPlaJ4gf8d/q0ZpMLo6mUSWPc9uRD4mg7WRzSq0tKbtNya4B
NwgAExkZyUuhtxhi0shD9Y691DrGQrcymhgnOGOR0nfwpnXeay8R5yovn4jeAW+TMaBwft1EiLus
R0drwosiXpc4g0bvg1WCZda9FWkALLBalkjGr32S0Y39vA5+7Zn0ZeXUMNVdWMfLJiognQbCQDwl
AJYK87vxa2vlsb8yf22yWqQuWxbQ8jX7tekqTE0jZy9WC8KB07vwOd2qD2jlWbwXyJbCK8ZkoqSW
e+yn1SvCk8RougQQL9u2ZFlor4hY4690BsK5QK1rDk0G+U4p2zigquqoq2uL5rr3QGmvYFOlyT5x
nZb9NwMMgqAJ/ziJXlBPkP7DTHdcxrupbbwT3Y20twufAYW9x83yghBQO40yPtbBjIJ/8OS2Msp+
+a7BvLApPY0RK6JWK+09qOT2818fVCxI/7y7BAHoYkyyLIi4CNeW3eY/SC1IjehTRqLy4IXAI7yH
Om3O1fD46w/5j3bc/3SB/SdC8XOZ87//JTtuKSRl2D/fcfufP5vPP6jFnyHM4v0nQa/xXxfdf3yV
PxbdUvxmCjQ9VFbSWngC3Bp/MIul+ZtnWMhhhKQS5Dphyfw3ZrGp/4ZOFtOpLWzDdkx+xX9fdOu/
6QJ1tm7pSLVN9Cj/yaL7L4Uf23RIjRJ3q853wr7rL4VfknTmKIIs2CjmyUlCcpgVbY3WBOlo7f7h
c/ofthZ/pSPzs+NAXTQ9i5rS42///FiGuVZhs24DaJPlFmzFfcrrfZvKbYEOafbqD+huUP3fPAGi
e34Ic4KdIvFOUbYy4/E0ZtWWw2L/b76rv7wsf3xXwlxeGL69XwqHf3xZgiouPRT5waaKpg0RyoeM
uLm1MuXWoJScmRZKLV87xFS5EJdo/n2ymCGghdBpu7VlVn+8V/+UGsx45M+v7/IduaZwUZpTk4O7
/kuVkUey0iDNBZt27qMdBcAByZJ1Z7MYPIwR0+DK1rKHKhtgYo3OjHUPR3Q328CSUxIkkBx805rC
fgw6I+PEcoOTZcUHesdtBUbLF4X6Jscf2VT4A+WDUxYXZyDNgvxL5gwTsTlmz3wC4IJo9TVip1UL
UacuZ79mpo8l4qLXms+cYVtZhZ9klN8MP8kXPTraXZnlfQ5ygg8o+WvcXO6EVKrHJAePTzePocMl
W5fn1jH3dN+runlnLXkgGm89D9+14sQSkhtaiWM1rTLT2qfe69APb0Ofgs+ccBVWozxY3SvoVhBc
DN6HcicAU+ZtRukbPs5cazK5EgW6RtW8du0JlktwtCPYlVZAQZCdJxv57lAchZDbsRV7BzkFEqtu
WycEM2iMZBAE+/hukAyypbWayxA5W1RgI9NZ8m0ozNWmKoetIKCutd8c1zvSw6xlwdwws5FAMe+N
B2KuMpR85b5p1TrMWj4e/hjP8qta3cvGRoTB7amJfd85+WpWS04PTuSk8Y0a4tmDWdRngh9XMbEF
im2jrnvHyuLNHNyNnrCJjZ9SVe615sqSg3j46JN44Y1lfa/H8lvb/mDnh8KEGClugBYRsTfd4qbY
uxAPcxeMP5lhYdD2V1jh1VPckVQvc+2C4oHAQ5wxWpWoO4SjsiNWqV+ZXeDdWKyUP0JRk3VTVXxo
FKtJxEw8+71lwPJozmH56YlYMl61l5cmcFZM0aODVNaTNHrzxUnN4YBkpf9Qw4IXEF64Y8nHaBaR
S/hK1gnpVKxpV6gb2JyDyWOMG7B0fHLpfreG00pyqZk8rQqFdobvwhk/7WbK9gVhiXC16iG8RGTo
nLmpH+ymdR6beZD3zszr7X9+//3PN9ufLr//tyvyfxHb3+BQwuG5WDj++S15jD6bNALm/6eL8b/+
yz9uRldC83cRIUBHR4vqLGajP25GV3D9Qf62lkuQ2/G/7kX7N9Q6DPw8S7gWvCoutL9fjMZvHvxj
ZGMS4IHt4Kn8e8LB324nwhH+6TGMfPevxzA3NcnyWO34Hm0kZX++rvRcT9hrTvOOmn9ulv6AEAnD
I/dt0/Y2QGDdDpy3NkTaQwOIVZmNe0qzDLUuNPxlRVyQrlYPT6zSPTbcdmdvu0zLL+7Yd1tDRd29
JAJ6VRgl7bKNoHlVTdSzEaPeE99Q7vO2qb3yetbhk+2q8eyUOogyotbiB7sHccUpzaDAz1gvRqRg
SmCaSVRmd6vo7GlBHDI/ooWG1TXWhFftEKfNggygWGHj562mD0hQjAJJtod9OgTJfejteo8NHI6n
MRbv3NRgu3rK+J/8cCguoWnyroaif5atY9PswJkMVorM8p2yK5msNeUoEoRQIWzhagwhec21LLfx
rBAyt2MQX+PO0BVtSG1h8ZXYkI4mkMR0FSDOxzrmpoHcJ1QQOlbypCg2QWPF6EEc5YxrNrfat7Kn
YcMoPsXnEjDnZ5338blFE4SCoSxlfBqxkc4+iuMOr4SQjfNLHUvIBxG976Eq+4/MTJW1cvqu/N3k
NPkC8aZpEKiqijSdeCJxFOXQiq1SW696ukFWY9WY7g3NVKhmtOExEU3O8AND4DpNItCnExKZ95bh
t+aTOUi4jUUWxE0z7aDyTSvMCNxpIWWucQhmzyUiKrxlnY7gx6LEKNdt5hpfTqV7Ga4/I/uYJZaP
ba/V5HQGck52Ma5AsY6qhnw+lskzG4FA805GDJPFqIrBN5u2vlWTVt2ioWn2oivre5S4+rWmNdWI
Nkpy5WcgaoB9Et6nt914hS8s+jXSMXPNbBlMWAM+wMEFT5okxvQ2dodqNU/FtOusugQMb0zbKEzH
N0nDetHDwtvj5Ghfx6qMmVMnFT6CmRbY1V33PQ+6+ckox/FWhHR7VjdijVzwr4lBJkYGd3ptVXV6
6RdueM/X2km0w4uWBfpgC4mWxZ3OXHwhGswNmbMEL15+gczKoAlADnbl3syB0RWC0YOtR/lrY1gV
+hXx4ghKNIwtEKS9agVfejB5DdgyxKBplUrv3kAqY7zg8RUmEz8GKHqqA6CKQRdPL1VYIA7p+/EI
jUmg/ceXXutLL+gsFn8DfQEMTTMIb4ZtzI+/8L7E+Y4PPOtiR/cnKz8iC/nLVVb3SOaU6SeovZ6Y
Ycyv6D2dfSbhh27R8clhJcaqeM2iwnxDX1a9pgTQffVRk7xC5zg4yu33FlFjD1jlYrVu0865TVxn
H7WZt49FbhmfygtYo9em9J7AshJfGGWIA5K8Z9rucaawtk4Era6YZkIMHPNTzQkS1kprrRfTrMMH
uK4goNSQf0fwLR/cRjjfUHG1myi3g9AfnHa4g+gK9lNF5nOcl9lP2QbetCprxB4sNe3pIZHFzDBd
Tyo2pLXxujwIz0RDzF+RVKryXaVnL0x65COKrZtEbD+gvetyLFW2ofg5iY71M3qkD8FoUCPkdSxs
38uy4Eqh1h8nzoh7wC729zxKRxhwzCTeUmYqTMA4mveC2oLFpwjEV9qUMytfTyz7/9R0nnuvMAgW
6bGXzJkd3ps8LD4d1IC/m0PPFK50K0xxMc6gdeWhsm0MdzzbrNpxC8zxvB2rjogwHWerFRP8js0R
Ja7DM9A0U70NLVPvVlZgNcdZt4nZarLGMfzC6Od9NjFy2hRT1N9cQ2DpL1NeksqxUZe5ndneQ3DW
u7gcQZgQqt0+JQk7VAx+9UFPCE4VThbcw8yyPiDcpkfE+8E3OP5PyAfGcxL2kOIrfUoeESil+R5U
Wrwa2hnhRiDC/pCODZtCQ5tM9LKTODup212yOo3ilUHBSNL46F1ZouqQUWeNdEfoG/OjctpQ7c24
654CBuvQ70P7mwnuezMMoTyRdakTLZmoYwxW65yZQ36M0z4P1yTRVZs0Hb2HvJiITy1H+5gmDa45
RY55vsp0FcNybDtH27ox5Om1crz6wqtAZRi15WNYJ0SodQOOI0TDnyOT7E8tE/2u9nS+ZyVE89Po
0BkyUTWfBzxim9kqkAjWkUvUVFP9YLqpPulN5nQVAiVw16mW1v1qHlSzd6Y4WbDjGZgjo/gK2hKQ
8VJt7PtlejrUQpt8027tQ8di9JyoVOAUWj7RScQR0ep2ue3IkD5E0ZA+ahJxMqkILkSTeEy5b11G
0Vcv4nhZ1YaNoDVSg/rUxEIAB5gV3KNu6r/EQKX6AJ4lSnnuLEQDKpfFJYgxMBU98bQNmHxu9qZt
HosSePO6hUy/QlQgrXXactWx5IQC6AxOem3bMdzKKC+Pkd0SBEn4gflT5grFnYZABNSuEPHJsyfY
7GDd9RdHZvErd3YKdDGuOnK9PfC+ha3ZpwwH/s5zbI/1Q+OsDYnaf+2WSVisU7NfciKDWT/EQ1s8
k28nWgKP2+Q0Q0O1TlExiTdix5zRH23IJ/iZyJpsi/I4tKo+dQSO30fdNY+Wh6MmaHW29S7pfXM5
q9tctHwgHofuIm/u3mzG4V8R7tI3XbGOyrq6OLSzmxEAy9jUQ9J+lo0wSVFxWuetMzGErjolKIfs
0LKDQ9JUTPiiKL5mQZ2+lWCpLhRseP+DGon+qgZyd/am3v3w5hiEROy8MwetdhNxCixrLR5nUKO+
11TWs5Yw2YeQRXPpiQoWYyFb+YJfqC82VebFu4gIxY8i1BUeX479FbKX6uRFhreJOlimUEfMcW+S
f3t04I8fJozvDDlrZxcEeG56wbRXSwA9M9wcvk3mhEQvTi2HZAWZfrgTWOsVy1YXEbzuXsXUR6Zf
G/rwe4C+Gq0FZiAKo41exYJE4vaziHGfKsXj33epfQKp9GxNAZmcJJMacqjeGqSbu4EknXAlB5cT
KxlsfTdqbcnZlIXZU8xj8laP+riKA5RRsdIGaELCiGkGvWE89poNt78k6DLcFMxV3r22m75XhCjH
xGjGNKoK4nTD9UNzuZ/bClQ0sqBmDTdftmt+zfNqDHoocqRDZB9x7Sg+RG9g9GByfYI1Mo31HCEf
TaaCNxUxN3N/PPE3orWe6RLlLcQs9BzridTWrBnEobfwKxkJdm0OwxIWtJ3rz12aiH0CfsNPyrDZ
hiiC1hnD42dlHQI+8u3MOABksn1pc10/57qyNsyXwWt5er6SRZQfcsRlazmN4a2FmehrjnGVOcN9
ZMEBkwtdPQZ1GZ/TOTO2qRZr4OsM7ljimU0mJbJW0h+C0tz2uZdc0fI357DOEb5oZKDk+zwNu0sz
UyyuGtqZV5tEYuStXRkJ35wKzUFdoXev4HodwDCjFb7WnHXcYBPLRkjXic8mlHNrIX5D1tZIQsXu
5PF0Qgq9YkWPbqHsFqltOKGwHZBpHV1Mn++tYzgvJHBMZ4f1SQW8enDQ8Zb2I4cdXuacjdwHL7C+
FZNiIZtrgghDLyue5DyGlwpYPCdqV5o+Ygz3SIBP9IXyNyfVF1957afUm4dC5SGy77nwUNvLrtX3
FWyqLfy/Foh4VomCU3MyNL9vbaTHYWbWjID0nN9SF4YI1/oWxRCQN5voGaJrPzXNap8KcHoCGfGs
+RVBnA+zzPqPUjoIKGqEN5felevaclExtwi0Gd2T5vzgtk720aaYcdlTJ0mORjrSUbfAE7V9O4IC
sfK0IED2M4yYYPUiYig0VoYF4JRHeR8MpvcWMJcKVoMEmb1KJY/qOu/rtsQcAaTYr4oJZJ7Dbrdt
NSvcdY7unrxJqXGdmGH8UmrYOR5ZTjHEsCB1fbWNBT8Hx2IzbQOdhRL6flKt/QwhWvTQCYuWI8tK
2F5uZMxcehlcItOd7rwzamULuGPrLpqpNTj9CTNGrdznxWl0hfXGsWTfnZLrIE4C71QMU/c0sogj
iyqb39QcStS6ESEKHL9Jt27I8Z5XHEnz36gT/9GK4P/LEQkwZhN48L+akFzZHixph38akPzf/+5v
FjmGHWgmQE3oDDaYdbDI+Vva4TIfgcAEEonxHJqHf9gcOL9RsREB5S0gM8h9eAP+PiGxfzOY90Oy
ZCFh8yXlfzIhMZewxT/vmYgKEkgXPJhzTPX/ig4lBsPUB+QbhykWuI/kZyhJ0aRTza8Rt845znob
yGn+Ulap49sw+Xe1Pmafo2XLS+KSfji27i6xobmh47mxmos4jNyXEGCQnzUeUKN+AV9N0NVVag2P
A0tEREQCD1jVZ09tBMUn8eh23cj6QLayNlvnMrUMTV0bIQDQcLCcwWMPh8lhIrHR04AYiSR4GaPA
3SIVpP7J7XMuJudTxka2G1Jv05a4yVLXmy9ZPjNYVx2VK+5l1PstlaKrtqqlLTYTlyvExQiDPUr4
dc4CZTTkglcnYJeFZx1Ze36DP1klrFSVn/GVbabWvGN4PpVNRWB3T/hpaX7ZRjwetShIMOWn7rwz
o+Yp5rN9KOm0yBfRqh27xJdRj1aOps69zYfpdZU4JxM/cizSK/OeXa0hrS6q+iLsvqUDL/NdPHY/
KnOar8ErzRDKq5pOm1DFo0VUL+KLDiH35CNd32T4aOrcqqnKiq+OaGLfc3DwC8MfXQeKfPJMrP0h
qnKTAwcB+wCES7cMNCRzstem/pFBx4B3ux1faLLsg5D5purN0Y/TEgkg1odR1uE+L8PoCef5PRLD
98CeJBpsK9uOI9GySZlbDzbqrVXGfn81BTjL8O4TxddhDcb7ax9M3BrPIi/vIq2tiHrH6v0kj6Yn
PQtmWr22q3aY+sOH0blgsnghOAHGceIUN9Uw3oHQegl16yFKRh/HxluYTWznKzbvPcuuRHE9N+1B
I85En8M3FRIHgEx/sqeYX1V7bZruKy2eEO1U/oAnZ2/LKltPVOuYhTYW0w0d3/Gq9oS2DkbisCqz
vk6Dfk5tlBCEvxGR7tJQTIex1V+C/NVEvE3yE8yM0Vn+7ORQExPcZJX+QmoG/eE02LTI2DwInC5a
pvbK2NVcloVtfFpogE+z4X2hL7iIdF5Zen6UQX0TND1DkfhIxe/NHBkfAyJiHTRvvLGIuHvyHOBT
BKHzdSdprwUcgAck0PbNUDOGQFKcdwWcCWROdX8i6iXmLp1s55bVojqKoCXD2Gpchu51hAu/CE8k
L7iHwmj6AwGH2VtCIY5iqG/jc2RG+iFKwmY/ySZ8biVSJx7V9oCyavrgRoKRW6vyFjliOEhZZN/S
KZCof+nTMz1N12hBnFPklN4Jz7azNRyltp1hIMTW5vGSD1b+PHfx+OxWeX9M6IlfuE+Jax7QoK2a
yms+u2CQFMzRQOyDZ1/ISKjOLFDUIwY4cWV40x87siA+jCTrsXPglSHsg8orc9JDE3n2w9yU0e/C
GlkutCQ+/sSZn1MpI3S5IJCJL0nlqbMdZN0pC1zDQJEx6DfXHfW7EkN9JTHEOOdpGb0QNeVdGOc1
Zx4VeRaaoui0yo5pANIC9k+V3BmZmV1ZoYZ+1BHlm2SRXvybfafQuRr+4dR2AcuDcBMAroBgkGz1
V6RLmnayFO2MrDYMs2tlNeVwSNqhvdaL4rwPoDVXhiIy3MRVY6h09hX2CJQ6SDOtrn9xhlbbZmJC
MCGTxfDWGqVvI3zbksXVrhHeh1hweppemKL2zSn05NTp+VUGDpyc2ptvlWMUzEvc7DIRLINFNXqx
6bjRR3v2HqBqvsb+b6+iyX5umiha9b3KH5w+BBmmpj54rpQyNRJQJ/xXrZzrwo8KvvDKVKQErh38
CwAl4M6sW1qYcafnBCdtBvTDH5hp6phSMSw39mwULyRTuB8AZo9t1pENZbr3Xi4x1gyOJ+EsZR0G
504WfqxnsAhy4lnJsd9POf7Lvhf3auzOzGSfgka6IFEYAw3MPGAoj/iDg5jAtzhdEQE+r6VKprVB
rdbO1nAKmvIsY17/OJ4QzWJ/UkUMsbJvWFfaebmqlRP+iAZbYdtR1lZD307r6djXEs0MZwxB5zJK
k3s1O6Ff9WF+7WclF6s1jxLDY2o73dHPGLTleeqT9kxN7tEF69FLpIfmOYyd+pqiDriXhqPfohQw
2hq0X3fidz2eEbzHF6WjsEW1yvPuAmj7KcNisFboJ6LfAfoU67EJxm2zvCnT8s64y9tjLu9Rv7xR
WeviAglGcU2xQjxWdVyfLb3gfo7aAYUrVyXQ1BYYUs6onb0o9ovlDfaWd1lf3upApsUzOIjxAj8g
PFSDUNt6OQdgfHinaVbOqbLKdD3UxfIc1O4TOufsW7ycJvNyrszLCWMtZ429nDrdcv7My0kUL2eS
p1X6IXUNBiqhw5E1wot5I769PyRpvhC8VHjKuj5aD53jfiaZOZ2qQKuOjAHlLcqJCl1Iqv2JAsT5
QaRstBuZC2xZPjo3/m3toa9DxiglfLw4hsu2nvqJiQrxAqSStbNHhZIiymi3rpei3zdtmSjEd4BM
fRL0nHxthKKZYJSRo34tZOKycKptZibSa2ff9Ebb2+NUxTBbzG1YvdH6Nayu7bTqYE2JtNvT9w7h
2aRnJratja2GoYA79JihC+K1mjqGhKmzbrBoMqIp9L1prEPixmympzjrkF80FoEXvAZJuXPrTjwI
bTAvbjjaj6MmjW3miXbTgFC5t3Njp1jsg1zfkcmXZRuNISpKyKRkVZNWwfeFs8T63EPGuWrkHGmb
Ps+ogAYMCdlacmy+zxl5FvT+hcHZMiWJxyNm1Aas7c68pyi0agLHHmUw0QQnidro7VTRDBYsIVwd
hV/30g1nZwahFwY6Y0WvulgEO7G71gKU8AI3SRPT4Mke5WCAhJXcxNHPy0qthCXVinXIN4Atajsl
6odRiHrNJBx7+2TeArwdV0IQzTUOne+x/I612DtOJil1Dt0gSgquAVEyl0ukvpNR+Yhc456U0iPx
3r0ZAUTMKJfOOszR7TKLkqfOGdkDlAEs3FgcSa68YyLjzosNcdb+D3tnshs31mXrV0nU4I4uDbaH
JApVQDH6UBeSJVnyhAg1Zt/zsHv6+1G2My2ns/vlwX+B8iCRbsSIYJA8++y91rdY/1fqVD6mTaHM
3xGd7bEkYi7sDyznN5NWRp8ssw93jaQN3afFdIKaHAkH1t9bzVHHZaxV4ye3ABexIPylNBZN3aox
KLKIzeb/jsLzFrTZ9Vg+/9d/HJ+yiCc8aZnRY/v7/Zr5p3qxxTwFj1CKhT/+yS8aMfGOQTM7rN9N
wm3xDgYKIiESy1+Pwg31nU3YKPNutEtzYMtvGz3+Sjg2dZeAAcjzm9n2d6PvPxuFa7Pg6Bu3ObtP
agbG4C7vgqH89/s8GQo7U7N43Ii+rm4yGJJ3lQ0RxNF9uCc8/4Z7XO8PfqLVz9wx+cd+5k2ILgzl
ymz6YmV3Rb2yWYHuaq2jJ5yVwVJzovTJSgP54X8vxr9zMUL3hD+MvpC9Pf+jMxT7s/7D6fHpmLy6
Jn94gC9CDdSIOheTYCr0IsngUvtVwgi5R0U25+IbQRn/q1LDsN+pNuEZUGGA+nM5/iZhNHS6FzbC
D5XrFtkd1MF/cHk61uvrU9FnYSXK/Bd44Tc6VzNti0RLWmImeztbS9688GDJBO6CDQHiecPNcTUp
ubORRt1QVFj2vsBeAopHtPF5X050q3MHl//SHtL61lJ83OiuM96WceaaCzCCJLnWxHPQSusr94o9
fnNpJ6o5wIHMHFxq9oRH1CuDgCFX2Wlo9sDsoQqbWWcPndMp5a4rCvOs0S1jj/y+P3b+mD+UYQIW
szbjclNkOcs2yS6zBr1rhLrtRyE+1mNCdIVRuMO4GVEKsIqlaVftWA98ZVGNdDKXstTiao9IOboc
StsilGyqq2uL5e09jdABeprs4KWNtbjXxyQ7DIM2Kouh05MO7girLc7pKpzFWqF6XxEixoTcUNh5
uuwRroY86gqPNNruMbaUYe/GGb4xGQRXTIvyVeVE+nvdiuUHKhrrkJEJc2VnidgorelumadMm04d
kG8owvZPO0sYy7FgFmoEDIl0xr3OGgEjvMtAl+EjyHi+RyVtQneV6qLDopD000mpCONTTxHPtjuY
nhGAZ7S6g7K6n/TEvHDlGGsYKmMgbxme0RvbnH2tEjHfISxd9ZwiYug9xAwTsjxQKpskjSiG4qDr
b1AEKbfUkyGClt5Wb4AOAPx1RTUmqwiEzcERof6Ay6Xa1BN4Bk2HDeMNatAcslxASIEEktmrrKTH
ypSoPY3zkBTVykBkZzPFBZeWVW7tEfXafszMRKmXFl3t5yDzh2uLkO/ea8yWpo3TKs7CJgf9rChr
wp7Q96TpsnVNfZMQAOteWK7EbNyOcT4smJTQ+hgVosyR4WPxI1W7KsxVjCvUWCNMsJ8BvvnmMkwr
OHdlnJfTSkAs1BaKm2Hrb626/IgFP7xT9ZIxeoZD8CKDANQxwMzGhpORZv3Wym1JHenXg1xEZgYw
SHY0vxYYMHLaOtYYXllspjBbNSK4yxrD/xTFJWyMOtX958QX7daJK6k9olNlnsJEUeswKvukhvFa
LfmKtRFiEU7ZH0s3zH3PZwC5Y3raPEoRDtSPOAiXapTx+0ZvlFNNiYpk1UnpfjSLaYoPdL2F9MwB
QkXcj9kNxlLzCd9KdD8E5JR7teujw8gjQDSaisQ4VpXEhJaQ97sypETzwpiynBA/pGRL1JYpFXaR
MPPv3ECuR3dObA+n0Xl2u1qgu2xcbNl2atEJHFr7EvNDs+vYDWMnzuTwHmp28+DWVvMhBs1ybg7T
tKYV1xbLLBzIvihrt7ucpxgf+tqyvNrqi5Np0iosFjZUzMGJS+SSnd8R0uG2EdCucCZr41AFEVYw
TGFUV35gt5Sc5FpihSuQzjiBYva1O6yDA8ZO35gQKuVs2Bi1F6EXMlOibWmLFYqk7tGdiLXCwiNt
cvfGCSlAko5Xwp1C+lI+mdqr1BqHDThBawMtQd3ZZYJSTOdrvCeCe3rCvR4Ixpcq4h9wq2fSDoMz
FwkQzSRI71d9Vkbvu06hvk47oe3Unnwcs/Hrq8jpu4sm0KEL6aBCl0Eh87uiCO1VN/XhuvF94F1Y
xyMaUgHZ4kmforlyy4h8KJVdE53W+GMe9cVFnNbWqqmY9mKsGXbSr6cnCbbCIYspLDQIEIVhMx0f
+e4RDcNvMvugvEd6nmDxDvR+jzXRgDox2DV2erW94dvBEq6OgXbBXpfMXibO414BhtB45JIY6OYc
+Kd+pFCeq43Rl1yrcfGQIuC+bk3JRVipkij3oK/ij1phlndW1feuV1U1bDBdmij/SL/W8esQLpYD
agDusNFLtbxtYi1OrnSnIKi1HQ0eOnQoq6WhIJY+CeNR7bGlSG1a2VE7d7FLaA3EMfaGuatVWDOQ
2Mv6DJEKktw+d0cycAOyu+vKTh+GMAg/hUpdLMtGja4DFGIIdFKUawSaJDTeKz8OF2Bs7JU/arRb
g9yOtoiuJH3dohr2ZlfRfjRGP93LvhPTwurSDHhA0WJuj3WiY7SgoRns+MOhB6IEEHZUkk0HMWqn
0QKiQSRTc4Gz1BrWMJbiU6PWFGuhF62xVXGl4aK8qOVAxzWEk4jAG4nc6RjjWpJZhhBdrUw1WVQi
ix/sKslXWNVP+gHzjkebgZ8qeIeXZWE3H4zU6WHYUHGgv2ytWffDbg7aDRCXgIbXntvGKj5kRDcT
qts2W1s4m7YBJ+mNyO1Sp3bZkGXUDwkRJV6Yu+k+NHq6+1pcYzuOGt9SPR47Oc8hTOK1hiBquNQ1
tre4MKenlNWAhTpqr9M8dU7ILhnoDfvOwsyb9ir3ZffJZPHZ4PM39obLvKHuxUwTSLcT2oUtZKTm
xhgsA/SbBaONLTTEOAc6C9t0v1sUaecepKYZ6yTtJe0l2yn3+LezFbIWufVdDb20weyF2UgUD6fs
glsaG6T9uJ2fnKUWD/JVDEKGiOghKMYFowsF3YTQ4FyEnaJtmnh0Y5JGqmQ3RU1xhfEgBXnVG6eg
PhB6uJF5IkOJojwqZXMHR8RdNlbuPIK+xropcrO6MLPUucIIiYKzbQEPm6Xve/qg6E8Iw3R8X1p+
WcUuHSyQROaKEbi5Va22vFFzFTS65Osv3Cq8Q+Jlz5MeSNEeQe+qp9mxfZ4DmHrUoL0BSXT7AlNG
W35saxepf1u115WO6h18TnkQ7K3P8jpmrNAncXDeWA0IONSvm95SI7QxzJ9bai7d/phNBo25Ynbd
CnNukVgMrp/9sAovMl9hxiJLO1uksC0gzJStxgJaSHnfmaPNtoaek2IancoDwA/ubRVVK+bNbvio
CAx/4MnqyIvbeLgt3VhsQkh0FwzojL079Mkn3m99gCYwPriTxCE6lSMEpCFiAuB1tdNeM0DOKi9u
INssjSDCLci8Zrx0gFmsbVwMt5MpxNqu8uzoYldADt8kMxel8fvWI7o9x9deGcGGr6o/1YKAnEf6
S/VlVBs0YYpSJERHTSlPKr0Y2pSJTVhHeztWZLGR0Ar9XUnPIKBpM4h0DTZOO2/K0vyg231HOF+j
JuM6Iv6TOR6IW0B5eu2cRIHN1AzCU9Muux5wA0wnlaG91CscFf7Y1/d9G9XxkkQRtVhEU+qfRQws
6SG3gn6GlrvTokB9dsS4yKLWE6NzlXQ255+OokkoThZLFDVZemuaYXVVVilEnpr90FU8mu6y0zqU
aLpqn0S0hUAoSvU50ioH+guCJH3FuosUzdYlc/TEqa33I12oECAxJYHX102Yr4KIqKClprCFOcCi
7Px131nm1k71omByZJYOy1vuwAVgqZjp84hcAKRkQbAYMFJvBLKbqzTVy2o5ub0zeYWbmp/iTHEZ
hwLqunEtZTxGjqI+OU4qJbq9iZUchG8L/n1A9OxVsiLuLY3jcpU2bUhXPQ0+6UERXbUTBODRLbVo
TY0J2810otVkF/WlBI7NeK7mEZU3jliPVG3xkkx6HdQdCVyOKhPHE6Lxj25f6VdqTomxoup1lUWd
uVa6GkoxIMQOwOYw1Jyo0bBJuogs0KV0CIAVPx9WtW1wm5isy0uubIaaVawWRwMbtk7KC1Jov8NZ
y++GQ6GmjNfysuh1Ty1rH/5NTXicn1XhAQ2auTMSB0CjmuHrRMxlQ8rv9IoxqNEjpLc5ZHATRybv
SauN8rbsbadZVnh4PhVpxHjLSAlLZ1Iklii95FKJQZ/bkoTFuiavt8UXBEzKYNTqq1SA3hgg8A3y
tl3JSeVaLKPE8iw1KI9hqtQnyTChIB0gVW2JLHY/jSatxg1Jk/ZwRrS4Qi+64yhwyqxdYMMuYWkn
8XCD19zf0xusH8fUpWieGIxesXKXgWfokXvi+EVOO1nFwTSQSrRRlUbStIZDbrOGrIKaHAmhI2r1
8tiedmYcxp5Ck3LlFmhk5dhIiPatuQdVq95RB8zWaDcnoCUyFG6aFMBQ7094mxg/wv8JMDDHibwq
TEncUYYRlFimKq28vFKjS5Tx6UrDZx94luNaJ2qmU05Zib8CAfhAnepuVO7JVSHbZgWjN/iIDbp9
GIkqBHeAm4dUKT35GDSFfQnLoGGEYWbxvi+UdDMpGazYoB2uh8E/jGHLXE1Nw0srqrkv9TmlyRfW
sHeqrt+aZRqcoDJKOO8i2jth6oZwvCNrUySq/qGqJ8RfGOfFXKHjJghVNUKzZpplhs8rppqFgPZg
8YjZRpSl9NKHuDnr83SOizXYHNeEB3m6AvkR0fOU7goixyNPzaLimjG0s6aEEwfgMOZ7c0JEZotG
ORSg7VY9vPfRC2LRXVdKGWBVd3R9R2SLs7KHLrzm1sN0LghlXjik6PF4DAAsNLKDv5PmTLpyoDeM
SkNx6Exd1F7lOCOIXKEmZ5ZigFqLQiB0eKscQtfj+KJOq2BcWiqT4FCF8QEvd0QIL+P2/ain0Q2G
su7gKoH1yL2rHbSwdp+rJmzWtRv7mSf0MVQ8pTe1DzqQqLNUS+KdVYn4DL9nO9DWppeRtTyvIil1
BldOFu/SXIZLmWfZBsIjkiZXGXZ6KcolKNPhREn5sInNQRCW5RUla1CIlYUU90PNUhfyalW6hnzE
MdU2fe/rqXPdhhLL/ShLnZlm2It1lcQgJA19OCsKhdnoXLlYqMHC/FoDWbUWYEkPhal/stkMsiqD
emmWA2Lc09Ec7Nt5+Vx1SYLoMx3M/hayAS6+YKoKZy27on2CiTMu/i+b87T04U9uDRirXpvWw7BU
RYyLexpDJrgsKXKZurH6JUf5Z+ub/v8yd+F5IiHoz1qH188Il4JjfnzV0Rba15/80jPU6BnqYjb6
cjz9RaL0pWdoY4i2bFxktK81VE2/NQ01F0e0oAlumdZsvXJ+s3dp1ru5A47xC5mEMfu7/knTkCN+
19QWBGXwdKZNjlbKMF/igr5pHkYJlg8AtMG6UdsrwfN9mxGjuWBkLdeukvXPmEERJGOd3soig8Mz
pM0aIyh+0YnHkVvEubrqhAn9KdV667LBNrzWJj/ftTU00TBNBkbegTgznMCGvOIiHnd866nW/WLN
RjwG9oiv4IEZNYDjGDUN9qVZiyzoq9y2Zd6cVTBqakD8beSDM0VRaBN3t4v6npt6CCy2DuQnzQbP
vsbcYLJYWHn/SGRNvRpz58RJ+u5OwDpcWAU5OxCyRUTCxWibWySllA/KVCaEyRDD3QPmv6GbhX0m
R5A70WwcqCcV01HyRe4G2QV+cLNYMOormbZTyJxJ34nyzcDY4AYUTXcP6H2CSsb6RJZT7F/PI1w2
v8g4Rqb+AthLUuMMQ4sFSrUlNvmipaF5i1E5SlbM5dQTyFY5AIzxXBu1bhtpTf9YUBp8REGPDatJ
m+aiTQYlXPKQ7xZjqlm3vsr2pIXNec2GQZ0jgGhFCGItQXV3/WXnB/mqNoLgyRnxyC1oPc5vPDXW
GE03EDxzYHdOvS2kXpyqaYT+jK85fxCytHZNqFLndJGq8ybJG/ZUGlYE88TahZ7BMFogAyWiFoE8
EEIFum1gCXb1wsEmOGr1zkRjtkT+vmd/qq50qQOlDfrwSg6R4vW0ICmbARCeZoBpCaRgfk/FW7GU
jjZYcutSxr4nnFLZCIQuK8TT9pIH/7IbGopQVetQ32Ikwpwe3ZZN0S6nQalO4IKlV4rCliVzhuoC
FUhAh5ntntL2xkXoAlxLnTjYCpmp2MILf6crTUWaSqJ+rKZp2odm4B8K7B1nY8yFWhe9/dAmOTlS
BsEOSaGj3s3hllb9guK+YMAriUtNBqyACOZvAAb660A65jHS5HgSqTX4GqMu1gKtHVa85oOqwjIM
8WGBm0IWVXVo0zoM57lsc3MFfid6nw39th7iQ4kmQYbWXpRrNhWU6zk1uxycjPK4lLQo8estGIUQ
SlE2AR0OcNFnjZaJKzdBVLhl8YMmHSr+XWOrCOHbuCDane6Ps+EfRZiYB7pNHhuu8b1eqdWWObx1
rnL6GjK9W3aujhvtMtcoFS8rBMmlsWOeQ3U1tlpdkfA0ZtBwfbsnILqDTlD3GXL9cfCbBzXNgvmm
dNxrOwekHrfo1UGsqzUbGEuMB2Qy4aVZUbraJDwx/p+c4FAyf9eXACijq4GaAXPaGGYrugXdfUl3
9TyKzH4/qrl1ToZOVGOI6SaOlFYAqKV25eqVvXWmCqaoX1rdNfs2/UZmdr+FPcQuM40y+HB6UW91
EZsPXN/Rp1B0Bgm/FjskdH56eNQoANJFBQuAai207YvYrPLVONeJSCczA8ZsEVebPqgA8GMPCzel
TPILxCjGdUe44p5pgP4+oSN8WiuVzpukW34II6lBBRCVtlLxHpgbSZfpYupjDVFnAHOsj9pTctSy
x5hLmG/VN/Tbpmja0zRpjJVPd2PrGCIiWSp1zvM8Q++X1uO8kzN89UT4pbZ1KxQbltbFgJGSpOFD
4Vf0aiqPa8USIHJtkSpY5zX73E7a7BJWmHpl6gMOthKZS7gvkdCAgs9oIslyrB977CkLfMDNwlbL
uFrUVoUr0NnH1YgOg55g1bJd62pmHGTWRVlfNaskcqj9qHox7uZ0yepWwYBloVc3yDoJ3VbbDo6W
XYoYkL/FjbtqKEk3Nf/xUODl75vOGNnCRw08S/eii6PgDNyp85gYLh3/wE/Wml5M+6puifMVmb61
6Yc8JBNOyq6z0JvnfrvBt2efgP7lO9QDceq7tLBSGcsFz6L8BHNWzB7bkv3KzrIHrUmLVaopmEbN
XHyAxbAWjvwQCzwx3PrhTkuIPqr0kA1W0j2ZRfQcNzD1KZjHBThxNByFQulrVPtIgetuSctEEBhd
4KWxl5ikFSJ6c3s7koG3CxR/rwa1JbxCDOoKQ/R4N3N+4fXC27jUfeaPkNCUkumYvpzy9Hpi/7XO
rI4edQgJmrCKXUojZinq6CFWuj7dE6pk44NzJbjzAJ2fp8ppWLe+2V3Bp4rPBsZw0DvK9rzW9RNm
lh/lUNLozOBvNVhlmoENWUaUw7lT6KcwIyf44KGjgmOt8SvB8CxM2LQyPiHEgI10Q7YG2ANUf4TH
qPyvBIO8qYx4X4NBihcoW6txObFjMRlzt/A/o6Ivt12dHrMxzfYiFfLeSMuGPWg4oiEc226Thxpo
sNyAzFxRw25QMNGzqAnhRRwzEG+G8TZb6xngtmbEyzpJxXgG7NxFK5Z4K1mZZA5SzChBStaWjOb8
h4Z1INKbAtCV3qAgndJYPOYFditbtP1FlIRU6rQrl3bPIuYyTsN3pFOtOxd8LOyOwOLiazAglbEg
voeWG0KW4db3wyeXy/1+sgSw9fbMCh25TpoqPvJArK5o50QeNPSMcOIBo0KOMAYCfKBfxl003Ssw
0FYBZt89LmpsDdgPiJbv23FhuHWPbiexHho84WwyqW4CSFIrkg6Fl2WKjZ28rG8Ku8u3gUjpjdhw
NZgiHsrYD25nZ/Mmm3OaiBBO7/rOLNcYf4kkdtKcOJW0RfdFm9yiwVbWtHEwTqueRVjAgTWg38g0
6c6ZP097nYLsNprwRA8Ns89Kd4KlUVXqDsBdy4JkW2AE80JfYHtiaoX7kmlFOz3qlaVuMXIQdW1N
/rphDA3WVANMHVobAgtuMJlhtrBAi1vkK5VI2XUSJG0V44kD3g/icYaArq/RnKIatgouRfbHK10V
ZNyjdMzaPluaQlmy67tUjMrYFwWOpqQcyd3N/OJo8TxbNMR1LKwmQ0Xk5Oq6BL/OCsPeL64d51JM
ysyBq/p1Vjb+Wd5rmM5o4q5L4mywLL2kUOjnQSdPAN1+0rQG8yVwEZXxI9X+k0xpDUwWvRedUuvc
TQpznTP8OGmnINwQK+apDV5Nz6217rqlEXkzmmi8hmjo1r2G7TwIa4yHbPbUUBC12w25BxSEUCyG
xXh2SneNS3IIF4Yx3PNDJC7CDntAmwdnOVbjtRkG+alaJsYHzreDg0nIPFmUZQRnK0zMlRWoQO4j
M0QRbduXZcdazk5dBTgOyxalHep3OiaXMJscnF95ctqFkBxxISTWgTuUYOmyDOtT9iHZJTkv1vOk
DsGCaW1+AVdMO7ekLvayTq1nFzLlmUBYjUIgjN4bdVWdWGQ39F5c5RGC06w947GZ7qop6ZdNZT8G
NAq2dh6ny8CM5Xlras69adKUymn8QZhgoacuMuLyrByrjMo/MqJdkSGuZ55Xjjw9GA4G05CvEYfJ
rVvbYqdY9njlw/yfQB3IfRHZBJeCxd0bQzLe9kaTXwxZeFcwij+QoJ3c96pTbQ2bNidTfwA61OCE
/FXoD4W2yuqB8IxQIyzFjlnpyCKGd2NoqxxBx1K6IiL/MbE+qGxlOM1OdkG7clxSPxZ3IXzpmXSX
7DXkoh4IFvPU0drS9qZA4jAmyDm8xPSs4J8SkvnmNDz6WNTRvbHu+Y7OK49Nt25s1vHBtoOTwq5u
RNsFHxzFp8rMhLqUFER1HeymINlkbkskeoarpCu6AyvqgCyDknepMnz1ElVZqgxyYRmQBuSU/WPE
+AhSW5nt4xrkcRd33c6wNG1vk+i0gu6uLocs8bc9wGBXnc3aVRrv7PSp71T3KYDDuYsLDkUJq3pq
n9L1U8LxhHlnAOQgShNSSwpl42c9fE5i49b51HP6zN68UKAhbaYwqQ+9xFeHsL18ULlgzmWiocHW
0e9FsANg5jSUE5VLC9Me27MM8/NiCKLxve8TgNKocXoEpDDxUUrwfUidH9mM6bvOqjWSHxXTgzFY
3SjK1NM4nzClVrmh3ed2oXzMbFfSN1bLrTWMzGEiNyUsHaYnmx6mTYcapOTCZ7LXOEmBDpu0lLVT
jiMAjp7ER3ZyXbQoG74vy3aTuzEfeq6sXmwKJe/h2cszAxukqObYWDjsQgoSPiLnE6w/D43k6ZCD
P/RRqA5djskEPSXlqbpPBKrIzM6eq37YIuC5dqTDYbQuOkQsiV6CYnXbOHawHs262nVG0e4SPiXw
0KI7Tp1Wr1z05bcKBsjTYiz8R4WaCReJJF8K15C74esxV27W2Wf0AstT0ZrZPaBESW1kWbtCpaSV
hqKwCo6DskKIH6lbd7KGGj6LMpxWec4jvooyd6ODtcXaXVT4XQdaUT4BmI8qkQum5zcWnsPUtz+6
AtkLXVwnuS0pkValO7rnbT+ld3Aro834giXWjeEoMJqydiS5dkjliInQzKfLQFG6PRFFw6XSNEyh
oaV3hAXa+soniHg30am4cjPsDcHoRxtR9+UdU39gs4wRdvZoMhRM+voMwIDKbLotxUoCXVnq2FUv
W8YsChVLVz9jc+mulRz1i9d0ZnMmLJp8/TxM95JRd5BwG9UGqMynKMndvRkSCeyN6GgZUoM871Mj
uuXBgYNQbWgmloolzwZ70ve1r+trZRyzO7xKVK4MEA45t7sX0qw+92vyO8iPweQzNdO4LEK8op6Z
6c0hsdvyguI6Lj2DGeW2jnUeNRWL6FVQVDXestBKd6XInA1psfX7uKSGRUsN+gDNhLl02cWc6oEW
LKo0b26EOqt0DNtejE0S3JqxE21Ah4DZdKcu3vW50D2r6ad9Rnm2r6qpvwOT3l27VKGXM35yXU6x
cZvpQ7R3Oy1+CGzJWuT307k1Wchxk1INyMCKtbO86Sov1HLctnFq7dSyQ2kxQdsuFkQeWsfOJHnQ
cxNDPcLaTiqaB9PwAfe/Ta8ldhsaD61JTBTZVfJEoWXJuNJht1v5yrQe7aQ8Yx0v78PBL2+ZhVmr
qTTZGDgI/UdHLy6AJTk3wk5sLL5QxDTZWUTK69m5VY2UWHHbAPLGD9fdaXaLF0+NwwvfHPRN3WgT
gVp9Iu4nDWWZ1SA1a0snPVESi6ozIlDAU6RZrWzkAocYtQ9frXMsezogYaxsJppWa3VkD87n0Bg4
EpCKO1bAPh29pFeSBrA1vQcN48xWa11tCZ08uzFStdoX8Ay6FZAz8aCY7C8GJC7I0BNBBI+tVFlL
z6oEXRbBIOBTU94qYngf+XF6FpkWb1YfcoQcJt62l4bmz+7s/iHca36hx4I9IqtZi9b2ywsvj+3x
1W9WL8rOS/lcj1fPjUzbP//bX1W784EORZS318XvDvG3/tFXveWPD/TL8zeK00ekOO38/gJAgq9a
vrN16BUD7OUtvXyaPztCekRbLZ9QVusIQenzCo2wxZdfKDtxjgRf/tp236FlNRzVhJI+//qsaP3m
ZP7ROfjzj/f1VH+Ggf2NU/DHCnCha9/LbP/gJHx3jN9Ogmai8FZNaK2ovOdfGLa+PQni3dwRhwb5
5SR9Pun/TifhxbZsgrH8OxfDH54H3Xkn2NyjfwBu+oPzYL/TNKTCtKI+Xyuf7dX/RudBt/HVvfUk
iHcvtDmhfbkYsHx/ezEY7wDWzx7uLyeBqQYn/d/oJLBb0b83vv/jO2KOedXVedzzwyuBO0Jlx69z
Jl5+/dudBMQ26luvBDwcjkmD2Z7xzd9eAtacm2vaKOc/f3qemf9elwDAbfPzm/ruAfv7leGPHwYz
xcCwhKZ9vgK+eyg66jsGgPPa8c8fin/jZvl1CV2EmFBeVtjouflmmf7Lf/B1Afr9Ab6sjLun//oP
1Hq/zjBf/uHsN/p86N8W4P9+dY5ebvVv/vLrrf/tj3/5gL9/6R++qa9/uI2e62P9COT4Ze3/8jbP
jxnr9P/kTyHU6x+lOsNM/loT/NAt9euS8KfHb5pj9vUw85mZLR1ff/+vH5btwLH+epj5sIarczP9
dvp+5+36W+92e6zH76ffhjWPqt985Cj74/xsUzVYYt/6Evtjlslf/s8xK//zl5NjE2bRqzNEmeHy
5Hrrq5wc65wSNflOIvBSLL352Fyn6XcHJo7j7W/69Jg04fGpf34uvx7s5S6d3Utf/+BfvxjPjk/h
+ON7aHZHvf0FLp4i3v7X47zcRSaOwa9/8K+/84N8ko/hc12PX4/1cnBhzPkob/02DzKPjw9fj/P5
wC+L51sPfHWMjygjj6+2LF9KtLce+32UJNGrB5ahOtZP+A6vj1mU/nJ+fJLfnhFIP4Ia563v+qZt
CSz4wUP8y4L91uN/eG7aX7xnpEHp1zc7f5+4BrWf8O7PjjzMeWC19atr/Eu9+db3vpExR3/l7rW5
DHXjJ6wXm+LVO56PK/Sf8ChnVT5mx/xzGEX0WDzw7e6aGSrVfHv+2Ttq2rwxees5+h+Aj3+8PKGg
1bCBvv1lzqKpqF+XAxxatXX3J6yw11At5esr6MvBf8Ld+4+yQb7psLyq8L7ZQP5ZyfQX/LA3Hv1s
BkXK15XBZzjZTzhNZ89ByAo+vror+BZmZtpPKCaXz2kYfb0M5wfQ50PP/Ym33gHLX+83pLJfD/fN
S/yE9fAveQFv/GbJYTu2bdT8jkjwBc7/E77fl3UGczkPolfn6Msr/IRHxF/GC7zxJP2lwvWNx/+7
5vs3vsyPn0e/sG788odXsk3NCGuCm5EuAztwbaY9/Pl986P95q89qd/vQr92X3/0Y6+32PO/eEyf
j/V//z8AAAD//w==</cx:binary>
              </cx:geoCache>
            </cx:geography>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00000000-E83C-4344-8F46-4AB0E4C56618}">
          <cx:tx>
            <cx:txData>
              <cx:f>_xlchart.v1.8</cx:f>
              <cx:v>Sum of TotalAmount</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solidFill>
              <a:schemeClr val="accent1"/>
            </a:solidFill>
          </cx:spPr>
        </cx:plotSurface>
        <cx:series layoutId="regionMap" uniqueId="{00000000-CA75-4B79-A594-F233D1DEDD17}">
          <cx:tx>
            <cx:txData>
              <cx:f>_xlchart.v5.12</cx:f>
              <cx:v>Sum of TotalAmount</cx:v>
            </cx:txData>
          </cx:tx>
          <cx:spPr>
            <a:effectLst>
              <a:outerShdw blurRad="50800" dist="50800" dir="5400000" algn="ctr" rotWithShape="0">
                <a:schemeClr val="accent1">
                  <a:lumMod val="60000"/>
                  <a:lumOff val="40000"/>
                </a:schemeClr>
              </a:outerShdw>
            </a:effectLst>
          </cx:spPr>
          <cx:dataLabels>
            <cx:visibility seriesName="0" categoryName="0" value="1"/>
          </cx:dataLabels>
          <cx:dataId val="0"/>
          <cx:layoutPr>
            <cx:geography cultureLanguage="en-US" cultureRegion="IN" attribution="Powered by Bing">
              <cx:geoCache provider="{E9337A44-BEBE-4D9F-B70C-5C5E7DAFC167}">
                <cx:binary>1H1pb9040u5faeTzVZo7qcH0AFfSOfKWxEmc9YvgdhztGylq+/W3TpLO+DBeZvQOLt4xgjZ8FrJU
VU9VsRb232/mv91Ut9f6t7muGvO3m/mPZ9kwdH/7/Xdzk93W1+Z5nd/o1rRfh+c3bf17+/VrfnP7
+xd9PeVN+jtBmP1+k13r4XZ+9o+/w2rpbXvR3lwPedu8trd6eXNrbDWYR967963frr/UeRPlZtD5
zYD/eBbdVln+7LfbZsiH5Wrpbv94dvSRZ7/97i70y6a/VUDXYL/Ad4l6LhilPhICffvBz36r2ib9
8baUzzHmTCqO/W8/4q+tX17X8PUnqflGy/WXL/rWGHiWb79/fu2IcHj14tlvN61thgO3UmDcH89O
my/59bPfctOG398I2wPVpy+/Pebvx3z+x9+dF+DBnVfuiMLl0lNv/SKJS9sU13/+xY//uSgoeq4Y
Ub5k5FgG/Dk7yID69LsM1F97fpfB03TcL4S/vudI4TL4r5LC+bVurofrErTkP4UJzJ5LjBhhjNyL
CfEcC+ljDrD59kP/2vq7PP4liu4XyZ2vOlI5/7//VVJ5cQ228Npkg/5PysV/zjhBinL/Ibkg5VPC
vovF58dy+Rdpul8yR192ZPPi5L9KNm+ui2szZNfNX+z5n5suIp5zxbgQ+AdiHAtGwbL54GP8H17E
kcy/RNH9crnzVUcqb87+V0vlfkd314QdfeLfdevkOeVECfzDRPngM+66df85FZQqxOh3JMm/dOG7
Cfvhdh+m5n5h/PjaEeH/u334u2GAmO9SX3+5NdlfPPiP4MEnlAuMv7MX4SP2K/QcsHIQ0P0e5F+m
6n4xOF93cPHu8v8vLh6OwH7GpRE48N23gPZOEPb4u9+eHGJs56uPxQDftfn0yx/PsPQFAOJnoHxY
5Mc3v+v/xXVpsusv0+1t95dS3PneLZjPP55J9hwTCjZNCooPPok9+226/fYOeY4QRgIxxUHCisE7
TauHDHbGzyXi4J+oZFT5ggEZprWHt9RzAvpC4B2fSMIE8n8eJC7baknb5idHfvz9W2PryzZvBvPH
Mwoa1n3/2IFScYgVJZYSYSGIQtiHIKW7uX4DhxX4NP4/vJ2STNOGRWKqz/zaxP6kqou01p8Hk08B
kygqxdQEhbZxolIbconeZ4lAF60ZP9Kp+GQ7/VLodYnnbLQnQz9cFmkjQ3iKPGqtl0d9Z1ioefVx
UKYKkF9+nHgb+eNyRn1BgsaKLpw6LyRT8eqONO55Ojh1uA+nKMUcUUUlVsx5uAJV2bAuLYvmuogw
t/sy+dro7hIJGf57OzGQJBcK+xj+MeaDobzLxtTTWI51zSKD2yBPm7BovItlaCPcpdHjW1H/6Kkk
E0xIhg+/KIdfBLzk3b0WkU+1N/Ve1IjxRia9DGXdfBiWRgfax6fJ2KZhJcYyQr3oIjlaEyLBxkCm
fRYneBpOVtvFLJef4FNXTVO/8DhZI871x9Sbzlshr0kWMd6JiIv2Tz3XS9jRbA3mpr9YWKqDhufT
PqHorKbWnFKTmXAYy3nHUD5FWbJci3H91Pf5Z9rLOqhKxJ9gNz5I7p9q+40HyueIEyG44Jgc1PqO
2iZcZuNCPT9qlYqzoglwPfdhlw37rk1iv/3Y1eLaU2NIsiqY8yQP2Fh/qbzs9nFhfNvomBCJMSVU
IjgJKIUdQpZsntM65dmuGmwe4L5fwtGTH1VqdDTj6qay5TkrliCvqnNt16uWL6/HpJAx7bwqqH3y
mlr9tpjzaOZ9zFJ5vRbp53rB+7Xib54gFjlck0IoMEKMCCQlBxNyzLWmUMorhznbIbQWIR/aM4mm
Kzait70nXnRDfmVse1r44mSdRZz36L2XzTqwjAbZnEV6LaIRr4EcMA3XKgszIa6mTjM4Kv40ovfA
9hfpAp0+VxCXMIASB0t3TCdPeynyXHrRmFdvO1X0+6mup6Cf5lcTt+cmMTioiwkFTAwsKPX6eezX
t0utd9akTxBz4MldATu0qANP72gaEh2uKlklUdJkwdyhoPRxgBIaMEVi8+R232ySu98hx8IYSEpC
wuh4P0mTUq2V9CM6rHVg064N1KAjW0+gFewtTiuyV0vdRmPrZWFfy/xSZMspQ9lnuVAaFEVidulU
V0HjNx8Ty8PU+Pu6MFdrXpXnJBNVaBN/3ic8f+3XyEZD4QceXS/UYNhJIZI56HDTh3okwUJavJtS
e658vwi9htc7xvqLqvfSfbJUOuh8Y04GhZZdy/s14HVbBESndDfQFQKMx7Ti2JhLdhCEIIcEFBZY
MvB7R4JYKKpMO4Ag1pXtVpbui+7lXKiorF88vhH5FSYSCQpOUTHYiHLHbfBV9KRJANO0kOf5WN42
HJcg786Eq09t5JvsQzFPb1m/ng52eUMX8ilRtQlGk3zWiQobbr6kcg0aVJ7oilwNg34xt1X8OJ3s
V9U8phPihyPVTHyZkq4vd8kqLhY87U0pixAV9ccEHHQg0ThGWTfmQeZlJqjm5oWeuyVUXf8xXesm
bKfVeymY8Xbz3NMTWuTjC210HRVkKk94o5I47QU7W4Uu39uJtWHXDy/HdhoD1lkTdMM4Bx7pGKga
bCzQuETZulRB0jMSeNMyBF6f17uWDDZuWPthHorrJOsI4GhaPi/cvierEtEKkcPXuhurcE5SvU9s
n543ol33ZVa9f5xnvyoRRDucHeJpDP/lDprLwYdwgzZ+lPLk5dCWYATHMKcyTjqyf3wrfN9eEHNI
COApZOaw46fnAvXW0NaPRrLSM2vXD2ve0fNOL+n7bMIsqPo+EM3ywqRfU5lPYUtNFxAfHOw0tDpa
FyxAKFxfYn95grjD3sdWRlLKAbU+gAriXEfFq2LENVdlEhV1dbake8m987V/9wQH3EhFCqmQD0ZM
wh6YSIcDmpSpHUWV7gqcBWqW88nC8zJK+BCvedZGi7FvprTrrquevyum5TU3dFegloWSNXbXr3UX
9DpvdtLMl0rz7KLyhjLQiWRPBBT3USoUA6cIakEg/XAMpaGgSTXzPImUaMGq5PV+LOqAZ10WpAhV
gcjkHqHkXJHhCf8CkfyxJCBpToQSQnLwytw1NqOqh7VN2ySqO/k+mSSYGB3WfhvRhrwZFxvmdf/E
lvi+PSEHQwTzwcNS7sjFrxfEZMn9yO+TuCYeDkjezWcdJJcjkkNoX9ubrBzf9Rm7LnJxTVaShYn3
JxQf0jDz2valmpuvhaSnuJVhXlw9rjfsFwOsCATTPgS4UgoFkfuxNGavxy0igxcZZaO80HHCk31S
AFzWKROBLtfqnIESTTP5WvDszK7is2n1vB9E8kn3axcUgr0h0/i1yLJ9PaN9OrZ94JX55STKuMsm
cFVtHvhdeyPA3+6kTfdj6vmnLby9dmw6K0raB/VsomW2/b7k5nap0ZVd2Cds0sgszX7U5Z6lybQb
qS6fkJA8PpaBs1NEwLFFQpAL2PHd+LbJ8wFOG5mMzCivSM1fr6o9kc3oBV03V2HlD3pnePaim9Mq
xAm80vIm0EtldkNq3gx6esN0Ac7AIyrMSxbORIODlyhQNfooe5FGtW+mAFN9kZphCPwFjHc/pXs9
CRzIuryQKZuiPEmuFW+bQKTq7Uj9T5jkL3BKo7Iip7oAb1AsTTQhoYPVrl+yYuwiS/qX2ubRCIRi
VL+qqvliLoqLsip5MPf8ehyGyKM0DYpmiodBvGi9Mu7hDLKb/VIGuBHrnjWU7Gba71oP4QBNOA2G
eo4WXM77jJmQzsIL4K0zwrubSaev2uqjXP1dPtw+roy/OFlFIVwGaMLRDlFITx7rohVN0sieQjxG
wn494fJkbE96GuD2R6T5I7HxI+79fji/absFsJL9KPT9/PMfV20N/76Vo/754qFO+M+/4tv2kH0w
7ocO+/z8FGzzY99D0uLoj18yKA/kSL5XIh948yiBcpTIO0qEHCL7nzHeL+mTo/Tht8TJ4fPf0ya+
hGoWBt/JKQPbCG7qr7SJUM+xD3VGBQkSpAg6pDR+pE2ofA4HG8F9EJgP/u2Qa/mRNhHPJSRaIMsi
CRyehe+Tfydtcois/uk+PYIZQJTzQ+ngbsRlkjlpyxzORxmOfP7KjJBc/vn8PzTgbjrmoXUPr985
ZPgkH4WpZrkbeFZlwbouy4eMiPl7ffN7efPfWN7x9oX0ymWaG7nLdK/1m0msKL1K57X9+jj5xxHP
P9lCHPLrtVS2TMTOJ9ysrztc+yjIIHTBAWKoJgGj/ZA8EcI8xCvngGRA9sWUNmI3G0j7BApRCJja
RajPjz/MMfD/+TBOiCj9HnWFv4idxR17gfHE6rcTKhCE2Gpo5tiTEA8H9dJ3bx7f8IEHUo6F6RTq
RnnYcKx8OZ+1mU1syIzN8t3jGxwWukdrleNOVb5OaLCU76bSyOlMLDQhYVcakl3wMivIC2xLW4a9
6ZtFBqhiuN+jJhv1yeP742O//pOl6sDqO+rdydqAB134zqbp2Idw8o8lxV878LFTGfTpNMJJd5He
RTuluNxZ0raqCbxUkRp6ATYATB009w4FVbrUY8UnYAGEHiHV7VfJp/yJ53tIgI5VaAGpk1oGvlsW
Iz+idmmDZLRPJTMfWv3w+l3SFURghmq+K2me3yLoPblovLy0T0TADy3v2IbWm3jXZ5xDAkuO7/HU
s2BOVrnN8ijHMuhqKrqO9Hw3tN667tDsjToSXQth4zbBOtaAzClWS1WANWiZLcJFiJkFfQ9Qih7f
4AHbdigI3GV/7Y8TL2wq47oyffJG1nVv39N+9dHZ4GW+fA0peSpOH9/sIWE4tocUi9e0pvPipl2k
uDQ5lM7f18Pgfd20vptYMwpZNM1cxWuL692SMk9DdrQ0+glpHDT+HksjHWb5bckqS5Ykbj211vtJ
427cVdMCpYA+z5i/cRvHnlDWJgoqBhKCR0uGE8gVNGi3Nriad10+TPM2XEvHaPTt2Cd0rlXckXK9
KvWSvWqk8K8el8VDvHKsxlTOCk8Q48TEm/NdZbSkFylb2v5DCSfz+QlWPaBR8vD6HeuRqbQrlexU
rCu2nHr1il75KdbVEweWh5anx8u3Sb4gYI6IrezJHKBiZp/E2na7x3n00PKO+bCjbCHDIEQ8ViCB
oUoh/2g92W2k3jEeNqfNUi2FipkZS5DBomYvMGjJ140bOHgufY/3/gzc93HdN6cd5s2004Vcp8tN
DDpEyXfFK8lCDfYgWQ85yfy9VMZcznnaL9voFw7Q5KKhJRBxGXeUDfnJsNLZD7KyntA2iAkHYnO+
9GIgWsalSTt2amoyqqCwTD/lmw+W5x6LJByULWmRonoCEffJ0umoSCHlcFl76yjO0iGpy92ckqX5
WNWKfrZNOjVPWPKHYh7hAK+a00S26wSmsFJVd5Z5JpEQ2Zc+hHVqmAo2BM1QrJB9zERX78t5TWUk
2ETbtyMahN3IYAegSyI8qUoP0jzSsxHNJxkrWdEn9ONbmes+9pJj/ePjMOc96f2YolW3uxUn47Dj
ybpWJx3Un5ZXqanbr53HpvqErarhL2dKSfOCSKWKj6oknD9BygOmQjhYVk3Bu3bKWdzJxNBQrP5t
N89Tv82OCgfJlaYCLzPU7bTXTXE6YFYFKVXpl0045g6OLdZCFUXK4rSb1ScO3u2lQV69zYzyAzju
OIGepk3hedKPeQUnmdBiVa+BzfVintCyB1DGHTth8n7hZNYqHpYpIaeKaY3+nDsMiMtIhtqgyW1X
B2QVXXrT1ash28TCHftBp6YCJdIiFiqpbdD1xNTBYpm30YK7qdKVrWVvhZY723O8E8uYRqtovWib
2B0jIRIfNUU/r7GxKeTEG1kEQnfFEzboAUi4qWWBUeZBCm2NC5LXIRlwESVLSzYqlQN9OPW0Cuft
GhM4NwYowx+alD0VSD5EuoNmLLqGzVW6xqlchhd2aRC45z7DxUa9ceCcFXboqF7W2Etq/5SMM1Ql
qGLxJrEyB820G3k3lLD6kBAWTlSawNQ430b7oTfoLppVA0WzUYJYvQHS8iW1YyBK+VQR/gHOfys6
3rEVBfI0mhKzxj3Oq73xmzQcOVv3j3Pm4Hbv8RfMweuhqrqu2JviyeO3cOwsxz0byq6Jh0mKbZ6A
OS6fjnJsijKZYgrAfeMPbbHDrC2f6C16iD+H1+/wZ2ggFJpWMcUtNLqeQv7eRpAC32hu3I4lPNRV
otbCxqmp2Hle1RJS/NVG0h3EgqNOyhLTIe7bIsHQkkVMKLO5zKLHhfsQaxzQ8iQ1pbdCmqdr8vms
HNLhwibJk2XvB1THgSzkR70R22LYa5tO5i2dkKpeca1Etk1vvvVd3ZFsifOxT0cyQ0ho17Ds+KfF
hzrPJt5QB7S88EqmVDLu+irDATWWBL3v242kO/6XdgUjSaFG4Lz3SROI7xp/TraJlTqYLbtVe54R
P0hnpCcBH8VW0l20cpVYleFx50+QNCaH1c12xjhoLdHYJZWB1efCz0KrShtAI2Sxke302BZkjCuo
UyJYnZHbPmfVPs3TjZkt6qC1hAk0laewuL/aOoaOIA0nLzFviw2+9YXeUfZ5oDKplnLc8SGZghlD
sw/ukmGbi6IOVmvo8WhaiuyuGdcmmLL81hYr3sZ14nhXs+qha7PJ7uoyY4Fg/JM3GrJxcQenKOGa
Lpk37GSPmsjM+bWxq9m4uAPT3vhzAZGw3RXCzwJR5FVgNZEbV3dwKmnhpbnnA+m+xS8MlEcuE5lW
20pUbtfpbBlpGKwcrxjmH4O1UYJH3uAps01niANV0s9+bbt0jBdWQyurRzsedxMZbjYZYOJgFecJ
0e1cg2dNTHXmFwZHpiyWbcEwIceWwOqkoyk0NMWDTz/jgrw2jL7eRrjjVWezFPWyeEOcZ95LMI+f
FiI3pu++dcLdsQJ+ntcSN3KIiylTkc34VVsm7TaBYgenTWk87StrYy8f8rAq5IUkPdqm7G6LCJSF
p87Myts11fwlX/AHwuvzTQzHDkpVPqUe+OslhmXNEKzEQM/JYmi6zfR+6xu7w/Qx5TYrmR5i6M5C
H9kAdiAw+Yq3RRpu25ntK4KqpLVx3eo1amf5Z5Z3yUa2OyBNVN7LMYdZAL7oJazrDkgvn6q8Hha5
53BwaAa4G1r7jWB559VDDEMS/gtlUvyi8pLuwzaxOhAlAxk0NDCBOmZJFtB6+ihVvlGkDkZX1vpF
kpU21nyE1hA1f6p6dbmNbseXsonNU05hba8wV8wuLzgzT3S8PsBwt6UWZj+SdKDpsEOJ54VekVzk
K9qYH0COJ8W46+TqEW8HIyyv6kV+UtCetM20IAeiXgZxum6BJ1XWvIbuuX1SZ9ssOXK8KIPOVDpD
Tn3XruOJngg0mm3zoMiJdLuFD6Lt4Gwn6vRCtXPc6GRbmRU5sMwraOq3Foju6nfraMNCvt+kfMiB
ZOUXultLECLLSpgE8V+rVWyzU8jBo+1hYmSZxBAvpsBX6zKQuLDURNsIdxBJm2RuitwfYuNBKwFp
yhM/8T9uW9tBZFnlhsNkuLfjOUS3HhLXzKfbHNsv/Wag2H1fIXDJWS7mgBvmRTDCNW4CDjvMe941
sQraCQfGR2/Xi7e6jRRksbfw5JcBqCzNetZnyxBbBc0c06GTGffiatviDiYnqL8vSwNzDTjrTqYK
avs9LYZNmgLzJscs0dai0qtgcVXxS2q7m5wteiNXHFz6jC+oV77Z6Zpeclh7tuPWtR1o4imHFu8Z
Q9oYxg8vrEqLs57NYiNXHHRmho0VxLOgKDAOEayoeFeJbFOAxXwHm7Nv2VT6gPyZLgP0qLJEtNB3
vOJ8k2lhvgPQbqpZArWaIU5Zd+1N4wcoPrzbpIpus9ZIKdKCAl+sTXnU2zIPqCJyUxwBCSFHF7NR
Qj56BsLn+dK26Gwe+40IdZuwilpC03dGTaxK+qKChsOdkvKpoYeDQv8aujG3v8qmGnou7TjEqKte
M68KC51tClJgVtbhCfeaJaUwmUoIJ+FUYx1iVnzdJk4HoAtUFAx04BtoMBCfUjOf5ZK/3ba0g89Z
D9BZTjwdL7iagqqV/b6pi22dETBrdsyVlk+NP0L7TgwlpDVq1valpGZb2Z8pB6C2I6bM8KTjFtpf
qsBY7Z17I1rebOOMA8/Jo2AVmQWJjssXAxHcbNSfm5Z2G5wGcDxZJ1oTlyJ9M3fdKaqfGg97QMXd
3qYxUaUoKqbjdeyz3TilJPKq5mYb3U5Am68sMXouYfw668KSLS9r9VTYecDJPdB0u5gmD/LBYyd1
nNUjt4GWongBg8FzMBXELuE2+h2Q8rKZm7LlOq5y+rnK2AevK6+2Le1AdIaOx0rIRAP+R3MyGo0D
PLJtpToYcDnGUUoynmtKgHCGP9Sj1wTM695vo9zBaDb3XalRZmJOcjbtVgrjI0GjqqyMtm3g4JRl
aaqsqkAlZ+91XpOrvN92Focx/2O+VDnv4cAMSyeL/3pA+auEik1lKOb2LFVqSep+XHRMk5rEniLD
a5xO+aZOX+b2axI5Ij7moIkJWpdg0X1M2caGMZjDP+ZKPSfeMJtMx80Ik8BolHsYmdmWHYaph+PF
B82sZT6wHMzj+biQ84rP2zDkdkH5U1rZok91LJO0CeS6nPs631Y3g3sJjun2QUvQTEod43a8pLi/
0GjYSLeDTp1DdUJMXh8boT7kWL+uyn7TIQ6uUTimOplZXaYdzJYJ4EzgQxN60C+12mYP3W6kgRa9
V7R+D3WbDEapSfnaev62ENRtRUIIzlkNR32c5rQuggkSFTuLPLGNMW4rUlH40JVWLIAbf6lDZYV4
U+Vo3SZRtxVpLLhIoNeuj2HMkYTYsJfgSbdVz5nbhmS9RrV8bkFdWp+hEmztAhe4BMofy005HKjw
H2sNtOciP4V7MOI0zWBWs4HkWZwkrN9WR2Buu9FSWqt0nXSx8kzZh+PU1V+tL6eNh0buYBXXBLHJ
97pYZ4uJ6lQUAXCI7zf5I7fhSMp5VmhEXWwrQeDSEegrh9ttNtpH7iB2qKADz9Cmiw2T6RDglZTX
5TI3T934cODBPYESd7zpnGuhpxl402YFXOIy1O/mCm/zee7ceUVauLNFwrUrulHdyWKQ2U9Vm51s
4rvbbzTSkS5dNXVxkfD1A2qT9AQmTLunplIfYIzbcETBTnKygFj9JunNXlpFWcCTVjw1mPzQBo5b
hWJc2TbdCJynZjrVWr3L+mpbbp65LUeyrAn0GOsulmx4m6fm9VQOb7fx3Yl602SZaFWlfSwb/3PT
TjjIYNw62La4A9UeUubKs3UXU12ozzAkPZ/Ysh43qozjWQfkzctKeRsDUv1AQOtL4C2e3G2j3YGq
Xjyo0VewOocJ9oDj7qxsnupi+haC3oNT5uC0z2dor1OkjUdRpkkA1eICjI3M5zJMaz8tT+pumd7a
2lRwNRH1RDxkWc+vYMRN9peQ/zP6rS9rcVJCXbI9KcqGiUBWOSTj07lXaApWVvT63dQTz4Zo6Zvy
us0yrw8FBJYE7pGCXPtOdna2UYUhSxYKqFLPp7b3VBETOWfsNGnhNgMYfoZswkcPOnuXPaaFkRGV
M6w5Vfmw7tPeh1s5UEVWu68JmVeY9a5p83mWjCWXAxNe8afBvO9jtRJ/jPUMzxt1w8rhioSRwy0j
kuAyFItM7UkK48j+hVANzIWhfiVv4QLZKRiJ0KddbvQao9ZXC1yjU40sGjVL+W6UE4MUdpWNLEyr
rm4hnvV9uB5Ew30YQd3mGp9PTVL4pxXFA4tX4PYUclqOp+vq1S91MyIWMbhkZA2KRCfr2woXrdwW
hXy7IuBOkbSemRWlpW0seNZC1scLSEr9bdByO70og7tryr7q4kzUtwkr3yYy30a32+c1QiVmrgjQ
zW0SG786Szjelhx0b2/iI3SmYMggxcT35yDx/DLwK7hubBNk3S4vjVIqSijaxSkpimAu+6+i0Ffb
1nbsZAHjrWMjURvbxXYvYUArP2npUG8zZdQxlJnIkW2IMHGqS3bBIH6Fzn87fNpGu2ModZ2O49iN
bVzC7XfvtepXSOY36qlrQB5wfW6XV9/kA4yJ+G0MFwt5ASfFRbam24a/4EKp42gVAYQ5XFvUxkvb
JXXUoqmI5x7lG085bpsXbnK8ehQ0UqQ1n3fENBZuB/N42UebmO+2eg11PyVeNrQxFKq+Th07457Z
NtEBl7cdM6ezkx77RbZxhnzoIxuMhPsqqF+Qr9tod4KaEe7DoqMlXVz1/qoC2fYUauyKkG29GHCp
2/EDTF1TYTSnECDArfOBlVOxy/N8Y4Dg9nt1ckqKNQUXDjUaHUJHmQg7b0LxNuY4mJ0QjErzvGlh
0LWqzgQd+RCIXott/f3M7fYyRZNCI1MLZrix8ixrKPoMZ9plW0nC7faScw1XExmIVyGVNZ8mLLGx
RIPcqPQOagmtrJ8fvBNcQ5SGZurTwA51vc3Ouy1fWOPZznBOjr2lobcZdJvfrrWtt3V+MrfpC67C
aoqsKLuYCzl6p6Xf4BAl08SfqB0+MFfH3MYvGDeFy80q1cRrBZfXXHVlPrZhIhvSRZNpvSsYOHvp
eX5VRBDFlX6Y+nAY3Wce5+026bv9YTCnK5AtIP6clj5ToVcXcAFFnTVdte0Y7TaICURXOLMcLFMy
4OS8zlOYO1v6ZUDbslNui9iKrIaJV9LEcHlqXgbzVEwsKEo2bgywsANvYdZaNwQ2WCyBtuXVfoDu
/ZtNpsPtEquGehl8uzZxpxsTzin9ug58K+HOwSXtV2zgFr06hth2X5HyjBCzLQXg3hRaex5KJ7hB
JB7YaMLSY1BqmNY325jipOuHrNIpnsYmTqxWO5uRNKh5vtFVun1ik4T/CUcDEo1zPXt/ws2b9EZ7
4G420e42ipmCNS1rcB1DrPVSjuv5/+PszJYlxZFu/USYAQIh3UKMe9457BxusMqhJJAEAgRCPP2/
os1OZ2d0VdexuK2BTQgN7q7l69OD+Acvl8t8+4tU8VonJlbcM9Kx747Tmsq7RI+sBFDE33aIXUvF
vKINWxQxR6IY3KDgrjrcyWLu5G3L9FowlvG1J7SLzbHIu7YaODupLAm3nQPXkrHRdkLUvOmOPJP+
Aa6PMN1z7fL6v7/pJbL/q4G/ipq5V2HxCc53vWUDQv54Enyv46Tv9xRZXXdTjAU/x99DILh/1LV1
oz5uY/ENifqjKeSn//0L/nrqkIuV1H8qpWCKi6tBtGOhQ7Cv23KY5uWnJ8Nt1gNgtvz++Aaxcifr
Th+5ZTWqOxM7G5rPNy0pArOr316+T9t53Ua8fC0kcvwktSUsJW7bDsi1fofTrQj5hGIHvKSTsOsa
XP7C8Lprl9sy3WtpIAu0ZpSI/hjPxNkS36G97JgxXBFv+bjZtcmuiZppWHiDLSdP388ufieS+qah
hy/41dAvA+xwR7w7iqb5rhlxQ7PNSXfTqoWN6e9P/+XgnBRjDXvIyL7vZH5bkxrM0n5/um66ZI7T
SV+OVvZqDcmPrsnZTYNOrj3SLYpGcW0uU16i2NQP7DXKRHPjwFwlQ3NwXZhDoyH8gDNXhZ7S4cum
eb/c+Pyrz8oWX1tEtvqYSBp2DKagL7Aer9/dMh9xJ/L7wP+ydBeJWPu7FtiApzS1+fwPC4r89X5M
roVlYHulK6UzdjM65+Z5SJJuPjVqGcYDErE5PcBLj067Iddr/xAFZAUPtmgH8yVNSHaYabqdiywK
ecm3eoa7QoiUejZdvqaVged5U21C1tu3vg7NfOgsztxqztv1OzFZdr/Y1t2FRi4HUs8ej4AHhixj
02TbB5mgv+VVXXwqPnQNLJZ3SNiyDf929JWMofx8aq2Mth3+66l5JGndLzcFkuRaEPfL5lnUSfu0
cMUf0iYVtx2w5FoSB0/LvEd1VB3TNf5J0+GVJ+Lltulydewh1wwmol4dyQadrU6zc9pP/2SkcVkx
/310o+n997k4z5ER27TCkdPCq+M8Tpv2Ox6geth5ZAjiDEdhLb/c9kuujsFk4DnQBLk6Rjai+0x5
fdisFh9ve3r6+0+RoZ6RIxJ1XPpM7qJ6++Ta9J/G6e+W1FWansSimdU4qyPVc/MeqursmUmx/rG2
SfQPlc2/+xNXm078b4PvaSWK7qQbxqEplxHF9nPj0dH2D0n133zya9XcL59m8P6UOsz5mkAdFul9
YzaWVlB031ZVgr/t719ESNRO6lFj0Lo0gtCNfsJGdGNMVVxV3CIYjqAQ0Kljgus4R/zBkeQfNui/
+RLXIrpfrvwKbAJ35nrKDz3juPenYtHxTeoCcu2X/Yt7UF+MBNHrLj7zobittZVcW4FNgQ9NE8b2
WBS5O0BzzcpaJrclK3A9//3LLg1KkWRO5LHJWHawSzA7xpub8jhSXC3kXxCGZGnu/gVf6OmNY361
jH/HCtR8OJgmvSk/BCLk9yEJMEJrJg6TddWk9xeH9YHeVsUj1xo6yAovRrjwK7etH+7aaXLHKCfv
b9o2ryV0v+AqKhHT3l4AH4Hr7HDb069WKfg/Y53HUXMsmsneQ/X6aRDhNnNYcq2hE7QQ0ZLOzVGH
VB9m7rpTPOjbpKjkWkYXhRX3KWZsjk3bDjsr2UNUjNP+tnG5Ond/4QKcyZr1kKb+ox2Vuq2oCKzb
75NR9twNOgP5oFuGJ6X7Yzv2tx3i11K6KwZON3cx6DD/BK+5/Py/CEeulXS//PHVtPTlxRzfUjgK
3zbmVyt0g0nPtDjboGsJkKMOsJWhrMeO3yZIgyH174P+y2ifZf2WlkzX432/qua2PkgAHX5//i9z
cuOBZ1Kv/zYl/1vL6H+Vav9i3K+1dBndEphTCXlMQkSW+7gxORqMBLw8P8ApqT82Od9IWQyLyfcU
1TVfDU7lCxwyLQ2HYebxsN9sItI/TJGnC+BhpCluqsCTa4cfuN+TjbB82jfFOh7y2sFTOFK33auR
C5btPys/xKdk08pNe+KNhMrCfUBL5XrbjLsWEP5CG8CE04lzQ2I27+Wkpm5305S+VhD+Igeso6TY
W0M7d5UEg5B8v+0PXA3P6NS8LbWd93Mv7d4wUAIsz24qkv8XegfRZk4sMfMenAFT+Rw4LZMVN0nD
gWX5/cPaYsmm2uHhywzbaT1lQ9nr9DZ5ItBsvz89kzMa+WdgS9I2sRVRSVuivvfttkG/2qh6xVgc
k9rtl1SakkURes/WLL7tSL7WDwrIZOMsIm7fQxRU9moUT7og7u2md7+WD2beWpLQwe0jjgubTG1i
34T8toG5titrRp/0uEN2e9hrpi+dWdU3Gm/FbRHctXZwy6Uf3LxM+64DNgum2zCzyerbDFvItdnX
7AdYZhVh2ocCVDUVq7Eq1I2xygUW/p+7WK5mGpEBr74Z2LV4F/6MR7DwbvukV3M92qwZak3mvUD3
zI57KSvwWm67vCfX2q8NbRB1syCwKmz6bTLkvZHpbe3V5Fr6JQ1qj73N5n0TjzE4VGm9r2vI6P73
uPxNmnit/tKJGlLVE3agtc6XFzkbkIQCTfV4yEaLU/B//5m/iYmulWD1QuosafEjgI4FJC/NRdWt
821KMHKtBLOyLgBlwdOF6BoAkVrIP/rw47ZXv4zcf+j6VIs1BT3juLcXFBnYRu1uMvVtp8e1Eozb
LHYGHMv9oublYCRLSxgYb7cdH+Qqgg4G6cY2+nHv5KYPyaQ+bkmb3/hJr5brJk229YC57S2TRWX0
2laQpN4m+8et/u+j3hWhcAWr7T4y0Vi1m+1KYsNtzk3ogP796XWW6TFpqQV8Z5DVlhtdMTjX3xbQ
XGvA5iSg5DwKdmjbbvuwxXZ9a+Pun6zk/2YpXavAauJ9MkOsvM/HBP0ol1Pbpsk/1Qj/7ulXuS4I
NyhXB84PWYTS+RJ973X34aaFdK3+UmCi1uBnFAf4fNW6XDaoE51cp8+3Pf5qnSa6J/0Wj/yQW9NB
gNuuVD7QRHfstrV6bfdlgfYC5cvyA5+SsuXpnY5vDGeuxV8w4hpcSPFok+H4u+ghutsEieRa+QU+
Q1PLYuAHoOmaUoHiV2WS+duO1Wvq1y9eMVy4Tv9/oOK/m4lXazTOISoiF0AxhfzhAifOuub1pqny
X5KvfyOkUzqb5JhZjb5r6c388bbnXyW5nU2GVs99ccj6ZIWFejZld5dWvX/yE7wsxr/IdK/1XE2k
bMZ8TQ/GRoCZ1stinqYiFmKPPtWiPgsD6tyj2+r/R/z6H8n1v/K9v/qjl1L8f5yDRUjrbmkHjdxv
9d1aJbrRqd0rhVWnD7JelS6H3gBXU3ZkwNm+tmHsinOvLZXmgMS6VUArb2oJZxCXo/oPQjxkd10M
SasqSRs270sEOXZ4UDRh9hFwUp/Q8xplxQCG4qZF1JQx4Q1AbKMrLAKhnuLTlTkfevGHHaWZkzJT
RWPOZFOwe94FJPSF2IVh8WOlAmnX97CQ8yCM5gqIH9h8h2adAGPmc0QzMOVgDa9OiVUU1vcGNUtn
SvQVgIkMB9Si7z7a1CAbaIuWgf9p8I/HeciWHUiNsDCdMUKqWhafNsctzCuoSyomU/dHj6JtMZfr
mMSJL3NGhfzSNZni342YAfpBI+fWj6aE21cbPl9Eeie7mbCWHUyjpsr7ZkrUrkDjZL3fcGWT7qO0
XqeqZphpvFqoD7nZpcuWx/cJWyg/NPm8GfSFDX04gRLQVQW1C31s47lhu7ghnlSyoAOiMGbYjhkY
4IJ0J+jQQb/Z9lLsHEfSXFSokKyix5sN3ViUgAAW6BtZmmOdFQgbsZdQM9/ha/WyKUeGyK7kSaQN
8L9d+nVwhu582Nbi+9xsgRzs2OfqaRtBUn6TQ1oUT8TVhDxstWSz2OkNPSrZgfs5gSPCRotZP6JD
g+F72aaxeDkRb1zMhxiuxojGTNxv6hQoWf23gZkGHPF+AWn7XKADiX9IAPCcQqW7DCQxwaKLDaSe
decjdLFsEG3BQaeYl3kf8C37/pzmKKSlZ6o6JktFFT9QJUGdpas3I0oSIZqWS2S5TPfxPKm9H7FH
PdFezO2HdU1FxzAd+nQ+tCSf1qoXMkvhEiuD3iGvkewLc6Tr7/m6oQgk83gGqtpbB0ZwyVlepIig
nCOEVEBMk/Y1UWykBxisqPW+S32Cqnbs4K224ZrZLQK9W3GYqIOSk8JkLdbzt1RH6JkZlyKz74vc
JAxs8ylvvyH3YRqLxmT9spvavJ+e1BwL+gHyrMEc2lCgTYj3cZ/fbXmUqodEerX9aDrdz+iYGaM+
exqwaOW+szKkZ2uSdvgkI8PiFNubEjQHgTHj9il2TiXfsrauWShrwY04er8s+V08Nln/ufU05BU8
72N0owtPEg5r55zq77XzQolSDYp9ywkd7Cd0l2+yAlUbZxf6PPrwCFXfxPA/91H2vW/HZTub1Ibw
QW1xkgCljpX0vc0wzU9CpduT47E4xOnA2mc2zgXdx6yx8t2g5Lq9eDR4pBFuouEbwHYXJ2J6nrzr
uj8V8NnyvqUDCce+b3V9HFKejPfzAG5s1WYkS78wmmb8R+JV/YQW8ugO10jbd7S2mLL1udgJGARF
u7XZmL8DQ2LZTjAPIp81bzK+sxqdjq9FkLp7SkTdJGffN3PYR4Ns1xMPY0yPBV1V/CkG6bN+Jwcu
bGWDi+CJ2MZ8QhONoQD5LduUj49TvLn4TCy1+iPAHXX/POe8kIdYqr7YubVdsHf6nI3yAP10Mj4O
fKHfNTwBuqoGsdM/yzUesZXIfvV7mvduFLs46+lyr1oYHB9qMVu010TFIj5INvHsbKy1tHR1NNJv
UvLWVqKblGtL1iV1DPZQRtbzpM3kds6ncbRzU5cmZac3b78Qx/EGuzwWCewMV7xFE4lpLNs1mrp9
d7HkKWFot6mnwaMxbZ/b0X9N4+Ap8Gqigy8nUBD0EeGS+FljCRdVq2VqKmp83n8KA/iMMDgyBpZn
JVHb1py9Q5fshwA+3ViXcnDFiv1+s77vy9bhmPYl0LLL9N3PC8nfgOAYcSAouNXwdxpPuXxI6+Zx
D4gjCO/7zoNuWqL3s8uPmidc7ZdFEB1KkTi23ft1EqharCBL8VNcB8SI6GST8jyBshaV29g00Xua
qzHdyYzOIMbGS8J3Rdi29m2MN9KeFrd5fpxNH9UAnKZ1eCCAd73EydQ271FFToMqG60dP8A1Xrg7
rpDBPAXUldghUw3OO1fX+QCddybXByPiVlX9NiauyuxYROhbGKe68eie26bknYuVQTNGlzn30qxx
kZ56XBm3Tz2c7pqhXEIGgA58xQGzH3lyTgif3HM+DVH3R9qsTD9QTSbMsU4aLX8QzTbMBAPLtmnf
C9YsB/yytd3nRmXTR6oWWd9NomnJGU20VD/OYwrm1h7bkaY7oJJI/XODVTI8zSfZ5qepb4SAthkd
WJgjDD5Kd7J1wZ5sawg0wyk0xPF+sqAelosLXfoef5O9LYl061cN03j0pPNUAtA8wH5RVBH2pxrU
bru+b1PqyIlxi16XvOsgVjXLyKIq2NkBKTf2fkUDyVIkFS4UmHzB6+b58+qDaE5Rl2ZzUza1iuYP
xmx9dwfprtwQFXXb+h2nxtQpeKTGcfJ6uakhcUXkUGyPW8wzcNdHs4X6zAC15jCapQCOPXhsyMMz
6BfTeI6d5O60Osrzy8m9SngCCAzjNJWOY5XH8KsT2yyqofEhvBK+al4CZMboocgM9rdSEd+Oz7FL
2PDHNk42a0sN+Hl+DhmJ16cMs19+bqcVCBr8SNLXzwrlMP+OKQzi3Za247rryJy7E87/yAoMbmqW
vd+KwgsET67f8DFHsRwWryLzsUiCMy8gra/L3dBCP/jcLo1sqqyV/fR5tUWafzFpEZgp4RAWdxYj
RbT40cEzNX6Ba33G/+jhvKK+DnpQKfIrGCKSyrRpW5xM4aaA+E3GgF2XQzQHHIV6xfGBaA+WsTTK
F4CHYdLQB8hGi+gbXOVDVsU41NvzNg/qQzFjfu9V7DWtmnXD/YspuuxTnkIXUZHA6rZCLpoVICL2
xXxMNeDXS0nW2AxPVg4SLccJ7DsPlre6fyTG+giMbXRg/dH2g1sPedJky3PSxSP8d3HPyj9krPPy
sGiQcl6GVJLPbALlZTdlNUoBrIkcfQqdrUHpHlufPuP+iXTvtCqm7T5pu6HHhplhbUAWD6EaOyqY
qI6PtdHcrhXLMvESoHyJqpU2Znk3bX5AQzT6XlNfwcawVhXwwI19VhNqTKU0Qg97EtBXqw9oUUv2
rCZdtxvjOsWXaKROHrPZXkiudLoEPwxqXykqzpY83Zl5iJO5VNsaPrVMwzWp3Ay6Fj9YNLeRNzHR
/mHsZkRclRRtVCUtXOFChd19KQtPifuUzrA9OAnqLc77Yo0RphM08FpXBpJF7tzgFeLXue9cUQG0
PexUkHN3VCuW+pc8Hv1ySAulE5BJRlieJVlD2I5o6EjLiSTbgeMw8q4c87qdnmZIp3hXGWoK/aCm
OjyzcAGgbuNG7ifGVLxnINisOEYRcuzGDbzxN6+XSJwV7XL3YdZ1srzrxjmpcNEwpF+Drv1S1V5m
J4RroGYqdNH0uHUrx7WVJ+ksjDUy9FXjsCXVtjluyx4wJLpzY5yeBOKBT94U5F7ASsmUlLfDVMkk
pQKerTYt+z5r6R3zIvzI0P3TPqZYOua4tdPGH4coHV9iD4tXpEDEPQjK0g2xU5KNL0tkoSR3a1FR
tJE/4lIEzdqAlxK4kaMN+TGMLP3Y+0jsVdpSVRqzuvtFaf4sPBz0dwrTuMrX2VeprJsT0Ov8YaYi
3Ilk1V+DWNr3nOixamL6qvPRfMxb3nEA5u0E2cmslRrKNW64n0qBaDccAuhx4USXVLzRZLV3rg2M
7zCdaWWA214P3djmdwHyxeyjj1jxXmgP1cIudV0RnWpTLF6XNWYuQ5t8kPGPxtXBfcxzSkO5NGZl
kHImiw+75uIHcNZh3WCbwsYkWJB1h2FKkcc0pG93gi5JdLckGbqx0Vbq47tRJjV/mqJ1cocFff7x
20Z1SisessXdz5nNxVdErmbY5y6N0pNtbJM9tOuiAXsV3aJLn9iRvZFZ2/h5IDOxe9g0hA6WBBOV
5z5auP4SSbCE2yoPTd7s4qmVrpzzBqEod3PRVKNGjOLLmoAnrsuQh7n5vrKcDA/L2i/bN0CpPMIh
6ViO2a2xtnLA4dEw1O7holOnx5Hppn1dE+T++77LiDm4AvvODhmNKM6DSFGSHQqTkmc01bT5PfSz
JNklfM35OUHb1Ppng/4A8zxPjtm4Clws8m4aJhLTEoYiDHeMW5vq8IrUuEiRBUOyud1Pk56wL8iu
8MmjNViS7xWSVf9F5Yqfsx73TGQyvgBsnqjoq8EtJdLktc8BQUQRWlaYHQiWynpesLtP47zuFiNG
9omip9+9MY+9/fM0DTxtd3kxRDiv6i6PlvfUb+0qyihNC1I6V4+m4jXR6dO0sTX8maHdX/8YG3Sz
7VkLkuC7oOXKYTiQ9+MLGM+5WvfdAnfXI2+itH+hWGXYEWMyDgzbk1wLFAtlh7bmU0ti6U9ESRWb
XbaNCAFKTSkVsIHvkX8g4muHKiz2EosA4+L8a+vGUfgjV0KNb3qK+uXQt5Hj52nic44vtnE/7oZU
r8tXxXP0IlGp+PTVeTUsBytiE1Vczcl9M4iaVgNuk91DaNtM4JMUDZoBJ1TZq9EuA4LSgcJO5m3e
4JKLBumhfuhFOhx9vbJ3A0mDQ3SQb5t9DlrrcgSus0RTmJgJ+GKs7Q/BszxUAoTT+byRCQma5HNR
Ts73kS3d7Pz0WiS+kH8uQJuw/abiWO6ov5yrpZjAmDjVCLMfGlhzYdaRxJC7ugUy9d6K0H/iDIOw
I85liS7jJhqSt0lvbYQoNcTRcd0wr4+IA5LizuEIaP/wnjRHpAAJ/9LD4ryQVc5F3LyzSy4lLKET
Q5u5xCTLScWwqwZkcxEa57ZCJs0Ta328VSMW/EeV5Gav64Z2WGr1fNfHqGA8ol5B8hfWrVTd+WXk
31CJ+YzQw6UUSBUKCXgPRkz6rktF/RV+Fm2zEwabYtOO6tG5GJHZBoMRf9YFk5XdAoAj0P/Hp6YY
iX4cHJn041jP0/1sbd/+AUC0+xkNapp26xzhM2Zr8abm7HK5oxjO9jXzbxSxhNuJbUCsDl2TW0vt
C3NAszKnZWu9QGyAq8oFsDu2ol6LnXBCfce1Tx7tCCAwskulB43f45tCMFamORToZ5TS+fRABjZE
L6SAiA+ioKITy3mhQjiNjzKHeEJHd902+zUmrC32LaPNqxjAht8naHMY/lyXVC1VJFG5+gqvBgBq
x5xN2b6TaUgxNZv0/dggHzmGrp3KtMUGastlHkGxE+ksv7PcTOkb8bNcqmCmBNlOkellLduF6ehL
0yT1N3YJTU5sRZf5x0DtT6e0yxDu8iFBMGsyNZ84mCCs4nQ0P/scS7ZkQHZUwILE2V7zjP2r+KfI
hkEIbA9/yzpDKgOo+mFNC198tiLi6D9ueI3KYMQNnJEmC4uCHYIS4+9y2vfftV5Jgn0uk233Bqc2
3lbpKD05tS4LP5A6i+1+1Gn900i98Rz877CkD0b6bPgY1THNfyZAZuQ/kFpKVEZakT/wflTYO2IZ
qlQkg38ZeV1YtBrhbikTVMQvTUQpqtkIPeL73MNQ9MCXkaa71W0x2S90mZZSm3l9D0/kJPtkR768
RlE2fWJ1kXyEgMJtx75Gt8gp6pEYr9qsy55mDIa+W7vYTxhzdd8lKpd72gLADY+TrD/3kvOhym1n
fGmjWn1Gp+5aDjm6fKzNPL0fVxu9FNSvj5Rvkh36GtYLe52H9TgAK3FMrI7PGTDJ2PM6Mr1JLvLw
bEWP7uFlgd9PmQ9z7d77GRavX2EgguRsCj6Tn1EaJkVJl4BxSH3bYlvgJCE9Io4C/ccsdh/lShEk
EpQShECU0eYR7GGLLdqNkMHn+5wJ1E088OrglBTj1hxTG9s32K+36l3KejSBryAwvGvwIiVplsTO
Fbbt4Hw5ojZGnq2SRVYRi9f52Pe17w/tULeySrPC+m8Xreu577Qx92tRbBp/Q0XTO5VkXj8TUXgE
bKEhB8Zs1J8goSz8K0rR3R7bRNcdxjxvp10qF53Alxxg2H3vY2wi8Me4w7dAOaK2eW+RbnuIlpcQ
3Lspku1Sdfmc6LsoWsx2hP3Y9iPKgU0qNdCQ92LrVyyfmmE4lI/3imdzNQzO35E+QcApm+4+WJm/
g3p5QIcA/B1R54BRA8mK+nO0QU5+YOiQCR9RZ1oXHERTnPxwbBRpAQaO2lAemPRsu3OHG4rmq9yG
yVT4Umh4Z0oiMseOqRdTyaG28C+HeRF/hEUaKyruqZ3Pa58N7FgAyw00ar1Q1pRRDtvDg+fksgij
dhECdMUBGRM2H7Vrt4n7s0NTBi/TfnUayxj3XT9nnJ312Y4uFrsFjtpxU3YmzZK3PkOEtls8H2VV
ZAtFr4+jQb01FDY1uxh+881njYJGVppulvJjvG7YPUQU0eSOFonJK8NTne56VMOWqu8WlLZKNEGt
YteiCy1+zuwwslcAQZqlDHCBtvs51HlfhnTLEMFwm7jv0QiqQpmj1YO/gmWzFEcZrC++U/wo/2lC
gEof8inRRZXpQqUvWvgYpskWSYFsJmPeBTTwq0PaTrEJZY5m+wUFTNltAom6Q8kBk3pFUAhsej2A
dc2n+lH2cbOdkyxeu0duUactqSUefulWjj/jnDTyKd3qDuKeOlbdaWZLlL6gibegWFMj2Tzuf7pg
D+A3+vEAuZg1FW5V8vlb580UAZC4OXaONMopn2NtLl+IIvHZJSO3LboWkYCZpxn1Q1UpMbtpLuHF
kqT3MU1zJJe5i7pTA53F8s2ngU+7mtLaHT32a78bc2vVXhPChl0KIo1T5TCaIA/IBjW/rzPYr0F8
qS94MNDS+l0rG77e1S4uWIU+EcHzHZwYYiyopja4z8ZVaC/u6LKSDTGLs9kJRYIet/UDYrsSddhE
lZFyW7sbMA30IVvnZPhZNLnSEXKHJHMEvFuYmPxpldHo51K4IXM4TA3ixKyK9MiPNLVpWM8qYYS9
wTPauAeP1H61+OFN1maIQVbSP+dFo9dPEX4Nj0qZONLPh4ubNRLShW1L9jRfMuj7OurViuALelkY
TIVaiOdgkgnJyjgTigWeKdSsigp3LTmy1XgyvPveBGTXEMiFwsQ/R7dEA4KBIkfC1Du02y6g1fTj
3cT7mT3n2DwEQkXWbj+UxG3E17b1vTpkIusij9G1pAOLmY7Na4ZwH2s55UWWHyxCo+GntFnuWekS
DrdmX2Qz+5CgPtcA/4L6v/vGx2xWbzaa++ilF7jweV0uiSocCwLTaVUsA3yN0TZnR32WBvdemCSZ
JYexQOJD9+AozsM9OgBF7qsNd0g9Mt1mLJpiF+fUsXtvcZP0gOia0QeERdn0vtOtGu8KQXx/jmaw
0r+SOK7jil5itsPcm2gudZH66KGP4U71Gs3T3GCPgw19xREZd/swGzY+NZMr+M7kcbF82DR0gRWL
J1zyNER3sJgZReS+MzrZ+gPxEzb/DnyDdtnuog34boSs8DXUZ28FCYingLiukmJ18yn0HSenEVV2
f9SKbvEbqop5ftco3ARWNjYQAOzReBqPbIe5uaG2damoRYdhTNO5ItS0UYk190jtFDLcNeawxzjE
CaTVw6GJEtz30A5XPKHUQKyxMgyrzXejLPLs5NaZbyebrVHcwdIt9TNHTU+AldbPPGkf8mScprd8
gqv6z0Jks3lAYNsUB53Lmb/3HlczOy1YK9CdCEHaS9N1mt7XQnfqvWcYmPuQMjXdxTOQOo8L3jUF
0Txs+Us7F0bcre3I1Uckek29VPGMaHnYtT0zKFtn8Ghr4mrGYrZRBe8PGuwO94AF4wcFOeDFwrj4
AgfDeEoqzmGAafbm/6g7s93YrSxNv0ohr4suzgNQmRdkjArN0pGOdENoOpyHTe7N6en7Y9jVSB+k
nd1G3zRsGJBDCkWEyL3W+qcFFdSrIw1YxwcrvbztbqnTNcAzYhyoNHq3YH6w+NgxVwVOWizfYE/i
aTdwJ++CZfEuGaJd7WRqcUBj5+qk15krjeebez133XZf5J5wLpeywaJrmHMjX8ZMBYRWFIrokJ1M
2mlOQ2N0HQ+O00R0pYveHyIXYKN/rQYi628bYhd6c7dGvRpgGpPDcne/W4Ihj4JqHIvNXHXrRjnZ
u9dOF9v10cZcPh5E3SprkwxzW1+aPTk1QKQ6fGszd57aZYD4Rqj1hqHt4Chltin9JGDsbEXf0iFZ
VWa9TR5b5E/xkuTTPZEMtgR7T+Nu+bRqx0re26LRy6NuYXU86qC+4gp7eScfSyKp6W1qx54uDVvr
5x+zcPL2cp4TrQfgm0w/WgLakRB8WcGtZH2P2E9I+0rpVT9GcmZx6LHjJeQbtZhmEaGNd+HMbXvV
qA7+LkAefF0ObAb+po9F0l91cjHqC4+1d8v61/ZiDEOBnNkM33t2/g7Mp1mb3PG1tieslXkm6muu
9mpLZ11QIDlI1zF/7NrxJtC6wYpmTTM6bhZfdNglWmf9BIMWuIpOonOCm94bSg1feuZln2qtj5+e
wmdPvIGTHEUTzEaoc96VD1bXmZJ7L3EqIcPW7zH6AzGxKMpL9UzfWKajIa+xEhFfm6knxx3HKFmI
Q1lnw5fMp3a6bBavcp67Sbk2w4vI1cU8e8v07HtVO9ysGY7Woa9UHFaE3YiQbjRZwfJ2Gqi5EJi3
/jwH3kWf4jS4hiipyGCgN16AtkQBauWwuNJ25BvGVeGHGIvMcTu5bQFq14n0HpmEQUc0sJT5PkfZ
SF1kxwbZjcHgx8GT1+oBcu1ah88a9nXciUaGGX4/O2x8dARWBPfdqS+ApATwFsBGl2+gFUumha6k
fc1Dh1NWgiGWzazbISH1zJ27CXsoy4HqyXbTFxzWs+pCNbLERuyrQTpZHo2C/HD6UN2dHGPTWSlS
js1/9p0knldz/D1MlSUjPZWsn9R8KeKIoGTrm8VPa6dhTJP2GKQr9pswfk/temba8U1j9t0WtGBR
KJW1WDv+Z6wmfZp7uzwQ1D1NG93NGxUuc+rcQFjVauPGmL//moLp52Qhd7brqqn7cqsH33P70R3+
mkL950Ahp7QG6Bqe18rufUCLzPmLFpqf44Qa0hqDOPO8HWVSB0QKBv2q57TuD3+uXvqDwCoog98r
fYDCTIkiDWZC4/4TaZPJUzVqDRmIfdcCOJlDzloALxDm7dQD3TJg5ZoeNdrE3+nPX8SqKvpXaqOf
9J8JFM2UaZ23a9hmWm4ynCFXiAdFRL8G/QgX5/+bpIE/ElP9pDPrRM+lhqZ4RyCA8B7k3MRq0yb0
uZuRykQ6KYkkJV3pNNf/5hP+A2nbz+lEOfowqonp7FyfnRyS2JmtAGv+N2/oj579J/VZy0a/3ksD
B+VI9V50xtPot/G/kYv/0XP/JA+lTRdVm8TObmbtR5h28zFTpfUXn/wnhZk0DFk3ynV2YNBbiNQs
jA2Qxz+/oP7olf8kD42nIZNOkLm7RNd6avoQh0ZK9f9rz77+1n8Sx5lFa6EO4nMxl4psXhmwZXJp
Hv78yf/gCtWt3z+52xnV2E45l0vqBeZnD6Y0Rro7m+wV8s2qDVuFGvuAU8hp/9J6PuvnPJvUT0aP
GCFnxzpU59kWXX+dG8Crf/6Gzofrv7i7f06z8fLZAhZK7F3lBykIdFDPI+QK/3zNhnSfbDpv/k9t
G7W7z9r8MV+yR4MrzTnEfaZSZpUk3bKd8XMaLFY3h9KjJfv11f3X78SO/T/+m68/mpZhP0nlT1/+
47Gp+Pe/15/539/z+5/4x/6ruX6rvvqfv+l3P8Pz/vZ7N2/y7XdfbOnL5Xynvrr5/qtXpTw/f/LV
rN/5f/rgf3ydn+Vxbr/+/re3zyqrNww9XfYh//bbQ8fPv//NCNw1M+S//vk3/Pbw+hb+/rert890
fvuP2+7t86tP/8WPfr318u9/881ffMdnmYjBrnCmqnXd0vi1PuLZv+gGQ5rOCGb6hsldVrP7NP37
30z3F58fCPzAtmlQvDVMp2/U+SHjF90jtDtwXRB5f03x+Z9XePvr1fLrn4XP5Lev/6NW1W2T1bLn
TTHD/q5oeLZr6K5ruCZUsWfr1s+WxczQkNgVS7+bSpXaG8KNMIX2XXqjabn+RDiT8ewLuNioW6CI
MwvpzIVft/Loj1n+UNtmdtOJIRFIXmb708mK4HGpIXX3CGpN9zKulUqfkoTsmFDTGtQmcW6GQAlg
uRprFXu9vBdooL55TuMgK1DDTVtDNubdpIVtPT5mTls9JktdfyrHs246vcoPpt36F+6ypMcuqdRt
VUwlAiaP5RBRT4JgGwkyZSIJy7NPHeL4o1rWy8lHT6pHnfLnu0DFwxzmmVs2F2Yn7pmhq+V+CPrG
OrrpUj20OljFJs+64aEymiq4WOyRcLZAL4kT921wzKOZlKgILMySn5rmK7bRiBqpvlWBnFwSwhkE
F4wBHiqJ0Ta7u5nR4dPu7CbbJ8FUDE+akQSfDUKV98UYG+NgdoGottKzCDrPR83dZUHQlRvNLczq
xvG9erxY0G78kLS5zfWUVuK1NJXx2LhmFVpd7N+Z9uzswY6PqWtZ2kWrpa2+RwHjvnND28PRcrmz
Q0EXnIRlipEuTKcWlH3oGpCnxM6i2LCLFGWv/giglL2o0k4+mR27j0nvvevKy2Zv2/uY/eJ0TOzI
Af85eYYp93USA5cUTId7PhXbiCTR4zCygtBJyvWCMqYYV2gqubRKrSpeFy6O+zzHsBJKvdYvtM4v
wkYDO5FLEpRhi4AyNHQryaJWVV1YJm66UVbtAjMWJstE69G70No8QepefKiKq2WqBRKFrGpUtBCq
+eD3MgkZ0wsmX963AoWMcm0BXk7sqXnTmylGdaSsH0lZ+c92V3GRG3pfWK9p68HvtuUQeWp6t4xG
D2F+tUM+IVgk8zRjil5kupFVkJ1cWd23Vp4hQO7SS8eZnTsiOIKXriuzq4QR0t2W85LuEdP5H11l
koKL9KD8PjA0KbhaZ0JkliVTAn5rVhmjZ50WLNQuJ5/5oMzbi762tL3nL2IK5zLpL8d4yNAJ1Pcr
rbfNGsMWezuXZthawWNp28NLZ3sgIe3A9R5AZAKoDyxy3vkNPm2EdtXy5lSpSp+VjhQZjU/qlWjS
3BzPnKGN45ENpekQjgofdtSAa9RHA5wyCemf0+/9mE0iZO6SzQ7SYpguBfNzsEmLUVBrfdNKkda5
pohSbTRu+i4zvJDQKPfFWrxOm0I/oV7u40rZzyhEhXaNXCftkGFnqdpNWF+cDSGa5hwV7mg5u3Ge
Zn0DDolKzNRrp+BeRz88XduCcPwrpu4xR8eT69UDKKld32PZKACrvdgYn+EmURrrXllMqDM1H30D
9Dkj4RwsXGXL2BxkmslHPS+dI7NHIh4K1Ic+U5YkanwEpbgcSsC80HJaivq8GOUT25WUGdlNXnyV
owy6rRXHHa1FITR9kzhe2XMhLbUKe3TUZVQrIx421VL+6AAJEdtYI+6DvC36I1fmpNBrwzcYYIp3
3ZDV13XtOJ+uNtXmgVWsQXahbKd7t1gepaFfJn47Th2YoIyHOCQm81vt2sY3AcLA1ioImV1Z2MnB
0VuRRKmP3sYjLBSC1giYcWPYrCEs0gWtBQek10cqV6KB30WIjgoq1njQAo8sp6JGRlh348sw1P7V
UDj1c0M7wgJYKLlrNRKgWuPAm8Kubact51CC/hP+4uAacrwa0K7exhoKjMjP02CXa+50h35mRgdf
m/fVUKd2NKLVSKKiTppjjHS4D9tyQjdJ5thJkiQfOVonHo3atJ4r6Y47owN2XOrAPSr2uKPmpkRW
W3A//X0iqSeyNBP5ZIJKdkHDvqi9Pqvgsm2kFtXIr4qwaGBgU7tubzTZqDfdmqbXDHnQU58axdFV
Q47EbIjvqZaZDwfg9Y+NkU/vQmb2J9Lm8XHsqhFFTP0QcCyxZk94AKTp0DyASE05nWzaXghRcPL6
uCkORiWsDWnSzh4WLM8ix5ZAOEiDsnTnl8PShey/e0m8mj+r6uv+BGfp/wgGhsM6Q4lJSpQO0yqr
V8+rtGTTOLo5HnRTWdtyKMEtzbI5VNXQbDukcddoTS1Uf4008t1s8IYhjIyvtsm0SxXn1ornomm4
xO24tBsUbs03UY6lF8YEN3EEDK19bOEsTkWRJnKDm8B2wlmX2asDu3o3qNm6WnOXb+quMAsYEf+D
0txd4jPoX/LBsbg2JqRM7VQkp4p1BryWmYPKsabunugdvpakjN3wWuRrhWL6qTB6dwQ7aZZ70xPp
MXPmVkKWeLvey7+Qb5XfXG/Jt2NcZfKav179oi/sxJwgWAg5kc6+Me18kzXt5+Aty21KGvs1ncsE
f1pX39nO2ZGtqmXpkRjaNCQCsYMmxAkfgltbG5Z4uHd6a+hod1Qw3xkK9/MDEId2YdpN92oaNRcY
mPHCgNUIgOKxa4YxBCGX764Y7Fcgu+EOSalrHSGuiu/NmKxchi1LbkbCb9+bsZcfqHAG9HdT02kX
PTK7nE+VVQa7IRm8BzgGBCuWU3oXLQR+GsKv8V8wHMh8no3DTNc8b9h0tHmRYwoeLBhg7mxyqiNn
7DmZ+eMaT6ssXG4l0uom4qerTUtjJsLWmbI93Jb84TQBGSjFwNe6laofUCvDsRyd9nJ0O+/C0bL2
rmiQVoW9h7Nm45QDq4ER/OxTUfWnLEWyjtLevQggMkRodFn5DFVdpmgQeorNzIfTY3MfeIVDyoMB
MsXg0OVVn+9alOpvIqhzeyvYDfyWMQR+yH7y7G3fD3XCHcuS6dAEeS5uDc3pTvzhRR6a/HiN4IGE
xrDy+voG2HC5pzFNUZsnZhnamZ+0m0aVCxerFies0MibV6RCFfebVY/wrEtmhHExoNxxRPtSN9KF
QsdyxYopxznZcYzDSql+O8QdUJ4PtnZKGgGz1hpOcUQ9kW4TzkxUi77ePEs/ER+L3og5tBrPuc5S
lm6HEHXufdrM0yUa4vqxCRSvresa57pZqaNoZFfLsRZLYm1NO2luOfVhuzoP7oJmB+4bpDH5Fhvl
eu6wYMbuzQDEvQqwSnQxTdNmbvK6iqxpFq9+llNqfC1YbrpKOPZm3VjzJmXjbL007xuCG8lwtDIT
5tcbKzzw6UycaQgJO13JzlB21Pv68i1ZZPAYsMrSj5gElusMIeGhbqZ62GAIsr/rgTOkDwUMy62w
U6vccsD4n5LeUobTpBPt1FOZb+tkdi7Sson1MKukf7AaS5NR4aUaWn8+swPCx2HvoHfqQ+gY7y5D
7IRFCoPAg0vV2bQuDtd0kYj2IVtuxzmhb0sd0d+VpnSGnR4sDpqPUdNnOvsBHqgbEvcB+1aGeprt
NchaivnGsUSBT2yy7kXLQX1wLaSWYaY57tYZHO2TEy/fUZ/dnTn7+Zc3A63SCjnfAkwIxq5n0d49
NI/72iw5AsQgtbLIFWaHLYRc8ovUbbyXghTrW1R92jscT/6gz2mXncxeVqca+caPwNez9nJJ+iYO
cZ1Un5Y9yadlnOYDPqrh5LVOkW1Y1ozwERIur4EquhmRZs0pdBCC3UWzyLVvSEvLYVv2bb/XpQOq
mHZB5M3I5CPhtNbWAHRWUW2yYQFXwpjCrQ/z8+ITI8KKMwxf2MKFt0kr4qawBLWXsoFx2qAY6rZj
nWSnKen1o1Gp79Pq3IuTJtssMKy8EFO8xhicGKbc9mJKLf+YkShN7Ursu2z05NbBUZKE2TyyVojD
K7S09MmEGQ5RYU8oDwlmNfvgR+PZh961uiNJzslW+BLmWUunPQrGZh9nc/wVQ3vc2GbD+TcHkBZo
hM1QYx8RcpV0P9Ii2BuT1UjXUEDN7QQreBR52+9wGdQH6OLihKtFfbD0q73z1mTTKB5ojcrJax5t
ah+o4dizVD5IXmln+gh3yT1OLeZOxQudFy+mgoPye0MTw8fi1WuDjrClRPWXip1ENCDDshmz8YPp
QR5xjeDcpBJjZKlH+VmIWh+3+Vj6xzJP/ddcmNARKHjlxcgFEmna3J06YeImaYr8Aj/S8Lb44nNp
NXor5FhrOWUaa9M6Prpz113MmrnsGYGS3ZCmTLUZdoirIHPqLVSnFYlaG0KcBOYuiyf3Tlb6jMsL
G87JFYW81Nu0PRIbTO6C7yDecBbCIyCD3EtcC49c9neunZyGST0hgLBv8fJA2TklJG5RtGFvoDrh
z4lvr0hyBrclT69QMtZFlM+qfGJfdPqMEy6ImD5dRYEV31xdTm9ZW0y3LnwYllPkd1dIyL2Da472
sYF9sPb6hLyCajgtL66p3xRt391gpAEj6OVhDfGkA1R1zZxmqVe6zjiqC8f53s/N8N4u/RXKMnHq
y7zaCAMWkyMGkg9gX39Hmo3CX00INtXsX9HoLaehCUDgykGRLMLvRmThbBJG5Z0oUfZziWrOsULZ
dd243vgoPXrzGUsWltRSky+4/5wLaZjDtq5UGsrZ6t/9Okt2ZeBNJyeIx4c4gZ/QfanvRtunuiFV
21ma4T77tWBtU90mycAarmHRt3QjtwjoPLGt2PUOtaWMais04QwE8ahaRkh1JSXcIFrBZWpjGtas
9pWFIEa1STU1/PDKWHqPXjL52IjNumYykWYaSarJZ2dqeFMLxG0HQD+WiyUd8ISyzDIOPS1vk1sW
SulPxK2g5dIKYKLcMl/NVHNvzLw0PvtcwzqBXG0VuPF3OCqmm53rlQwSkHjZUyGm0YGfas3soW0J
NT8gpPK3beKSqeCXYvk+pBCiHgjQcVK9uVrTrPrWKJCKH1aA5C1xNANN5+IVoT1M7oD0SlLDZC21
B6Of9VCObCijvrQPaenJNzyGHAC9UR1MJ3vt0KaeLPIP622pkmKjj+AszHWIyFwQ10fhzfLQ14tl
XiXTbPSRhWa+20JLExIk9crSdhYiKxn6I1udnnKRmXjuqJpW2Mfl2jIml+PYQjp3OR/EunkijHEJ
9ugwA/1Hq0/q2md797M+VZ6HtYuIY77Ny79nddZdgODUzc7PhZUBaU3I1Lzcqh5HCMOHWhqDe1lN
4KinJp2KabOkc7XNRm2MZlCJvbS8l6ASVbAVjG/sMdYRAM5Lpo+RZTjLFUNn9xrUVKzdOGZOCJk8
YuuxtEcy5ckmdJc+ooVEQqWa4ZVbLuuuOfJd+yRUld8YsWV/lLnyn0FmdPyAfUMn3Tr7uijbaydo
xYeNkJCbKUisy0koY2cEafmZw0/GB2QzCKr1tCs6/H8W6ugiqDrI2G71Llut2cnIbceV2sza8Sov
ELQzFqoEPKIUEOj+1Ep7w7lOJHTbJiPGob7x9FOZklAdZvbE7Y7eH3431iusZT2TWL6rMD2V+8Eb
9E1XOBhcyNVR361YrK1y32DwyfqyxMTKiBzFIJY3NeML/5f1FbhEoFvckDpduBfCqew3WH0blzEm
8KgY54IOhxI1ew4KbjutposxaN13rDLts4v/9/vi1vUUJl2KpscvrTnqbRtFMVvnZ2SCkhYWNXd3
pBNHzbm0RRnFs+oZ72qhi4gY7BZzHHTAKxtj8eq7yr0u49q3GboqX9tJT3kbJ/OdDxf8Q9tgHChO
rl0WNae86eMw0xB9Gy7KoFy41i0aHetQVrIJuYKt8r7WSnEYY0tgr+6YPSIzQK/Mn8StLw14dawC
ApfOprIKu90OVcN27NistCEhICqu2mMeoMDekuKQ74vBg6+Py3h6GVwGLN6J3z+p2VNd5Kop4F17
7pJEJqKxNkRuAoA2FHTJqkyNRx+R97C1pe/SJ8Dwn7DYom1NnCF/M+EgwS2ySTN2M341LUItIruL
wFPLc14rhi4uT9ffFMnkOZjS0GZ+zzLZ7zHBuxcAIl62q32r3oPWlp+1qMwrCI4ATx4bA1VY9V7n
3mQqkU/ES+fPYiSFO0ST6PI2F79xWSXg9TOXGLn8Ec7s+kLOMWS9ZLsbUvEhCR6rrGOan9h6iqTR
yN/Z9InYTZmmQLhc+1mJa8cgRQddamUc/UmwHCVhz7B1GqtBLajeMel3juq+sV8zZRgjPrEKCxNI
j82y2LmS1AV7ZBbQCtyaXZNjWzKsBN1K5p0mswMrzYLcv8aEgezD4/zkwM4TUSKT0JBrs7Uy0TdO
LRcPR74BYOOmSN82Qza01zn5QeSsz8X04sZ5vFk8oV64kzqT3dy6YjVB0qvLVjcHh37Zs4KNZvXJ
Z2xkeYruGz9CGMc1Gy8pS5wrExLW6ltuDfYFm+oWdEJKoqgbKZM2zqhg3NtuQbaQ2aP6ZDH6fDnX
Gn5OpkgtidpuIhoAIVGZb800W+5MERNU4dMZdYxMCB+Fzj2/HTI7vmL/bjxGHaqxrdBzJKBjgVaD
3IcAEymnqjWEfjXtNKTB6nIenRpfLhbHJUInDY6WdTpgUu+5nANLGvjYWiTdfUllYwRz5xpveo5F
2ceG5e4b9NC0p2MCWDQ3vOAEM1N81avaiXdlZfwYCs2/73zPAHlEFBXaWiMRUKQ5ckwnLdsy1EoU
a9ueYzNBDiK0u4RRw38yiWfYJu6QMcDkSI/80Ri0HWO9nf2w7Xp+LWnI2OOZmdk9KC6qKhpXsWGl
dHZflP588HwIhF1a4HloM9WelnlInvIqpZNmgXB+W4ryO7KgeNsgXSiOOUVkGytThomQQ7xRU4yf
GHHOZ5O182NeEsixQber05py7M6nklLYhfiNiToxg8k/iHHFsosh+KCZ69713K++LfrUYetoR7zH
9O8XGm5lP5LN+o5kjBHGcl2TQ7W0vwxNjDtQCxTLAAonIB3UnpajbnvUdmqjVQ3u0sUbl4PFhXsv
xdjexwt6CHaFGdmGfUXYITDlQPAsvnwsfNOYTqlQ7Q5tlJ/sltEb0qjSepAoo+3dZRfbysoOPpdv
zm00WOCWWTrmEKtlMe+WxRhYYcCmBfeAiNCCnsEDZodZYRpHOacPKYuBIpDE+U2Ps62l2c2m1fMa
0xvK6g8IGcEkIMzv9GSTQ23LU/ehYDQJB7IY29XalTyiavMf6UWTJWKFoKdFOlSURtsmxLPLussf
gUnnDPMCDhD5KJe/zD73i8i38nJTuxNgv1AsaVrMyQrtioOejrJzq/2ZdPx/zbxeZR9d0zc/5M/U
6+/Y2v+P+FnTIxrhz/jZ+7ccAjZ9q/+Zmv3tp36lZj3/F9NzPUhWy2IM8SBgf2Vm3eAXvDGe6Trs
VnRJNEei8Bs1a+m/GLCoULPEVuimtT70P9Ss9Ytu206wBo7ovqETzvp/Qc0Sg/ETMwvREXg6LHQQ
eGTpuz+JbRq9nbRak/1Ox567bipajy+zdDjKkDi7R+4cDrh+Gnp3H5wPPsEmj3pTrechIicNO7SZ
+CeTLVbI3Cfr0mU8yaLqfJiiem8XtMfrIZurylSXAUevOh/ChfBQ0s+dxRHNelSwdNr4MVLrGa7I
yOtg2Wr3mAZ9222Vqlhj7c558bJk0zRuDFo50mJQNRPp01QAgnodJ5eTP7jvqJJIHvQoKtMQ+LdL
geKXzcratmqXgj2URbNthSruB5yZHwN5GG/zuTzpZey+V4Wsv5sqSbqIY4cyVjlxmu4Sm+o26F7+
XPoVh5c4V752ZLjde0M1PfRrVSSUlAKpr7Vynlui1Zd5erF8m1I61noL8NV3Oq3cudieCy80Y6pv
ynNBds/FeaBxiNnQwBkVJogYb6rOIM1hNlTw0p4LPGQTxT47F35siwpJmN111zT4DoE2eNWZd1ID
W0NQr0CwVcqQ9Qu0FBoZK9bJH0CC931Nt3BsjLqLGJbUs1IyL0NTyp43UJTrKD111U7kdf6OW624
XEhyuSVQ0P5MDWP6hpsStxktEV3POIn6oi0WkHecPdM2ZpH8U9Wzp4dKRrNUOcpLSHYSDT7ERTlP
6bmzAhBMNmIJshUFsJt7w01yAbLcT0/DKMvbuhXpHdh93u3wHAcHKLR+T1hC8j3/ta1jevN8oKS1
3/PX1g8J6tBduOhWsN+cu0OlEY9z0GyaRqA9+kdiQOglDa8FGwG9YCHdTGENKyQUjzDJDHYsjprb
kGALut+26WXMfL62rMG5ez03sqocp5ccDf0lEwzTeHZueodzA5wGBHNFPbQibo4uq639+GuXPOar
PfncPesI9GFTA3XZV7Z5p/rR/1bk7F8JipTfqtX4VaIAN9ItHAZdOQNxE+IotA7Z2rQbYJinaWBy
2pcUvCo0DL9+qTH1n7xz1280nfvR4uTYGOepoGMJ1kUWzy5cz8Qc2Tn1uGWsdF+CJGdcqYzMoFop
DYgbM2rAdNgSfr+CkkcfDXi+azpoU72hbYvGRWNsaUaZ3NusFVcIEvPguz5m4pn4Of/dHXz75I2D
BGtZZ6F8nYrsxn9WQwb7jbGJZQDSsN9gDF39JgGmdrfVecQiNkPdiHrBoVEoZV90A+NjCKAZ5ztr
ndKcJu3f0zxB2V+ex7juPNKZxaKsQzGbjHoJaFHNwDfQx8cu6PBJnEdD2hzGxJRdZAMZDUGbRtOv
o+R5rEQ/MAIpTbaxQTfC4Bn4RpyGcNk0uKkuZwr4uncgbLlgCcbQsrfiPMSa6zw7r5Ntvs64NXc4
C4z1Pv0AsmmuvXUannR9waanXCb4dWLu1tkZgwlj9HQeqZN1utYWNNZ5ba+8bhNc+qglvnFF4Umo
YH/j85BOMZlfCjWX18hlGOI7thN6iJgTc+8g1gu2jjd85J097b2ENcfzigbUZ2BA5QbGWATSAAZJ
6S4PHDZO9VgEfvzm55p/bZ5xBtcTmFuStvgOKAgO4UsfTAJvkvYsVqCC9k7/ocYU9MLPkbmFgp0A
HquDk0tdN5tPaQlwj+KMgcBNFv4TjgmwEaTt4CRq6Gdvb5/xk9F29B6MZsVVuhVi8VawxT/jLsYK
wVQrGGOfcZn+DNGA1SQS0MZa4RtptuqtXCEdtYI7aPz10MHr8YBKHuyH7ssb1skMTAiph4mhbBne
nGCy3EO2wkdBQYxDONAVH41aAi+tQJMkfazdGs3ob42WHYOHLpZ29qDb1eTwvXH2JGgc9VClfrkL
KPfHYjLBtQqbWLvQHDH2qbj1bqCJrNfVTnhrzkazswRgaAm6lt1Wqaw4UMzEcSHjxvo1X4E1rCCT
FakVbmOgT6M06xofA48IJlQVGJIfkxWmY7IzK6gEVDnOrzhej4gqivNERTYNskRlEYP6JY2H/fqM
BZKq4BOfsMS36owVelkMbuhjzwErW+HEfgUWR4u0SChPfWdWAfbYFYAsViiS1AXiMtSQIsoDqGzJ
stu2K3gZF1K9INQd4zAhFykNbZQBJZEkytJCv/TqS2forBuGvHsFG7QhQey5SaAnoQCwbOXSJ8bP
iU+Z1ZFUAHT7OaW5fkyYuAgcaQX0Sztv7DkDqpXQosL7gmB8l4mt7Y2sbEhUQpUVqT4jbtVJJvtZ
Fviwtk0L/ACn00Pzm409WkfbdQr8DDaQ/pHk7ZS4P418D2h81xnAbGdLRIlXqmU3dT6z9ZT6n00j
GkhCQxpPKUjeErbQ085hZLCarhcun0+cdvCf40CrY6fgJ4x0fXNpE6+BV0XPD2Db2tYc2LWkUvgY
NUl/g2zP6zelleVHEub0bYp/9b5wQEOdIS43MfvDPipc3T/8LJYvpW/hW1/m/l2Dbo+KxbWzzYiR
HhOgE7vXeAzdsA7G2tgWJHnl+DLqwiWroNG0bza8KJbzcciayC+UqDd4NIflWoAym1vWDZPtV7VA
Y9skJjdgO3TJdGwzzboWTD0kIE3sTtw2hrK+m15a5MeAfIIvX8RmWBGOxLXjt+WxqvrAijgRBg8I
VPdvlgVEC+1EF1z9L+rObLlxJMu2X4QwuGN+JcCZEilq1gtMCikwzzO+/i6osroi83ZVW72Udedb
WqRSCpF0+Dl777WHuXROKva4yW0FBtGsbLSDUddKsvL7sP0oZYvTBXjS9Kayno6Jt7Sa43aKPXNa
BD671dwUWJVaFclzH5jpvM0mwx+9hN/yjQCkwjI90SwTMdc8JBkL/VIWNvB5JsonLlGo6Ykj5M+m
muqXjvDeIc0MO/RyaaMh8FAab4PaWUwoTs0GyRIGmSDoNfG5swQLFzAoLZIh+XtPJG1tnvoAjiWQ
XzvmOFMlG1OiR1xdrIpN/ajy/WSazTdI7JF0R8e2ScCl5t3gzMUTbSqW5Rp2VOxtZPaXeKi6eJeL
kFAfO/SCPkBZT+su4n95igokuHMt/OBmjBsEOI2p790wnepOlpl59ZvaKle+NNt6FfSzVnJWSt4n
RGP5O2tpp7LIjL2avJbX4zwaVvTu1XcGQcBj5y8DN61Nc7jiGDegFnAr5sggTbuNVCwiazvU7ew5
MOLiS+IlY5/QThwXwbDcjuKwnNFUujZ956LgX6d+nIKTzeJepZCxnWY+Nk6QrZMsstDbqhgJjAN6
wm8Rh+1TAna857mstueumPxj3vU97aJp/ZV1hrgO4MgaT5ROehfOo/IoK9V5kmCytrJ3nK9O69VH
2F/DERiL8jqpPhsmH7zV3VDE3SvnL9cFvWql7mZ2E7Pt06dpNWSqvaeIZHouoolpuuMZ82zqKh6Q
JUafcQhAZNsWxPWA3MDXadyA0tCUm7KaAENQUm4xTUSyZ2dz+yfS3MMqKPpQ20eNNNNNpSagZcyQ
pxs737Catr4WBtFhbs3kaHT6VO07fdmWRHFaKV7npM6vPu+zn01N4S9xqC6X64ZZ6kmPJ0D4ZjiM
tdiqBD0Ul3dvqB8ICNboGugt8caAy9oTEs0LR3kv6sbaTax57cLDbWZgzMxjshru3DPueLpKSdcL
Couwrwa78WYLFUTCW0koIrIgEnTvBvvoZgrMeDOANFy1YwqbE2MKhJBcN/canyfemLNiZyc2jsCu
Ok3vtduZDaCxWBNwvtnGg8rzZj4k/uTfET2r0gucrTkHIIltR55wtOLGC7OhS+n7CGi4UEktaa6W
9T2TSpob9UTaPKyq6iacC65H2IkgXUpRZvptG8MeOxii6cOzPVideaa3yh92cRO13ohP6g5OQKWc
bIM7ycOUqsibFKsZ2qYZ5zDaGyKOUFMIymY7QoLTtMGKMDVvMN/UdyeKE3NVToBK3hIzyFmSjoGw
uCS1mo+3k6xgTWNew2ZesoeMEMgmCM5eMEn1Ddd807JsrAeYAH65bJCMyTnx+K6GXWKL7qCTOEYs
Ipm+K1SZbNug5S4hfXO8D3MkuP0UYYnchDWbJvz1XRDfFDrYDHfGE4zPJpHNBi9OD7QxGMwtpirH
P2h1MYI+iwHBuE7uW/4hr7qpkiyGpTqteDIgHhO/T5vXMeG6XVbjlN2kGkIgy87QmEkCD61dHnIV
j+LOx/Q/4Vqh+viJh5TZ7HET5Fxz1GE49YNmE0qLoqbPHlmAkicUfIaLO8KLNPeaJUWcoAnYZ6vQ
Wy5x5TivMZc7RJGpLaHA8ddBpKmjad6JwLb6Y6jocwrwzLD01axY7caSdWWuZrtWjlGWvDqx4mfk
dJEWw6Tkmaj75ZuijQ5rWHUG+xdc4XqpHbJQ0vDmcYYU6KnWoziQ2gu9yEfdkG3GYyoPFf/XHHHX
2wsrRg9hxdAjuKbh9HMKak3bN4MIuLCqfYOjDjmXzLrpgtzSeP4bU7bvtUrRCcKl1w7iDt2i6OvH
YOQTy63FJ4Tr25NhAjsI+o/GsrvF3mtDbirgpSC1MQqnu6ipA9NtCFg8NYEW8HrYc2wQMg7EGVZu
Km/oSeoDj6+GuaDnPYjOKi6cfFXADsTnTGp0Owa59Vlx9AOMqWTz2AgdUSohuPueKWa+Z7GpQC60
CFaWadO5bTYLE0uzgb97zgztbKQBjhX8fkuAI9vHKBMzvmN+HSbGrCPvy/aB37yz04H+8PWFJQr4
gs2+VPPxHR9H8DRNUQvSM2gpbo6FPPSagD6MciLczhbpa4DkU7oJLmfVtQoBtWnojVLFrEAV5K3T
dRXnkmZnzkbhL/ZUsbs/EoTE7TniCCNfYvsDrWgM+/gGfbBzxBxDQHH4kHpvwFzNiV3Bx/nPbjf/
NwZLVMFneak9+efZEu8rDaPf95biv77oj9Wl9YN2E0MYJntB2oiW2MYfqRKyI0KnO5r8iNSWYMl/
7S6l/QO+BatOUziAMQBR/GN3af9YtpmOw8kusNUb8t/ZXX43s/8jq8RfzmbRyl5VmBqnCY6nP6ew
opzQBj9etY1qTHOraqjaB5S34SXs2/4MgfqhU2rlmmstUjEkxfI48c5eGYDPE7LOcfqaJXX/Tlw3
2vuJ062Zwgx3nrnTwapo0WEj42401fHK/z5ESB7KCzfA9Asd52PoGkDas6OsK6QckPg6Xjtn8B8q
CXiPw6t51go9ey9sEzsUtCK8AElymQrjmhQMBKnQYPhq5vCkxaa6xurPIMWKwHMged4XhfPC2Ky7
YgD1zZ1sXJuKMmz5ICK5YIHxGraibN+qe+bqcCHAL6u31rmyzk08dnnVvZ7pyroJCHkHQwO0qW6N
HXjUCsuCMzyT2oTlKv30F1im/NRrQfhhmxk604TptMvt5iHuZLaFGw12UzcR+HjoW0QCSEEIwGe+
eEPRmFxTp3JerWznNIgRQ6GcwUS4TQXtVcviiG5hx9AjNpS9+lqQQlqpfjlAJqa8rMBeZ9wYbc9Z
OC2rAltJGyQbgRNTs+eyp6uvYGfzn/20/1/VMgSMKhs5gfTpPz8THlui5+8Jgsbnn06Gf3ztH4Ez
EmK6tG3+j0TD1d+PBusHESkhVSEsYS9yx99FDfGDgJqUjg0JRnNQPH4/GPgD23Q4OFQdMeLfEjUI
sf1V1EAbEVxfVdJmxNtUfojfw59w0cva0Ey5DWKaZLZWCrPQhT+obEGAGe8N1MY7Man4xstEdQPk
+9FVkwmukaaDohwMazixbI3cBDAPrmfIKmH52CF75H0/u8ilhheaVbq32Dd/hFHX7tU40uDFtTQi
uA6LvHjV28a8VyiZQK2zIvXq85Hf5G01n6XGaj+t9HaHVYGfwuwAOcY4ItYApiAZl/VXUPfMzVYC
08DJIseDa22Dcu+iU4CuuZ4WNp5idTA/CcJgksiiddPG9hGDtoOhdMaPLmJlG8aa8xlnzNEro5pU
God8XI9Tp95bcxThkTMrAIDSws4xJtZKbwcYLAL0PFTzhuislUsXKHARrUJZv6e24AcdgpTByiYJ
wuw5EbgK9R4Qn9HZd0MK3gRUfHFhBVx+wGOpbvVEPemz+Qb8/QYO3rIrS3fzlJ763jrOxnSHAQ04
p95diCfcKLxyHtTflnUvlQ1mUO8H6EDtpuAym3LLysqb0h6HliCQbz60hmWONPD1vurBoL2TRXz8
xiyWNj0l8CpRauzC7jZhNjm0OTDo96sc0NO7oikTNNbaf3MIXO3j2S4vsAy6AilVMQk4xdWhjqdm
N5qKejNik6xctdWgcNhtooLxWZIc2Wjt+qaydikrskdg5aZYlYFBq8Y494thVaAF2cq+wE3/s6FY
wQV/KXEHMYID+B6s5wFvB1UCHHJAhSHVmvxG1r6eRZ+RSU2Uyrty54QFk3SB8X9LH0D+BgHYPFsF
fqtUqPFHXRavLcvkV8dhZ2JleXKF7N1f2LSaT0UE44IbunrKo8o6UYKC4iJIudXNePLhXZ162B2b
utKUnQNLZOsH6BGWstxDR1JueJgS3tHEoRAZfHxqxMZu4CZipU0TiVnQysRpmmswzwxZ1lMLoFS6
xHOAr1bRdI93ftxnQyMuUqSdTtlb2b+TpxlYICJGQDKNtxj32rch8wdynE6zQ67UHhrVZqdoD8Vw
Zuat31IAKRg4IZdVLpYQo7p1EKkwFw2E+zydvdoK0I2yTrSBdSdmtHKntMm4zWdaRNzcMIcLFqSM
HLNSD6tG4aWocEaEPCC5RpFJ0YrjHGQVBrI+O1gxnW5KxEKL40IwK2OyuI1DoBH49NLL0M7tCVO4
ehlFb48raRnTPUsecdCTtmlZQIjip+rIANz3BHpegibc9HgT1tFoqfWKS7NyzHgUdy4B60LwTfP4
LGctJ2c2J5eGaXLd+mO+blOReuCJxp3FSMijWxnKO7sc/LNt6eUpzOBg9mW7ZAwtGyweOdR65Zhp
dJKxLzdWMZk0RzTjETBNiEtVtidkyOEGMnz2ZpQpla8tSDbNldNjCZzQcTF9+w+Crc+HkDP+6aFy
qGmp6nsjL0ePgCc555RsohUJPlvTkCW3MIyGO7sT491kGGC0bPLHbulYFtBoUJZWu1Mqtd5ZLExO
ieGrOycx+kNrKdVFmE52iQzLeKoUrkIMTsXXoJUYBuexkDt/tpV7a+rkmaSe8QTbRTFcwfXh2A4x
tmXcPEdDdXhL55r2K0982ysE0qNRqMJTyrF+IkMX8aZIuha9KJ3XmpjMTaw7YivjhE6GhtJZeq8a
FwUVA5TSyOBetzJ/E4aEZFaaPUz7Ism1U5BFM8O3aWxtp0UdiKGcB8xA+7junJdcAYwB6ri7ViiB
F/4Vjl47WC/EvrItWN1w08q8upVm0932Zpp/TFbbb3Qhszeqpp03x86yS4fbZytHJWLtm0je7WaL
o7fWTKppLbmvkx4KQ5VlZGLTJDwkU9odyl6vlsmo3uuzyC4M+oUbJ9FPVhU2MKvmAKmOM56nWuYX
b6VGvtOdOusKZ9QNMoDNdmgFD7Qj9V95ow6eiaC2ZZ2RY/PpZCXW5jQzx2KvKsNVrQ8DpRUauZa2
1spTSXeBO+sqlvqOppd0WZ/7qsx3RhwhKuL70rWXeqoP2AmUG4o5dllg5ysrYq+p1PWOo5qEAbe9
LM6qHXghivFqAURhTPNyXddtNK2wQGjpIeESr654TTK0A26n4LE7EgdI1vuww3FL6jfI1/UIUzOs
6zeVyWXXg1PENIMpoVzNqjHc1808eZ0u57WsBmOTO3DaNaUGVdsFhbMbRTmxnKILaDWNzmqIr3Av
ed9kXXNR8ZZ/QJRKdr4jy4/KnrLDWPLryXnPP2RcwnnHlvpN2JQaCRq/9ESTT0cxSCy487yDmjdv
yaGkL2L0PxMeWmnmv8M6JjeQpYSScmXXUobT6lBXjcLfM1sVoDQV7doYCVukuFDvdXpuKLRR4vEc
WvlEtNI2sFAZoUq+Oh8FAPAIPjSGhl+jX5sHIYv6ic9HdbLssttpdFXzmOmKz6zN+p0tS7i/spzf
69Ag2RLmFz8RBAYIEq+DPvPveQEyfqcSsbVKavsd6Gq71psqpCZljD3+QwhbzSi2pToXl1TL1VMT
RdnL0MMU7KELqa6qYO3YDEAXd2yrRyLOpur8ykBtu76iOJshSfRqVWs1UeiAsP8aIdvUt2a+ZOlg
6F0tiPDROhz1fpePY6e6pM9MfCqI11fuF1F+QwmVEmIPS1nZcwy44V5txGwjeFQxNCtcclhw6/QO
nSP6yjhxoCzr5oDEUbHV1czoUcuyeB1z3UUqEeJhQVthYcznln+3tF3mh9FGi6W1grijrjVHjYDv
yminEjZcdxY+tGYYzgpKQg7znG/Y7NnPFVjoMI3a6khAkqsFMxF1F3UzjJ8DFpZfQwk5JDLqNwsH
u1myaiZ1HhTwtwJz181du5utKHJz9PKTpdWgqkq1P87E/D04B+RtmxCZM+Xx1KiddtAq+0HOQ3Zs
5JCsJTqKRw1544WNJaBgNgE5OyPfhAD7jsS6hzOoLNiusOjv2yQDGmkI09Vlbt6YkBI/2SxqGz6j
wTYPZ42XocugJBTmTaTZwUVle7Nt5r7dKHEm2Fen5n1gBfUJYCTmh1gCgTRIJ5awrJyAvInVE7Wk
rLrGDvqB+2VcwyLzL6g0DI9DYbk1R9SqgLBJW0CUAIP0tXVQkUVdOmKJtdlQ7sMoGg1soBqCJum/
wpXkhNbEBcNNTMIi4HY1KPvMKbAfwJNZi3rUd9loinu/daCTlKpx09HTtTMmPdkmQCae2pr5upQY
KxKzH/ZR6hcXa8DauOqImqCuAAN7oaC2xd2YlFdV01g4yyg461GOMdOa9ScedCmfv9pmOohMudYH
OzlEIrMRtFuc0EGZ/7LzxL4xGyN97JM825osVzGn0uwyJ7qxZ1Wtb9hOqnuysQJNwnd41BBpRXJO
NMD6+Xhq1PYOvXzDPVU9JUtY1U7rZ4gwXgVK97aflNccotcK2c541NhkrEx7sVAVDC2lSQC7lOp4
KA1MnrWPRXA16tGw7ho0Y7PLlGLFG8NcnMHpcEXNMB9UfTa8KWh9/gajRTaw8Q+/TZb/DRdE6n/F
goi/zGl/4QspNmtQAL3hbkQXWCmawaqkB9SGdhZtJPoTAIJBeawcOT7YQjgvk92XZwk7+mhPsnql
Myde6z0XfIi3MtiG3VQ+jJozb1RDobPCIgMHHlC55H1NnGUhZqNc8gpALKBO01V8Gb3QcaIoXGpy
CiVAZ21LXOtrMABHm06Qn7jfAk+Do3VW4rTZ4a186qpG7JW2NNZEBgResc46tsJoXVbfhWfxs38n
i24x3SfgH7Xa8LLKnvdwJK03burBljL7eAX6/73ojUvXdvc6N5TVlOSJ5zjkNQ1SHHd9l5/8KJlP
UZ+gHCY0VazQtxyS7KS2zE061gt1IqiNT9lWpHNBoSP7TBmXwnWviOJ5llD/vTLCJw2m2OxPvmVR
9Vdx2121gTTviqLpz39Dwo8cBzdkYuWX0anRZ+lDJil1xVoPbSivlLpNzkoJIXT7pqauaVwzj3rb
KTtDJr7XxDP2VGlTKbeeCnX86pvxpQFkvMlpWthAvUDiHisCDQGzk1ka+H6RZ298arB6r8rqFgcJ
oPwVNphmrYs5Os9JzhOaDD9A+8y80ELojysNZtSVD7qzH51x2KPv9/sZfMVKYKz7VYYtV0GgkOMD
QpOhuLg02sG1q7yzXFsoBSBI7tn995U7/b5+y+UmzlOYS3lc4lHmFyk3KrM8YgaN1Gdtuclr35d6
4s7iAAeWmz6h6pHzgfv/AFXv5CwzQbJMB/hSotsu7SXaBxiIMytDsSlJij1ky4CxEJ914NMjL1C9
jCDa9zTSLYNJtowo2fe04i+Dy1CHPKzNQbo2PQ1UxUBIWcM9a1bO98hjf48/wqrzctdWFvm0Gtgy
jnBnPellzAue8MZ1kjJ2A0NY7/BuJJ12eANl3rcXfazj7cSub+YQY96aq/m+JNflpUp5VWQU7UpA
OidNKYsrHY66W+CMdpWpAYFScBU+0NlVHftwMX7gkSEPFnclHAiuYSub18ENCTc8y8owEAY07eIg
2z1VvAYTmAxGRqiTxGW+58hkofuHScumgCFTz2O4ht+Tp/k9hTrLQFpCGdhWy5DaLeNqh1PwVDHB
lssoS16Gl30Zb/khl0GXkbdehl8IFf3FXAZiexmNDSWwX3O9eh2bmIr3ZYDullF6XoZqQp/51v6e
tOkvmXbhMn7TDBV9Tt8zebqM5xhY8aouI3u7DO/jMsa33xN9vQz3RFqVn/My8BOIO2V+y59iwqGr
5HszAMG5f+yWdYGxLA6gYjrevz5RvxvZf1+JC11SVyXwzC+eYjD5f158NY6jMSRUynbCqX7Ik2jf
St8mSas4aym5p0tHMy6q3rLCpehKukbUAY2QlnilTITqt7qwgs+p74ZDlurTUbFFc7HZ5r1wMcDE
YJenLgJ33ZGUJsqpDdc6ayPyMkqZ8Jou2YrJmpIddVkNo0AbC8szAwX0ph3kxRoXnX7QHNlzs8I3
+l7PHS4VoBshJr/lIEu+z7T4+3ybv886/fvcC5cj0FkOw3/9C/tGM/7pF/b9BOIyjZQgIeZgtP59
U+jUTUArxGRvs5V1P79oL9W78lJdh9vmDgN0fka1+tffUV9egr98R6FCVBE6IFpKRv/yHQcWLJnZ
Rv62N23/g/xdhH6M7H+bUE8oXW7S5bGGxm66yBThByG9dl3qfvJrFgYefxQ4n/6OAbgDtvN2XM++
xjNcFqWlbmfDV56btjQfMKTzqDPzYhBuolt2gpA81buxKqqTltXJwaQVbc9NhvOJdcrKtOxrN872
tuf6ybIhizepLqrN1AzV0aY05s0cYn+P3Svd9xVo0XZKlceMSOOpI+1xF2ZwsOUi+R8hkhKzBML7
rgPvSjyssgNgnah+0gNtOb8ymT5//1L/Y/GE/50CHve/BaT2z5f1D3VUdvX7nxb1qvjjy/62p3ck
Ep40UdsWipv+W/zAET8Es59k3c6fs6pnHf/Hpl7qPwzDNJHw+BLb1JZG87/HD+QPRzrA5AxUP9Yx
qAn/RvxAN/+yqUcI10x0RJb+CIU8MZc//w3TWOYJ6XVddDtKQybu7/CllGHp/ct4qDvjC5oBTXdj
mLpGk0zbuWi/kL8oPbNfKBNjqQ6geG1Uw2dLN9IqaTMWZ6NJWkgRsLraKr8HktMcrT4gHWcT3pp7
MNJzFd+ZJULZIPtwlzeKvQqC8tYqE+KNwCm4xBgvBenVjdlN10JXv7IyvYiJ+xl6euPmDrjVOVE+
eUffYsyRK7SF6i0sSNnTUjfu2mmC4GZoPt816N/Ik+6UmU62lKMNcz4LlcwMLgFiuxcRsUI/m4IV
imB+KpFIjm2sz4dSKc0TkX1rXJV0CA7sYKYn3wke1Ch5H8L6JVFbWoV6LFc3ClB5yp1G3wM4RHIT
VvAqlnp3zSZMEXWin0rav/YyMbrN7E+FF4CroQ9ARK3DnmcinxAbovtFxuB2sQIxOmnWHakVLsol
8iJh2y0VFhmAoyq/sbAmuEvOjaRFoOxMHapL2MjSIzAqMYY71h7KaUnMMjA/WnN6q7FuYPWZya8O
JDWkwzK9JNrwwSVKuUFgVPfOQINpxFrPw8Ok38xJ3W2MrPiKoTwx7VcWUL6YfUGAsoKVGcFBLWzY
H9zV6XaEVOzgW66yUV7tZv4sAey7sP+r80BT9ItWTC8YFkP8wLiMGidWSXgiS1RJty4h9ngzGUqu
1emvKLcTNpUs5NoUVbfnP5/blNKEgT0mcVf1UFgmbwAIDTuVfutjZKUPkWk+WG0TH2yee2xYxuih
8euG+UMmoEySAP5CkF65ScM/ySiknhNHWw9RiP251B8tYNhri2aXGzZZz7xfna8RdvxaVSh/mNnh
eGAqsnVfNg++4j+EE2JwMWYkKZqneNYTj3WLQ55DoyNT0V9TIMS7uG2uwgCYRY4cNnusNSyHivZJ
XSy46P3XfgKhOMYXqG+8Z/m8uz1bkRXbb81ZATB2tiO9qf5NrMmq3mZzq+9zP+JRH0x1edHNEZu0
wdxEeDs9O41M14UeDPssEuXG5D14DloacXnYRXT/Yi5iO8Nx5tAh3ZZwzmM/dBlgtaORF/G1iXV7
K0sJvdFongQ7pfuMLsDDYAJ1AeeXu61uPiJ2gMSP+uyJlgKAcjle5MGYqKdNYmqbyCf6r3VR9ms/
kdWJrEhwmGmpxQbLRIddzgCV3/n1Fxbh3AuKHN/LODu3ZqaPd4y4FAGPOtz7odNcaPK4/GztzNjR
eDiV5hUZ1ehuEAxhU2l3ZwR7IF/k43/ijdxF7VzhorGKna0uyc5yFnc4pEevUxjMphB0BKp76aqN
b7lUQIVe0g4L6b60o52kNRFXXJphl1RU03MGpXueGsd87ILO2rFr9J9T1fJdhfgRVmE13kaQXfax
VU3HihDFoxOV1SkoKpOcvjHLazoL5ZYoPY5ZJ42fzVw+kxVBRINoEzRBviub8VK2vfxi39Bfo8Ec
PCVqGAa03rRW0VjMBzukLYrs1QfF5cMXfW3Z2aL75OBM5rBrW4IcuLIYoYHebcQcPNO3Xt4CWKR0
I5Mertw2UJEil1mbtlVcyEpFZMWXfHIXsH02MjeWfWgdFzDEZZj98uSLNj6HsEpdcibUHkb9NtPb
6jlXYRjKIqtv22rqYAyRoeoigY8Zjcvt4zl+pOePWXuY5qsfznejkVO+bufCK6Yh2pdxd8dzSNl3
hV9tDNUIPuoiw42WKg/BWKlrlBdURJm3Z5KZhsdaIqL6xO6wCkdEysLkWgV6cWfE3KAzMt+rmrnR
NSxLMpLavgevb2I7aNDGqxhK57WwN3AC2tlWhW1wGsHArZSsgoBGQ4XXWxqncLRUVoW5h1ojMNw7
d6wWfkbSnrDzD2Q5HSS2UQXBk/QxcZyumdd9RyIF3Qg3Xe4/UQnNU3H5GYjrsSyLBsctWkc+2yjP
bspkg7ebukooa/RakNPWYf9rwfChsMuLCZoM9YMs7V9GE9/gy+T0FWRhQ5pIpX3uib3SC0uNkRfb
4XCVA/Gf3k4UzPPsxVmV36C+x0+lY5vrShqkiebwibweU9aQemQK6tw1Fed1RtLcVE75WYy8ocwm
faD+morocRo8EDm3cz/fZCzAXJ528WPT1nLfsRh26+WVBrbkb7Qe6ABV8h3ybf6Zy/mjs4q33pLU
1ygz6neKQ31tNUTijCSPDqMfXKKwqm9sNRgonJF3kcBpOoFwXKqHJC67BdgA3WGlx6x3mz6pH3Dl
td7cBBW7uZaEyYLuVDiF8FF6PmKg2RofE6hEfI2f4OHgQrQE/yPNwEbBBe4/dpP9v2pO0bhL/M/G
lP+Og/zHV/5hS9F/ANiVXEtxpbAqE0xffzjWrB+qo0lBD8HfDGsEYf9uTFF/kIw0JdfjxQBLkvsf
113tB7lcla90GKsXN9u/c939/9adhLWFzufCJNEghbZkcX+77IKjoUSvM/otFA+HerZ6OvP0M0tX
c6L6AzBachxQa8r/AYEusFz9dejEJscQYBu4d6VpY7z703fGqwZIwej7LV1R/iaqNaN8zySVdysq
2jBydKVIQtAHQ/eSUjw1r0e9KBffCst3108G1dyqaSlQ9ilafPVx+1IULDg0dcGKmN0TPmSVOp/Q
TTK/6XYDSEMsKJ1APxMDwsuq5Pb9oQ3VSmsh4m2lBpgmI1b1PhXSecpUwARrIrX9Hdga2umS1owg
AaZU6cHKZ4nVC9m95DrYDnyKBJhoiNMjMMf0ZEzDjLl2zj/iSqG4Sus9VnWF1/jFzz6txQk5PQbG
nFjPzozfhW67+FRnJZ/f0NAp6kJv8R+VnhLX9RwoxX6y2U3l/vRlFUayRdrb+H0s2aSgeQ1DeLHD
ztr0YzbTuFAgVYj8CdWLsBmCM39bed8j1xIJldcpqwCaxSmNJwCDuaJo+jkvB8+mss2VGjVrwdDx
hXXFrrM0U1cBJMt+tI4pzZPvpZLmhNf0o2o0XhNy2Q+0moKRdDPQPwpjmcRJpVGaRX282xi0MjRh
QXOw3wzngTqok9qB0J79ugbC0nQbZoMMIzb1dYLWTRc/M9biIbLWCSs6rxmpDmuNoNtLBLQNjc7G
XgcTvlJ6ie5cd93BV5toqw04PKiAnd3O4ERMsEdt/DLIDmGWkBE3Ut+r5wnzDnCPNatQ3JCNCNJ9
niv6J9eNYEdfjOJZiqncUpOYwzurous0p03i0dmsIyl22ITs0Yf+F8eqhjvIpi/b0/E8OB5lVWBh
Boxa7+z4EsrSZxzabhTO1mvQ6fYN0RnxwTmffQJJidn8Jsu+WYZDdw2K5KSOSpEC2FRxdEinguRQ
HQNVVw6ZVpYHsNzFc2bDUYAoWENiUEEwz+vaGKIZWwtQKwCKhUllOcLAJYOOCsrEN5awNTYBT2bS
uKWjYlbdUWjpKW0yseVhmWbbRAnt+8xQ6gqtUle9ig2MXAOualWoFqZ9o9Ya2bSmmvo7qVCtqgfh
FByYS4nVgf6xXqkHnghPkXW9rSyN4rWKrO91ArxEX2dErY5ZBdlp5gNFf9rg0wah2gFm7lR/KJBy
fXiidjTxy1xS7dpENg62akmvYlb0T05QGRhuHIvgnzlKmrEVvR7WtjEE1QFyjfgqKppGaEYST4kG
VmPbZkL/lZuD72x0TYLu0aA2smSeJ0O52iZFPuSV5mPS2DFIZUPWmgvCCLKdBsXuoZPEtldRpRyR
5VhC8Q8cvCCyrt1MOJmfL2s26ayc2Qt8mkHy0WThSWDxL1VF33QT4a+sl+muDx3tbOrY4Sqd4BQN
7DhYzeTktFGy4hpMJkstG7jICm67srrNIVpdwDh/hgnu+Lqgvdhv02CnxlZ5k+Ps21A+62ysKSs3
ASzyS0if4xbmqX2kLVuu4QUXH7NZ95sJ1/2tOsUBGtO0mJeaZPyV0atFVmKQ0dEJAbDwBrYRROd8
6nG7Tob4sOIhOgCKS48Ih+fRykYGsoYKO0+IvDG/qgKcbLTCuqO7uAIyPpfKS5sF67yl+Y1InPHI
PAW5Nu+7O9o71QpdFOMLTvn+MHfzVwm7KXZJXehLqMT3EJQs+sQwjejJTIkTQJ31kAURGcQwuygq
rhoApgw9avH/2DuzJjmVNNv+ItrAcRx4jTkycoicU3rBUkol8wwOzq/vhaqtbnfZtbbu9345dqrq
qKQjRYD79+291hQ9scvM3RdtLR0+PJMP5zxu9e/BKsf7nsxzvmfIURMNG8wDK9Zka4ZaOJvMnQES
eRHsaEhQvwKNhtOqPBCdwcq/Jam5LUBiA24T4jXA7nahFUDpfoYoaWY+wPGU3+uI6vMUR6exECVE
cAh5ReLfNUIlN0hIvnk7pfd0nppjAVw+Iza5eP05c/N520TcsvfdslB+SfvYqXYWmaWv1KINuYnz
zr71ycJE1G64GO+TNULBeEYTQ0m4/pg4fx/SDlmi7wZ/7MQZj0hGZ6o1fGGOXqsDfWo4nsq91jq4
b9mXv/n8OZFEc7oTLnq0AVrJaz+30S9Uz458BpLFY3ZYKtzC9eDaIJs61WU7prTgNKDyAwhuuuUO
w5MLGcP+hUC0ZuDRL8dCOPA7yXzOXfVhUXDG/Dn3gt4j1HifQgXh+mNKKAXKYBME1I7bdHiZcgF5
eNW43/u9D4PBKMZShZ7aqwmqx8gF00AWqtv1TWldcfxG97NF1yLvo20aSJJQXQosYK2/tzGt0Phc
UpjZT4HsAIXxZvI6tLB5GvOvkNwxIPhi6fTb8Hw/T73PUcEWqGcW5jzW3AJcsKI10UHhRoiCoVbB
oHrsCE9pLvNRLABKJTF/yAQ7LpkXv8VuCLtzmPgARNwfGPMgRhsklMjSWpKnciaaU2fpwZqifUqe
9TCQCrtNZrQb8BQdQAN4yOYYBiY+8+EONboLkJUxUT3POSg8qlExM5lj46PG409o2nMWdLfIq7iP
zctrVGh+I8k77kvFb2yBZeGuDjQBuL55nbzEegEy3J2G0BvXowbFOdUNx1oFzpEnEJJYr4FGkndq
b4+CdgHFuRNTF0laKbz2luHri0n1AXYicYeCypjo9CyPVq6Ip81+fMRMAOfX7Vy+8Kn0LhwX+h8p
eW7KVaHnHSg691eVNojUnaGn51xF0w+iksWTj634YnP//YZSpKgBQRNz8IW/Z02hdhBIUaBPnl3D
+aC1tIt9O/q2k2U8KQ+sZzYUDO54zUZHi3tjSivbSZhMhrw581jbNyqWdI9E5n6GTtcSFxXzQxkO
OZ3SpsLIDTJK3cRhiR9e66y8wTydPseh413sQDsvFECjP0XPOhnRBhditLdpzoPJic7ZYHs3wDIr
e8skKtyzHUhxmc09gM8YWNWxhrZ7LG3hvLnEvGk9S2Y9JdmsbSIKnBF5ZWsaT6Ff84dQldc8CKwX
tiLZidGauWRzRubKNvpDenBzxxakGCUzldwTrSDd3I8h2DYitlATEnd5yTNj/owZkshdE+T5E9Bk
/UT4tsGrmbJn5GhLYJOj/SGL8v4tYNN9HyVVdZNEjn00lL0LXn7+RCkLtNNHKlu5K0u7uHizNb/o
qZQnjdPuETDkwGlSRVdohcEd5VKHfWLgf1gUq7cIneoPV7JrqSFDQ3i77wLQqiKILYBmuDkUnzNZ
cnJPwCfwxHM2AHnSW8iOIGX9rjvW6B7czRSl89ZvuVlsxn6ldhXcG6DIeVF5j9E5OYYgt4nnVBwY
SzM8KaimZ7/hV1AxOHl1lSa8RJLTfaFpqaCvWSJzrrwieL+Nsa8NDzBHQZ0n7lAUKNZJvYcH5VbL
gex/ez/mMtv6RfhJB8QB7AYcOg0qcxQ6U4e2bZIvDi3F3lLNQHpvKQSK8NlUxxIL4blpdf+DL+3y
ZDFb3C7eXDHG5icJLFvss3WfxXA4hozhxtd67sT91Nt6/qxdMbePZk7b4plAaezvhmbJyPqOXPAQ
j+A82QxVN0cknTQRZ5yFzP5VoK2jhzH+qZRT/DI3Tvq9WLk4MuuiBb9MMj6Ond0/NkY4P8Y6lC/j
TJZvYzoRfoyoRBY4bGn1HJdW8jVPKrshdex+tlIA6IN/l/LH0aj5Cd+j/NO5TNfiqabuCTW5fTKd
w7NiaQUPaA7ePNVIrcfHFmdttel6d6SqXNqfeeTLV0/Zqnsh266Ge0jx0t0ToBHV3ukDvj8l9Wzt
mszZBl4MY5kRKqzXdHQMMzCHD+FuZOWQcW5H8DeURhEMy/n2SpMFjMp4H17wEISKMVHb0I33k2Q3
Wa4AntQQIuMvTGhr3ayCx9H9USxTcqyQMzMFEuOn4EpEjLZpnzoPgrMFWwFjzq7pg+AymJioIJ9D
2kDK/sz8ZPoZs0U5K3wcDLG19eE0tRfsSefJHyo1840eJnPQYVCvwWj1GOM3YkUSz9FJZsUe9mV+
5kSd3M5CYvuEB3ka+S38BLaqgVBb6iqTpjuUln90aDI+pDglbgYlnN2ox+ypkpa8Cwd3JHQXDraz
bRuypnPQwjTyC3rpdYc1QXp+dBeDXB7j5Auax/w4NnbEXK7tUEhTymddpHT4Pa7+iwQS/EEKRJ16
EslbF4Tj+5TxzSmsanjPipgs26zcuwr+1E1ayBIIvvyOZWJvxdrcajnOXosS3c+cps0fpCVgU+NJ
sJ/K1cuiw+FmifHbooyeMBqwB+mtPLnvIy+74t5291he+9WE3gy3cyQRQEPzOau4TIgSUVZzG/wF
G/wNzXXkTvqrNUKyt62Gg1krbz2x7QftTfjX/fadmEVa72YSnxwPSnfczzVgjm4y4kCWevlMVEE0
d81j5oXLGWjIBJTeWtzRj8kvhcrDj9Rvo59/h6BwB/ozr1X9ZGJwDylnsftqwJ6xYEi7GwnuPw+c
8sCfF7Y8LGB1bkCiNXcR8tJXokQQyZt6/JmmcBIj6O2fhp0mxumQK7VTaf8u8LmsbbTh25XyVtkl
gIbojvFOCSZPw5XmjuVG+QFtd3ZXYVN6KwKvv/GaKHtDF8UFNVElN0HC7UFjgJsmrnP1Q5vwka8Z
jeuxeJlNI+BUl9W3nGaCUKTyBLSabLi3S955G7yc7lcQ59ywxq7sLnbMnom4VBafLD5ozh45A6mL
YchhbYHRxrJhyeZ9IEVMrSCcneccK8WL34n+M7MSZiu0f+B2zGFbffR9EX1Og01aIox5vlzA1Krr
wtPvbflL/cj+EkAYV8rukOUgfeJh4n5F7tr9pVVFEUSUy7ouqz9BATQ7Edn+e60Y0niwX29jTmog
MXh28AuCgJ1X8G1S1iZPmESdvaM64Cee7mFS9JrlnMaVWo764qyAk14E0R6TU3Eyowv+ZAWh9BAv
WX2mzUfn2+khzkvridC6t81KG8+fz+Kr1TXh1rr6qkGZz/fkDhLvxEIFPguFYoOuI3beKm4bYGfI
RnxrW2K+7WyzN5mZ1SZaJricdWXMe84dchdTvT/1fkokiX/5mDPBX9iLSHpZHjgFdLfG1skPEabO
i59VfIBSZ+HXYPX1k6mDfmYQFFdvsmy/+78oGbjP1ecCLuC75gx6TjyLx1BkLTusWPXO05Z1VHP6
K48ZbDk1eFjfACTyzG7g1Yx0ZnC308q04TD2xkOmvjFd/2xHRMJj4vCXOIOBE640HHgQHgqu+jYf
m4hTevA0pL18iNwIiTTxJ3oIf+E6c5SfvaGqLpMEjJfOho8DgC3vZkH+Xe8KQOS8pspDXg/tLsS2
xKuq55sGrnxeweVpbBKAwCH83xVrnvDx+dX8ZZ3nVV3y4wGgq4SQrOYGdVCFOzxlxr/ilXKOvJun
pzyymJoPDiz10fJwcFtYX8GpdQ8exPV1JvQDcQfouLKZHHeXW8TtONmVOIN5Xt0l8AeZdvUecZ8w
Iek+Zlw8wS0skvnbMuxAvxdvNkUNRcqtU48cDQq43VS9QImnK8abvPyA2XqbQdHZuT2uiSAyfC+L
KKTU71DcoJuzso7HurvIbt0PyVFE720MzR5XKgIZ49p3QHTyfqMShNW91N6jm47tHfod6GRtG10T
yst39l98fhTW/mVc6wTuCtcXBA0vgNWaS4oQ5Ek5RXOoJsUkj3pH9WF6PTwwXOuxF7h0SQjXAWJo
tYU7cSGWh+TF/A4J2+0gQFH3ioX9ZS1xftbREj0rnkwkcUboJW2ziI1agvwQZ2N86Dx7YcvK9C0R
/upEycrgbs6H5nGxZoLjYHv5nyy3Oql6Wj5nvVpevCZ7VV7LU3CuqU0JV0EvY3jlbPhS9w/cCcSb
QthR72xbc+bCo+DiUxhXsUKMtILrHtwT8O+vwUCbLVtFDLQ1cDJgAJiJGxTzox+JYtsaIm/DqnGw
VqED1oT2p71KHqxV99DTAuZh3JNp9445qqIHbdfDoctJbjjLzIuU/+idBwlfBIj9dHALXqe7Kln1
EmY1TUg34Ttea8YNimXocczbjlhTIfS9U4T9Gygm5y1AN7ErRpMlBGE7qNJaZeneR6/OPXlKmxfS
haV9SL1+NtCMVyUG+UK7JsSYCEayTS343DL8gB6Vx9Y7BpmehT6Mpq3mEI3aJMn0E0XwLr2QAUif
E3+hHFoQHvY3i6c8Qk5tOn5nfrkclxG7Ry4W9RT8VX74VWG1+4ziOEHYv7aQrE3CtWuh8NKPYUDN
I5AckSdCeYizgrB5H6Wb/dJ/VSSkJ215nlckAvhkKV9SuVQfrRsRjciq9mGGYxtDxm77R/3XaSJA
fV+biUGcq2WJy2b44TkIUKKAKjxB6vCnVSNQa8yMt8T1XfJ5onzL+gyFdwWK+jCqROxNRfvMMpRb
E2DKvd3M9yqlaEbaJayfh0EDMo7M8sL40rsJWuFfXQMgfpdRv7uNIcaQf1xFLkwNKNbHlQAiZHes
DqyZoAL91ak7MUMGvUwKf/5Iqcp7XEaEuRtK6e/H5DFt/HHcxZUKX/Ihqm5jyJhY37p8J1bFTCR4
E5x6XjPQ3qHz/gqS1UpDQmLsNzNUUMqeleXRmHNdUjSTKcjb+AZm0OAyqd2RHCfS47roWniNiGsh
w+HRNWJ5Z3A+PVpqrNAxOsUxhcp3HOj2vLp5Pj/QtJf7NLAm+1Cn5LV7sDsPmEQxuoGOo+va5MmP
dFbFhaClvnaWQLwFjiMBmx/gmeOPoOCvSeB49ybllEXV19IfZlmRWIrD9SHx5gz+Tzo/zGEnu40v
87BCYKHCx5rqmbWNG7HSthN/3KbScZ7jiEEviHq7fM5SX+yBYHOBJoXn8Trtva0KEy5SMy6z+652
ehbatc1W160ejOXhPDKgTH4sEOru1V8fkm4DdWf35BE2BD6ziohD67yqJBSXFAJHvC3bFJ9VPzL/
hARY+jcZVqTfaY72r/mrX5qoa3Aos9sVQrWw6VbG5Rq3dLp459Om9bYqUt4ETD3nh952o9+TNawP
OL5EnsM/5PuuOLvOsNxRKSNhtHqh4hZDFM92XkB9aH/1cuySXVjz5kNxj85mdUvNijzSDEr0Vk4D
AXEXB1U/yvSo/oqppoA0EdjCef6jsqjcdcW44w5RZNuBXsapkot/4/HcZk9fF88SvNCNJSAzEoEf
v6qsdRtqukYem8KuTpkkCL2baY5+OgTNEDixnH7iisT0u6n615xF+iOp6+L30vgkTEXHXzqeQ32s
2494QPfZ/TV1BanfWzdUiyll8Hv4XE0IvXgDlfAz/Sl8QSnpkjAuO5Hu6z65jqXfP9V17rE94NnC
LnuU8hLaw3AtXb+4NGhWXpyI5naMJ+Wq5oppgm3K8SdRHqA5tqPFHZvw/kDAjNxIXE3FE/DRPNsm
YSaa5yiqCVLkrNgSDjfAHVP1yHKrOhe2kzxRx2zg9s/EhnTLVQONGX09JwGZTjm11Ebd8MPiB77d
1q959aPxHz+SSOd7J62hyYRLcD+uLjUzl18tMsYyH6m+JYS6RBaaOzUYTIuTOx2JJFNpTMJnk/Zi
nyuSDRvF6PJMI9DLNu40p/tM2OrFnfj3CpG6JX/1brLge01brp8OmusrG5qRCYeVltF54Nj+009q
dY1sm268dOfuSXKg5yZQeMhvAvi/Gz0jmUu155Zog+IeuM3c3bJd/V13OeHaZui9h4RI/90E/eNx
Zpzxs/JXl10OuG3gusv6Jhn5NE12fOKpGq0CXVxrNjMF4m3iu6kiyLO93Y7V1ql7etaM3Ttnl2M+
LLceR4TLaPnVu4t2hENnyJElYcKZO2KCEsS2BSas07yxTx3OJb+/5PSG+jQnXbCzCfXvA2MH9REO
i+RtGs8srQYUf8qN+jt2h+O+WC2AevUBTlZeMAt2gh82yqhug4gnsLZAkcKbMfI4yPoZeyt3GbnB
CCeZLr3oGeWs2sGAbQ7j3sb7bDwJsj2BZXyOaOltJDOSFCZnvtwNANDFNvTbZt4MfUKZmJ0PJNbp
JfVn+VVPZv6Vcmx9AZQ5dhuVgwDYj2h9bxUGgxq4EwrFNmd/ueGpAEWJZx43vJI73kZnPIz1CGOB
z9Dg8qLJh+QOh5f9Cz01Yr2piQDC0gigeL9aHaNVEcK/FPZe3sEzaAdXn403xLy5Vkdk13sIa5tY
VA18tMK8t0Eu2NuglxSi4Z1ftSsqX9l1tK0jYRG69NPlbkyjFWg4Iaz0EdXdxHNPK9TLjf+bxghd
WGWz8YO7VvO2En8dmE5ovPumXBFHDNpyGkR/jZnEaFYZgxrd9pb+Ij8NLckY0TZYmG2p0HAWumOP
IigpzdoH/TJQpjwzZC9xf9Ds57+Y+NJtIvqgr+xs3QIEnyj9bblKP9tV/9mwQX3k5cXZ5a8dNPJ4
tZ+x2Tj5zhfL/MG8Wey7PCMitd6uymBYDiNSYSxT7AdJL9o5ZrzCvkNZIb5yWa8vsSI8WFEOkpRI
r44OHimCbchw+LKUNu2Uqp3vjc3GG34IQ/IyqQEEdmJP59bhm6XF3sqmR7x4VzfpJ27X/ceIw+rG
RFUBNrGySLE7/W4yrf7jNF5GkLBL78X6dI4XA2DTt6tbSzcCQRd/B2OLPCbYW/vDttr0vo+T/C7v
JrGvB5ssZgvVPN263vCRjM2CFlVXt3XeBqzRHWsvRVSeC8e3fxeNhojXBN0tGcrkISI+3G2bdEp3
cKCX3yC9klPskHpFowOUjtTedqrH2Dv8XzbofyRJZyr33+bgL584FIfP/L8m4f/xo/6RCwLC7xF4
C2wi7f+I//wzF4QfPYQ07LEptb2AeNA/c0EOuCrPCW3mCvwCeK7wP/1HDN5xgNyQLgr5XyR/o/5X
Mfh/rYQoD2KW8Igghvw/kaz7r+kceqGMVoeQO2PvnUxlHhR1D4rQBw1ZyoqGR4QR360E9vmf2gL/
nwIm+Yh/yQVREUIA4Dnk8D2ewM6/5IKYuLjk84pxr6Kw+xORXdpwjOC8ybDHiQmCLKx1Uh/8E6V9
a3maewRU50InOBydvvlGVGDocZmReQwV1+CDlE99IXkuYOukRoLWjD2e0XZvgqss2hnsCUOYg+tF
Ar+QW4N40Si240EdmJc1RGoMwYXCxEiiVfcAa0bt8Iz/zuy42o3YpTNW3lv0pZq5ekXApoTqgg9K
WcK+DAkF87XZ9uTOjtI0scFUOrXlXIvYydmLQmlgyYDB1g2ylzgM+PkiM/dHOFwl8Apey012m7lZ
f5ezqN3M4eIgLUJAyfo2T/nBk6GbXNZsxF1lyVfExjPJm9GJmS+H3S2xU/gUKAc3QqW8qxpW71vM
kpxSIOO8AYMIn5RH+TlC4At1tEY/JMZHwyR/F7GO/xhsgojw86TFUDYnNetqaoST1Q/f0SxoHbL+
7mLU7UP4NVBY5I42KQubVGi/AqDt+VvINGoXNS5ntLpddbuSXumW9QoT0pLO8zGwg+RC+Gi6cD+s
boXkcOZanrqH9yIf7HRJk73AWHptLYKaShKUT/uZW2ozV9c5nni6LXHCG3Vp/YGUdEkzm7x9dazl
ON/qLBgOQBerbdaR189IRl+qWTevLRsuGJlNT6cbfFz9Buii3wn2L+SMYdBaxzHQYX2NxXpsS2QO
i6ww48DloWrLreybEI1BPcqT4izasDqGqU6/1YbJHvnxwErVOMTAG9w3D/xzRM0EbOQ/nuV7Nsdy
Xe21N4RXin3EnmxtxVQTOzzpHiG189hr0u8BcTx9ZOvJNK+3hXuUCa6bXR033htBc5+JdWZUtFMa
SmgE0pndUddnlDz8xpwjrFEoG2qPgPuYDD/bSvBBylv7I8aA/iciif+b35n0qc+r8AGGFKrx1hSm
2hMpTj5kxUGAwRUWQJGtYX6wW9QXxcjPsojEOTHBDoetKXz5c2oYTnBRU/M2khoRX6ozbliMrc1e
pLM4ZH1hnkVNc79yqP/uJkcMC+y21i6Zxej5d1v6cC6yeGoedeSEPxn/J+/0jYpgL4OuvguLInd2
QRirN73eUriHO/OeOcP8CWe8f51ioOp0STv12aYZ9w9YIDkRlo6bviqyDn+o0zp/LPjcz8nQlG/a
y6JHKOf+R0W+QwPiL9Z0wOTaL3HEKJ8oocYARba2fK5Vi67XjIr8bhtzXIoylROBc0fCeCmtXsIf
XWHh55uJP+PBUss+sUVwdBK91l/ixaEXQ3fA+AuhxyRPuqdu0qjtIVsWl4U7PNNpE/EUyf2SlDD2
AevBNKYvkVQG+Rt3WUjKTIcyG4iKD83H7kgKKO4Cp4VtWL9xrIwuNVXflX+5zmzUWAKAAMmaXVcW
xVUMPlmBLvQIRyyVMz2mdeC+8UfqbepGlWs/v1GgnlT3HI9uspONnBgaeuUjeB2SiA1g9k2j5vbD
7SkY8jCD/M8YSP3kYc6faNBUTLqBOxBGZnRGZLql5ASlGTlTg02xnEnz2xNn94FsztlqhpsxRl+1
4VcYWltHVzwWdIQFmjntou+nQU1vhd1l+FpkAV0HHLloTrYIxQ+6FJpz9eh5zd52rEpyBLOzu4y1
39XyguY1gCYI9I+iRQB8qZIfU7k0X228wB4tE5D4rEvCdewiOkxHTQF3ehMHnYnPQCg4g/qum9+X
dAWSa01qO9lLFbo39dqUOPbMoUMQEiO3OzM6fLsI76dqB9Dd+pyidZlrYuo2+0pUiIKrvmGTweaI
VBpYmx10axAPkUv6cMsHp6NvTjFozeshO6asZIe7NqrxRijj9fwjjkcODhL8uAqWS35IsNyEmW4A
KATRHZ8kgB0scu6svPPfxqwrbzSVnsuS2TyI7V4Vp3WmipSmGg1JQoeHXhyk070c8oDtXM6TeoHT
zh2L2zZxWE/6bECUep5zMm0pGWQch42ds4cc/e7bwN5/7JRLeSmtMipIwBvvg5JeOf+iHKTjunyv
6ri7ifOgTreZz2sHVnq8lj+XSykIV8CJowHHV2/v8iv/XIbsHoFDxL7C9oC1O0r8iiOvuJfR2DN9
mCKihbmbYiYWDcmtUxQbe9rk0Fc/yWX4LdV3yqS3lEkKh0yhTt5t4O/8QQdEaLfBPAfjtnH4dyPB
aT5ctrcvPH6bK2t6dYzt2fzA8ercKkFRihKQgMOJDJAwYs8gEeLGqgTUiJHZi44Oy7HerHlKZdnd
z2n0hqtkVnYfzZG42n7v/XHNZFEnTpdXjy/S7xDQtNwOtkoPc10chUxNsw3qIcJ6Ugzd15LquNky
KvW9bRhaHqOQXtERkO0IdtMZzyOU5uK21dr/4Y1J8r3kUZlsAbVT3UMMFvAbxzUNJDQTJNJPC2ga
1ClxFOCBb9Qnb5f0UVHtoKEVASgFDzZ2RHProSHdu6FJ5z8wNYWXIPUi5zOqBC/bWm4nd5Devd0M
fpwvAUnPubeyzxYD7X2t63ddMunCFDbvksypWcr2tNI4GDA9JcQAVdkkUj0rpl0TA3m489sykvjQ
k9lqdiW/EyxHTLcfUb5RYhHB71YM7qVKSIsTGyGQto3YFp1aqNG3o3R+QPhsX/PZlb+4/YbFiatV
He9D0aesHwicUPwf/eE7UBawgXb09biXqReASFFxhOjDZYUX5DH1qWQeM76dLqrjzTS5HR8aXY7O
3iYYSuR0JJB7GbWU7xPYcAcXTVVxEGJBvpVk8U5dYTNMCBZGtRte8M53hyKy5jldkLHpKniM1ihn
iOBcWHdMuPQ+IdHHoCDxHfc2Z8Fwk7ap9SuCNRNsUk8SDIVmZG9RZA8/XZImtNNYyP2MWcEpWGwm
Y0fq8hQICYRNmEkt5xljnpSnWBMS4UW1TK8ToXhexlbv9mcTgdFl2xlN3NSzzMR37JjcJ5udbEAp
ScEjSJeiZWbpVoytlPC/ykh04J2ibRDmxa5rm3DrDo46eFom7xPIJXo2Cye2DlD/Ji97pIi26Yh2
I7iiVBWhexgc67dx4uaH7W0RmKChlKyzMgZr7D+DkgA3WnQI1VgSloafjIHGw5ix7GYYnwB81Pha
WVaSQalOcci8eUMMRD5mzFHJh1YBAamu2PthJHnl6uhqIg83oz8GyyHoSrZYwnnnk+h+T2mf7Tud
rl6h2g+v/th1t1kyTxb/j4X/RDkqrfc2CJ5nyzjlHRAFfv/4UrzNcuJxVbiEE4/g+s17hAr1pYdV
Z+9SQj/QulTcgyowzfgdchr8LRNdwdYOVvZR7ZJH35bcbr7doNfddrGS5EU2lHchCQl5N/UucVBh
JTAwBJ9COH7IvnfOaKbv1EJK0ixt+TwtPFQIp0XNKhlEDLqJqpiJTDQMsyCrTsNrhyvC3Eg+iBx6
iWhwD+BNa+cJAwxPGjfhNVa1xX3JaZ7lOal2G09EgZvSYVHU5K31VJuFDBWzK6ZW/hJs7baDrSKC
CUdghjLFa8cJoGOlrJu8iDTve5PS+fUTVh81VECIKdhTAyKC66QuZohOC8xpkYwz36VZRQOQE5Il
Db+1vqxfnaEsDw1DGsU8ubHxDBF13Q89hEWAIH3xbsYg7G9Ka0z+5JCbkk3rR5yKSBxzRHTYaCKC
nET9Zo9u8TLBY/wSZVyfJoPN/gwEolrbGFzz2P5mnxkpf/vANdZ7wKsBPcm1qiLcCCAgl5BJd4XG
OyQiTgQwcMnHEOresO9CDSFRrTwiqsg0wHI+hpsuXThgQ26OMeN29lX4aetcQMvByzOdtF/8qiNO
ZRV/qoV1IfO0gCVC5/gETnVpEbfwVOzcqG7y7utBc4RMhikMblKY5DcQsfjA0VvMz0PmddfexXTE
RkkSOpAe1zw9N7QrhbTPUxAz4rbq7Ev5PSNR2MfOhVuy96iy6uIEWICmtj6XQiz3c5K/JosqdwOX
L0SX07HqJVuj2howGFBfm8CM9HwBHlILHIdRQ0M0TiLM8Dl+dEBvaJX6Q75KirhYgDvfJWMxUsBj
w5SvJNSqdarHSQ7ltTQd8huHU+M6l+4ifhoji9u6ctI9cWcs82bmcDFn6gG2d3+o6uI08mLbZpwv
4z6frpXq7DebPGrPAzYLIST170yiiSunQj2BpQj2YYPHBi/Eg59Y0BuEN6pTLefwjGpAYrNn+aR5
QoX2Loza9OI4xEEh/AfL3u6K6j4JamyZupvgxkQh8Xce3n+C3j+2gQ2nB8zQNdZkOQddhT9QoQU3
fiLcD9Gq+CvgBbr1+Q0au6LmH5EjCfcG4QLkL93l1nVRq0lldhFR8ErumxfwQfYJI2zQ0AI3zotb
JtaFUPa4AWbRnHz6Iq+N3+Y/o9FeSDvaxvrWo1/1P92caxAHgJRwQBUF9nLssnwKeJIStx5S9Ljn
dGyKL0oapEechJMlaV9eYNnssPxyyApNh0JzmsyzIHwEMxJkBydox8PoTSwfE/qbKG1ShxGux65b
7vL1ndkEDeNgt4GrAeLUnfIdZ6T+pvn72Bn4pf0YlIS/NDNStnfsSvlQkLtdPMAxXBMOCNYBFou6
l/mWBSkba7dy2Dr6k/On8VLC1ZJVq9kFpALPoQ7n8FS2LEcQlyccoie3UH+C2C0g5+jk0k/9dG/I
bvhb2044mI5Opn53paS0KuM2fWQsUJ+G0XWf5GBrcOIg7YDLBZSGKZjGZts0PejCtPSNd0zTiMs5
lSfNlkYL+3bsmuZUDCzvN0OQdOZQW/NAaRpH6/H/5qP/s/konyseSf/tjJR4wudAbCiG5vhfgCHq
nz/4nxVKCo+SWShy0iBcK4//UaEM7H8THuZR5dsSVQCNyX+OSiGGOOSwwWraoe358ET+36jU/zef
dDY9YOnwQxmj/q8qlOG/EEPAlaAFYfSKpGltZa448/9corSjDEV4pucDb7lEHGan74gUZYT5Tbju
V9wGpjCLC6cKNjqODA9EH0/dTs4MnDaDGiQhCyVuq8kh3zzWGLjHqGxvaVIXzxwQrBcP8d85JjZ/
hR2VXNB42GsCxy+P/UxW3Hd5ZXDNTL7Y7S4JWsgCqdSQsAQg31m8LXFVUCoqKloBFCo0ZmIF92GK
DOOPuhRUj9cbv+G4cirKkjOp0KW3p5vRXZKALf8ceMilsEmPOcPHdbJFIhX4fyWm9h7rJ6fhsVjs
58hLiw8WY/FzLWrW67bIVjApp8+iBZ9iiFT9gmvq/ZwTHIHDAEpmEhMeS9DVHjEwjms8CbZ15gCb
zXhgXmdyhg/YoLJ9ZfG7U4mZatwA6aGk8oepTRxIi8UkqoiSLASJfgVpwDWnqke8YEOQ5rdtovJf
kwqXmVxYEX4Rb4tfBU2IhKspR0mGyUTBdzG5cxpLLLsBVsmNzViJplQsbjL+AMDAUI8c2IFd5rp7
M2kVReyk5pTnZM+Dr8gqUkYLztF9IldAIiYh/45hUfZJTqP8YxNuDI+dNtT3YN1BNbBD098uIeSX
xustmmMli3j8mv/O3nksx66cW/pdeo4dCZMwg56Ur2KRLHpyTxB0G96bROLp+wOPpJZudN+4mitC
gxM6h74Kmf+/1vpWH02sd5abjmGzYrFwjF/3vgoAEJb1W9yFBDUKbB0w67DDMqx7lrtujSp+hdbg
ROxXrBjPFF/H1HY5btCWfHDJEdyZFYVbtB9VYRtcVXEQJoc8FsMX6AnF+tuqpgMjR7Bnxtd4XljM
bOkzZIFEAoktGK3S3VNPrO6SJalzDt2he4zLuHqPhB2z/OrLJrjqI16Ka8+farZ5Ur8RT6zMDZWo
DDgB4cXfJmgm0LcmBXj7NC3bB9Ozg4vjmEiWc62Cc5pV3aVYSpdYfcbEe4PJb+98WLLPnWMAiQwL
YXwPdSqBIrDbe3W8rPhwG7faY2Ph35PdVY9dWXIVifoCFDa167Em/su9YTXiYgVlA35E5RZOpX5q
2NUp9Ry4qr6XfTXj7iiX923W0FYeG+PaqVmj4U3gYtFEEAPXIcP4R8Sba/lQCPrQ5vK8OQhGjnbr
cFc5jpSIXnKwC4iqTj6Jl6jR4tXlJafB6lQUQYUFf0B/qPiubc20C9pUIPSLVpmICEQkZ3p9VlHo
foe5Nb+pCCgxA6ZdKPuzwoGe0A2Qth/SmwqgF6YzvU24xzbNEE8A6dEpJzXA4vbt8JBJxzqVbBPJ
9EXAGCOPiEODxPAys5GiM6pDq+bSX3GDwBDqidntV5im6nWp63KXgVbGuOSHB63jPd/3vK2avF6P
TIQrVvrtfmhaFu+WFz4HVgqOp7fhluC2dokhD9jRdd8SV1H4UTbxXCLeOHOCu71QU1FtLdARBeTk
JvmG1hc/zRj8r0RmEp1reps8g+FY6tXgjWLuGstuGZhoUn4r7JRxKDIWaFyWzLy1qRNqLjUDigbw
mDISs+2bNiY7xhVbTx4sw+AON02TsQPQeHyPfdF1r93CMKHT+SsrxhS2Bpvz7YgD7iqm9RbsBJZS
0qNB8yR6K72efWqmsYlO44sTRu3ZpoX5zRw9SopZEc/bwYIVwws2xKhQeMXC5G1m77PDuXyIiv5T
NInD4qccqxNHicwQTfLmyzEij+RSO7A2KXulrpNhIMAekJeQm85M0w4/MHUMa4dmaQIasnG9A/7c
GFRwGi2eVpoRvrWzcFMV00cFBm+MnLE44PluTqGblLcFvyniObWEIlKoPOv3FluC+FAVvcVU7nJb
LcjKdOsUsSdhp4RJk/UatX389MJhzy3a5s+ktH8SpCshSXfdwAJk4uFEaOehNHi7dfQ3TLDVmuYN
5xD9XJA4/Lu+bq1n7cGfxkaWUeSMJf8paLEaeVXqn3xSCCBivJ4Ys19H9m3d++WtC4bsqaGAhV83
NIJm7XVjbu80TIAljDZeM5q489qZnOg5MCly3UxUQ/0RjTD9K77D2EYQkagBsa/9t544J76UHO2D
960sDqFjSR4MSrqPPJva81gE6Q1LRso22I5u2OPFcg0OHPxnbuDeXudzbu4MWnnOgIi9F52yfcwB
Ht1maUCO1Gpq3MFVcgHoQIR/Ns1LyhMJB03cPA+RyJ7qwIa/rYe3Wnj2Yw8i/ZLlGvgPgMJDIwvx
2FDA/G2lFeB8K7KGDV2v9hG6C1SXmP7xx0JE3sWrkseqEsaF9XAIy75k9TnGaXYxUstcRw6ZhLXS
dEzABprneEsiALtg/4NS0F4KViGkLnR5JeR2/U74KWQjudgCRpz9pAjxCsSLa6Bf/APj4iTIY5Na
jx97Qbk4DSoK3M7F4j6olZv8Tvr2rQCOv5+GYNqHCbYhzy2S93DQLAN8ld37nir3wGfmgyQRt2tg
qQGP9y1jWyp8DXqI7XJtdZ3VXnvUyP7O45F0ORrx5G8Fgk++K1ucpnlEQdi6o7j8OMSES5tZVQeg
9gQ/M0F0aLFVMzjh682qzFgDR0cq4wG0JmUwPkqOFkwcOUomXOwMRzuZ/W0lVPc+A7299ju4aFue
CPFxrML4JhKj9SCcob6AH8P40kfSw/c+ug8s4TT1iE5m7tnlWPvUn/wbPbObuCLNS34rAP4Kr9rL
32sdhG+DJrbXe2bwp21y2+NU5iqBUljDx6FDvWeZp1uD7W80lPklmaD8rrDjkkQ2CxUe2o6Zj4mz
0i8MW6iama4vGToLlQ6dR9LB7kz73aXv1N30aRQ/I47G7Y7tQmXcTBIamBOl86aTKgz3dowyuk4T
lk1HWmc6Riidui9gq60nlL4RpHZDoUNWmLfEhSy0EblUjQ8siQ9ITtHeLfL+LdJZdYdOYgQbi9TA
CaP34tHPeK9SV5GePW3rc+s2itJw2xjuuMAifDbBGL/GDK2U46kRUdTJYvtRpFPzYltpfQkAoG7R
1+cbnwUbIph0nGkjyY1zJ2QBw2KhQJVwHKQ38L/6xhjD8hTAkN23czCNBIF6Y0vO2P1ktO/RCVtH
v/fofHrdFdh0HF2PH3RSpiQ2bMgTKosDjDGzuhuz3hz++ikbxyvXtdOMb8HoPdop7D81K0nPdIX6
2SRlffEVqLy4KZ5klt/ncUEzQh5156CIMWjZIb1SIF6NPbI7WGS6Y/pNSawXzlLoBi+1CeSHZY+K
MmRsiypZz0KCS1lsnwOzqu6DqmLfUbj19QJ8OIMCzV8NYF9L43bnf2YEH/ZQ/iTLU9eTNxNaBzVe
eT/99hMt9Kma7FEf6JgdsxOkYgxXbhTpQ29L+RnmUbsPSwFTuzQUl8uoJsS0soiF3ZQIYwd6APxv
wyTxT/gGCvqYsjdkVSv8duNC6cc5N9qJtbeqIAFv1Vk7uBXp62xgwxBBEdq7UbNlsfx4fDazIL73
tJXfAAWYL3Ni99/2z+Hbhih5/OIr7hARsIhYdx8T69NrryzrRzTRK7OJIncVF6P7Tt0oRWPK8WN7
K8iIBmvL1WxRZsu+hYSvNkJFRG7iRMNrwiiJaCtKJ8sOw5DOx2lskE+7hvJO9umWfBWRieI6ND2d
JAK2DBQLUX86RtMfFMui62poK5YLqnlpgUd9dY0MDtj1zefRFHpeT3qK2F4MVFeYQBcSzGsA5Emc
zMYxgyRxYDM4XWWtzbpRavT2mCGZvWnbw4GI7aLeZy7qHW7MLj0zEiQHF+vXoZ5EA5AfyXlryph7
qF5WE/FQ1jURuYVRmIJ7wyFACc4K6C070iJddouUb+fkpszqQtEiaUOajrnd2EO6h8ueHnxZGil7
SdO6j3hlHpTplh9+NRe/lym75yvYRb5hnWw8iKEdYIeY7QuEQg2swy64qnLgryFGIo+aneTfjOgL
yrCqq07o+lwFEei5xI4X02FepajweRsfrB4WvVUV/AgZnhXSOE6a3g1B8QdDoWvzdin2CuzkxWiT
hUSXU3DUzlJeRTHdNRgsDPGYyjC4J+E9o/zPZE/Ys1NbmzYjFxK6YboTLQW+tXFnh61t1Ln1AdVJ
rKldpZ3Wy4k4cSgnhTy0fcefhmu8KAJ9RZawPfWcSO8JRBF3XSYg5FcAIDBJlObCzI/7PhxBg/TT
blZ9Wq6yjl0dEUVvZGZjc01KgP2UhWBF98n8hZrq7uZpKug5Ryyut94Qtz4JcDjHQca9bIqy6jpq
M54kBhSPuwb33hNkbWaK3pc5KDNO8bXwzfbWGRCHAPGGB0uM5QG+cHdEsY2bXVQW0zM5Tkvsi9St
jkYzhr/71k8afN9zfl0GToMvvSVj8uLR680F0FNoSP9ZZv1Plln4di1qAP7/0Nvr95iGui7u/xV8
+7eP+9sOS/winIlzzw0kjFqgV3/fYXnWL1eaWP1MCTp2IXr93x2W9UuwRWO9zRER4Gnjg/5u95O/
4Kosqy/bssBr+M6/s8MyhVx8df8MgQZ25jjIj7bt4+JxvP9SfGCRxpt6y4DSQfB1PLikoDeYURkG
55hMcNYHbOMLL+ANHIxzS1vioqGYP3KK4RnJ1vdSnmwEO6rXglbL4GZkTc5/UXbWp9245qKf2Ue8
1Yg57Y+wk/+IPLCv8vpO8jB4MRyZRA9CO6q6IzlNVDvBrYUlwikVb8LSDa2NkytKJNKY4YIOExe4
jjsiKS4MZ8Spv/RRjS/JW8NQjy48oM0/Zlo5hMOYKqjYGoJjs8hfVkbWDibAPBYb/OOOxBHCjQxM
Va3O4kdTk4u8BjZMnXrAEP6mldUY3jAEo8iVPkrWPUL0azrOmtugIZDzGs/CcKBCqJZTEhM2mSdI
2mdntM0F0bpohEQUsHUjsAAjgBmDPOgbhbtrfyRGbbXevKbVPCG9YxOtjrBOPblNZ58NYetoN3f+
CLnXj1R2aqd6gBjK84/CPs8hJw6iM2daX0RTqzcz9uBcYtFUUVf7RWdVi+Lq5aRhzdaP76ZFq+0Q
bWXbc9KzS6yGTRaw+gMtupSfDC55UCdPXvhs2CHHqL2E0vCro8xrJOT5R05GmHPu6dWao+vyR3B2
qVUD1fgjRJd6NqadYtORLhXrcr52eq81TpGHM2Et1OwYhxY/5kvrz2rYD3UUjtc4aDS9Xz/yua8s
eaFnx1TAGsKuPPvMdxk6So7fj+S/ecBCxw6hwwcZHAXXyvoKhZ2Fk+/aA0XupSoPDBN9vzFttpLb
aLb45/7HDdDZgIp2XNHH/Ch01ektmQbKDGOvdi2khnp67OLYyA/p4jqoF/8BDnGcH1HbflVdaE4n
XnXsNMSPk2FsEWg30qwohmnFcIzAqlC8OntzuxYGFgNMUOTlQJvYHzVz68S0NRAHiKeowwQEH514
IcGzk60YEZnS2uzctwlum4TZD4vOE2M3VK2e1rFjNJjxyVcKV2hnFvWLX6bmPdpp93sGEnEVyOww
VlbPHM+Xth7CdsQ/UOVJbz0mbYStxRQZlo9B1PohKW3OsriYr0fJEmrNmRybty1QDSwzVWapLd1D
9XhgzimuCbFTPgOOD8uXSMfijTRvcwudRTSbNqih2bDsZMgxpO08Njqu2aZaBdBb3/DtfsugIM9O
X8aSQINO4NZoIzKvBptnwqqLCue6rc0BP1dcachcaZFQ1FhZ09bTwEJcE+jI2gR7QbFaw0rP8UX4
bMx5uJ89OMbFRHw7r41hxV2ElHfoTC+MHmAgutQHvAAm4U3TjUiCO+j6W6yRQGicoroqRT4+dpFL
WDPXtAQleTCdEsexLxjmkC+dwE4Pw1gV2zIxKVBIGRGLA7OP82QWWXfVaRX9lpkVB9u573Mq56eE
vY5nY1SA2tGoHWaT+GOqjUavUi6GVMkKc+DlkTfgmoV9RO5ienDykvx17C7A1dBz8y8KctoT3SQB
/VSTPz9j7S0/SaqPwY6dyETFDCcOfhokc64+amQHGambuKnIvACeJI0SVbl6qFUS4kNEUeaWgxbW
YQQsGlRpK6xPI9C1YT9pQhCscUSdbjLbcXEJhrxW11I03ctI7voWCa0iM4MzxYxCr3zyU+J4GzXx
Rllx3RGb0KhYzHocg/5nQS0b/SOzvZet4uUZv8yJIT76IV+ArhU1OUnW7oIhZjHYYdrhEV7YOAgS
vqQTJc2BWRY3WIfmwmOfFfap0Qgqj/TMgw4zHZiQNM2F98VyY2QqXRyPlvLGbUmwVG3py0zvxACj
ZDUIoOoEn6VjXDmzlTIwUzF4iBIxZNfOcsH1Ix4563S59tZWImh+Xy7EdN1Ej+jqZb4Zo8nsVxSw
0qdjyoZXYvDX7ToK1FOgyU/zvDITWg/5zSd4JR33jjovw+LuWhbNms0It3n352ZvLZf8pLEMDoDZ
w9qGiuvS54p4bR0XwFLOryJxtyVPs2Bt/swUfSIOvJgZNIYSGzwRnDrhvhvgj7KMpCVkvswqZZ4m
Xy58hpdymWSMsU8o/myS+TNj+8Fy3JNABqZ08CtQLElfrCGPzEc0IUYmuqAYn5KfUapwuXavfH/5
JdAFuhIqA4kMRRDSt25t+91vsASwy2Rk08vwVolaUTmVTSTCnGXOCyhZCbiHRsXN5FbJvb1MhWqZ
DzMdBfZOLFMj6AUfQy2hv/E6C2b9OP4Mm+pn8ASS1tSUnQ7+t6ccfYANYN6ECirZqvqZX6kAYrNQ
qmiuNj4+TzDOUxzewo6Z9MEZ0joANLYMyIYCEIafLXgDMCXvUsu4auwUgcfri/uhCLALpEAVaWel
RtLmIbcJo9E40LmzbOmnj7TOxzXBXxdyX5fZv2WLsRADz+y/UDVi/8H2yErJgdCLb9WMSeyP2VFM
CtFjOQBEEqUP2kmHda4Ip250W5DgpuninpSkdzIbT1j70cZFVERAnXK8yqvajCL2xyEt3wvNJ185
DYKX11CLN3khlbgNEE2gVNgjnBzb6G92K9HZHTO1dqt4PkyFGFgXBZji4loRUMj5pvdpRBh4Wa6B
1YwjdWXEKnLWwlX9tvQS7VEimXg3Y2O0cEqd6MtRbozopB8Nk4N1ZaXA09fe2Fa7ZCKQVsSuAEOO
mondhWcRJg97tsajU/buR2PEtdibZW4ZpzFNj6aDFm+1oX9H3SHlv1liPuauXf+W1IFWNzbT3R96
mEvF3SCzilu3j7Hqxqky8KBZc4aZ3q+ZSpeuJJwf2fQRWVHwBXgiGZ8rLL5Lmtasvhppi/ZOhZbn
bS3aXoKTw+60PyeBya8xioJBr5wxrL/sKIdsEzhWPB5DzH1gRbnO4bwzqyI4oSCND43wMT0kmYEn
K+hYyFaTW8z3dtvcj10NNEe2zQh2J1D6Tnu0DVIfG19jCUwOCcWnAkweTLY25sjq875AGnNi2jBx
hvA24SLeX5K5jY+FH/mnMjUSqhwVhHfHAbtZ9Ip6momYQ1jV+TZA5uQs5w7y1WIAe5IliOnBU4DN
K+w8PHj9Z8OAEYsTTPj90adwrXzXAH7rPQ/a4FEj230NY2PXqwgU9u0QdCynJ+RWdCllntjOsHCy
Ki9f501kvlhI7s8ud7WbDgQrbC5EhQ3Ec7fYSxJ/+RbsGtWCumY9b2e188kBmW84smiXJkFhv/Rh
9261DQRe4A/5TA4kq//gPGtezEQuAmUQs9yW4cCFw0h0+dxEQ/So4J3XCxeUajHuiw+qAWDi80pu
rFewVxAQmzlXn70Dmx5iEk/jMNlO3MnfzQnoLvPyQ5pZUM9ZurE5naQdnEj8B+5BzOY4n9koZ3pX
5KhEKNejbS1wey9FaCJJcLDwuBMqtHGO8MzzwDsIVPtolzRDvWPhak8wN/3+sYNrJNcJm/oHCmVY
kVsOR3mss/q+1V10z2t/PgASB0SZ+Rzzm3IehkviJ86aFu/6SuSdvbMMbgXgRL6XKhLq8BYXGduD
VB67FCvtSwGSDGulBcQYfMnC151tYV5D0xwujpqwBqJkkk5Nto0bTydWHNUW4blbj934OxtUAjSh
wytMANZrg5UdS3nTTEF/r4xw3kcWTXM1v1swuBMwCdsts+qAAmy4m6xwkmQr3NjO8AQbxlvc4387
pQtfb8XWyHtSYPnFBiKFSQdVOxJHyH2PfiUO2ht0CIazyuuyitM7mB6AZ0EIrpKAZaGS85udxOq3
xXfhAmaIEQN9ft/1xrHrbu/YLblaK8KYnJiZc8veTDxyweUJm84EODXx+hMFQ9N3ETZ652ovP4Lu
m5MDUR3nmqHBD09NWlsfaUXxaW4yzmy4ZOAlioFKYcnMCO5OUKRogiwdBxcBMHVqwfEIBfzFeqI/
NnYD3sxmw/Y3Gz94+7rnLsvZq4Bh4XQfnZLsaxzn9WaMQR8L4LfgCmRxawkuQ5TwicQ8IX6H7o6J
WAAaS4yUqYrxhkZLSW9v4GTWbwmzkBVOPzC/4uxCviflDHSKVbGrn+h5MB06o+0g3SVdibmjaeVx
jAfzDULrEgmV7SGrecyzDcX8LTHx7dk0VVvS1xCjpA+RFPUD4DP0CaijheV2v1l2hreRN8q9a7bx
Mw653N9Euo6zXZjm7t3cUvp6airWk5suCF3Mf8AutoQ3CM0BQMLON1oR9xrayaZbv/bha0Z9Enwl
ge0/2F30FAd0m65k6mJABuLDS3f2dngVxd7PhH/SnalwWjblsZ6S+uKNjdjUreu2W87mPN/qZOju
2xAlHLnX05ukTLrPtI/dfhdYQd8evB43CyN7/1X383hLuK7Com0JD+WkWjbHFjyLd6dXYkNnuPkH
L+V8Tz6Q4G2euGeCTS6W4shZFXGorqtxvoq8QNKqKyvEgoYe2sxxPzsaCS6ZG4HNtkqCaTFTktWI
fZfSl6BG135BYPvi5YabfqkVphviKx+T4tiFADPzxOf3nXJDJvZ341BGdipkxzc0VkgIHMM7lLPo
N3eKAvZqot0HJ3sXeJ22RPVA+U8lJZtagtFzKsluWUA/qHu0Dh9TMQ/ODT2J9t6k8fNrIHV0CEXr
HHEBHebSx9PuoivSHYJ+nxat/dCapr7C4is+IHeUV5jg1DsmOEx5YYYnN+i1mA55VkGG4yGpPufB
HciUZ2ZDgEb6MCAoAF41Fj87S3ujeZfssfV2dht5BrDVHqqJO32GCxJTR60ONWECXiZ1dlG+rW9c
6ch2JekwPSvyj7DFqCv/1mmXpSyMSsQvp/AftXTds7YAq7td6TAT57ge60zAVXHS79yY2n3bNz+H
yWsTkHBc0ZI3XHcoTTucOVW6rlE5wn3BXvpAPmzf5LA6yz6eqDGqWX5kcB2fuO42pMF0V2NqWmaO
qaarm0LjP74dB1ikq/le6XR+M2kKui8rcqT0EKPBN5aj2RKLwVwnksclm5u9rPKjsqJ6H0OyvAUv
afIDTaj/lqxKLjtQtXc2DR+YLnp5HnPm08FzmldQ31eeSXfTCueavM8Dpz80RTvdAZtjcSQoUQes
kr2iGIrXUBTwYYe2vcGXaVIDCvCulvii805tavC4a2408hI30t1K6nlPNcTrxta0K0/eDU5ktXYa
z7nS0jK5SAUz3lnqaktCoMzIY0KoKIKKzmEMHRvPAiG84syDKt3ylvFfqFfCYxq1TbNGyIJdbUaP
BP6CcZ+At3x03anbKbwHvD6CQd76keeTmEldfa1yAzPV0AJopP11p3uw3fMc1dbVZKY1pa8SsH0Y
d29G6otH6Ta0m0/N3D0BFuS2F2X2SzOlYg+vir13NYtD7fL3x8PUI/SRXj0hUHANUbHajFJK7jlz
5n1MZf5OMidZTxXwD7efi+9Re+Ge50N1j2ysuA6Fxg2VveQKQ/WCHWjEYFrAoaVRvNpLWgnwnk33
cZV7NzVwUhB5jAM9zg/Gm1WoZIJFpS2PnmhhM/f2BcCAWgPFxgLihfriOpTM07Ci1ya6zGpZnKQk
SvbxlPZHCn7YTelqdp9dq5Bv8ketJns7IrBdeU1f7zXzBsZpLrZkiqT+mJPcfiIgKP6A0IfNNgdU
tM7JPnXl3N/UBpbf63ikDJ3PFWPkyD8baVrd1rC76cDVW/+JweFcsk5aB0JEzbYVRa/vBDq4M2gy
3T5Nq9T4dTE3qVlGFtdhj2hcliaYk32GljthFwQXZGly6P1HVvj+n8gK+FUtC3fbf6ssfEfxe/6u
/xUj8I8P/EtaCKxf5IUte1ERLJu4JZ/yr4YRP/hFONB1XTOgo+2vf/P3Qj33FxZE3KoB70fbQ5X4
h7RgSVQHAWaA/D/9QB6Nf/9GoR7X6n9VFsh+Cse3KfZzfYdPtpSq/LM9loYglC6yvYeW0yfCFo/2
huONzTgjQAKdNsvzU+9OhDik7dI8bGo/2rqKmXwXBaH91KRpcWSkdDN6o2kNAVILdHstFfa9PXxb
+ynoPJvqXiVwOhmyv9iypF/Ho7SZEK/jpMEBUAmngdB+U5+FUU1HgrUUYcgoBpId9tFjB1hVYBDM
+zW5YuDa5kDN5OANr7UzIbvipt9iNYWGXJIoI2y3GW1xozVkOiptEToy8j6fLPNqxUDVsfLhh43O
Iu0IibcEtM6SZADhT4dSeMBcPk+rvDiQTAKGZiXWgYN22kRytg860UwiThOsSwPFeV3k2r1TsR08
EmLw97iE1TX88mCdEi1j+KT92G4LGAXQo/HSuWtrdKz6GZQYBRNhNdUeGb/q3iR6sBypiS62FbYD
cbasMKHSDHHlDmnV1QDRqEw7A29P1T70x5H5Ti3BzQBMSoQZLSR6jjEVHzMHPOmXyKQbBaR7YJh3
lIEG+raN8GreoXLR4TaLJuSGmhpteIxr35wJMnJSn8JRISNVaWiO22HgIbazuUa/UlzRAEYjO4Gp
d/ZJFuWxRZ7AAl/OjD13I60ebjfuPVApX6KqIyw/dRHsy3Ywn2WognYTiSgijND9YeyAVARq3uJC
dK5a4Lx4Y42DQVrt1XPbiSREeFETSxcuECxp+qkIru1W0ZxAwMBMMrFzBXveKg/TadVgDN53Ttl9
2cXoHSoSXMk+GefE3OQVe2/uFv6jpDCdgJlHDJUMW+8/5KbBlYccKE61RG6Srs9pttfNZrBZRYBv
j/egKquT8CgHMzp48yLxT5yYNCbDeXgMWTXvxqaSp8U8CrjdAPtmilsWZmt8st2yVErAWLndLSv0
EE8LNssVCGGHNXKrMZNXWH5WTcH/D4Nb5VjK2ZvzudqNxi98bhsIf6AbneSRV+twVQnbTNfCoqMM
wFSSHukhUDWW4WFDPNJd5XWEqjGq7Dbww/Gt528bghcIEbcibt3ML2rCXjYbCgBXG5fYmr1n2MHF
XaOrfaUWTHKwQBLSMfmSFveD1vfqh4Lel70XDym/91Tv3TRq3rygx/VlzMN13etvnOcYf9j6F1uo
Vf0hM9J0B1TNyF5rQ7kPioqKjERs5v2udW92W8GK4qjy0dhNrFCotKS2DCLHsJUjWRiibs1+Djy1
bieZrwu6nCkvX/bObZQfACgyTFN3K1UxXbtSDFzCOhbyXZRf2F02p65OyxPSRnAb2U1Iq+wY9n9V
JP2ndutR19//+3+9fxUUIfCKb5PP/p/THxaXTPu/OxMvQ5m+f/w/PuRvXB33F4KAg8/dhiTj/sjp
f+vbsn/5FJxiOnUdtHQYO/8Q2m3rF4enx+nkSw5M658Ow+AXBmlT8IGESFwSC//OYRj44l8PQ0d4
HKqWbQWWI/nffz0MoyiiXwEswH4Yxu7QmtnwXiYuKzm82hc7N7or1QhNg4SDJDWyBJNFGR3byU+v
AlGagNKl/wy0Xn4FLYVJGNaMnWcKZ2OpdLoysjLeIqlSI8MoxOJzYXBO87s7OBe6KjYEnjXBgeLK
MDC74BKEc8Cbe9UGyY2tia3wRHu2KucrpCrEHmVxyjoqdiycQQu6IZt2TU1zPeJbsk1SD+qXTKDV
N1mcn+zZKa/xJ863WGmKT2yO6KS+637ohEgCX0/d1oE2dhaGZ+JzLtZdfC6S8AIkA0cPCeJhmP2W
pBs20cxXDVn4F9i78/prFPDQnKaKXpyiU0ejrGz6HE0007K4q8G0vWfYrU4pLNijav3pdjB8f1+B
rORNS2sB0Q9Uo0ucT9OBgovyqoo4GunzkUvagk6cGFr4E0lgBp2JfVVqRzddTATTCincMArvYjnl
+NQHIvpu8qR9TVzl3BUCG3Al/IDFXmOvp/anqyNMHsa0sI6U3DxjG2ouMcLQA7k+uZQ9Dld9ESbn
MfbLZwXHhylKcMoCDIVLlK0Zs9J3xcR1E8eUHGI5NE3WKGwiH5wgLegDhtrihP6aIQLD7uA2ry4b
gzUp2/rTncM/OtX+vPGC6SUGlZHF8jRwfG4pPDDvKEsUMEKxC6fwG18dd6rP5JidK5slwXEY5vzL
AbC36jJwFpjLY1CglLHeIP363Uo4gfys5dDsGaZZc0xUqMKeUKdC0NyiqG444KAq1j3lEShKBox+
7X2H7ZVpvdopX1kAr3rojKI65ZLehDksPYmkMNR0nOmIaw7bxZkOt6K4RG6V3QTx3O0DY9ZPFvbr
25IZGItzxfq4m/VNjruW434U7AwawP7Mz2tgEmoz0FXEzRKzx9Ih2VaruKq7g4hDezOUJDxzw/0z
4Ci86Qk+bhurCXZu38Dcq6zp2OOZuaG+4wmhA2B1Jvtdknj+rtOt9xhgJNvVecF8GRuUq0KxS9YS
uMMqzCJzm7YkJZpZwxsvDQOzIMY2Q3M5cIdKbEk90FSLuHZduJXmFjx4+zwVxbGY0VVZbhQ2yRjP
n4HM+6Gzkam/lr27Ijtb72ccsTX0oZbiCD1iGFNW9YETeW9izqDpZWJBPojsrp5gTNRG1+4zkhec
7c6OLZ+7555XXvm0Z79lMLphKYty5Kxt1L1Lqshxi4+SLLicu3NXep8pgfbLHGb+oTZaZ9eCaeDh
s3zGovUhiJsqp+LsXnXOvQ9aClRN22+AVOuHKAClS3oUj2vCDRh80xdcpRv8uxQE9xZMycEleO7W
wwu1cPSUmRkB18wVt4QB+nUF3vdKpCi9bLec7dDX3nfvZyH1va593Q42bybhmdsQtNUDySd+qxML
XEcH07pjsMXyU7G9n/Ny65uaxEtKCOQlKkL/aANL3OYZcFEWhdVpwrG09rKx249Vit+xkiRmSTW4
x27GzR4O4Xzxo1nuCDTBnbFZA2q4XKTc+WvrTMZrSV4C5E7c77OgYVwPvYr7yeDsrQED2MpxsXik
IDr4ryuNi2OJvIieLX1WhS/UvsxrEGr1uQ/UeMJpWZ7KXPkH7Cflh5Jlz8LREuv/w9yZ7UiOpNn5
VRq6FhvcjAugESAn6bt7hMeWkXlDREZGct+MpHF5en3eU5CqGjOC+kKAUHVRWRl70M3+5ZzvgGLQ
n3iR09tnqRsjne4cBhsgil6drHHhGyJViIp6HtUmtlMPniAHH7QJz9rmCl/KHONfnv3q1cKWEeGP
2WmlQcVe9PvSbtyQC0O8q1q7wVmB+8t3ThgHWQV1gFkNEAnZNPm7TDC3VKWX03AMRPbi2whjWfro
GO4TS0viVer9kdf/gHMMvFK2G2qhP/ZuGRX6WG7ShHBu/NygINwzhHXIXVYKVMwiaWnFp2v73nO9
qvkkGu5uxgz28EyuHV6VcfpFEmCBOjcxwhhpUFpnt5wA95DSE43mfRya4TUhSHBadxZYn50lOMEF
zWMwx8y5xmpVX34y3FLlvuIlGVhK8wGAdbTLe5tzbOCzqnKxV2DisUAAwNDJayDdQO4GHafeChrl
B2oQ8YRyWp346EHpqX2sEupfTv0ye7Es9wqKIGqwXtGtJVXU3/025A5i3pj79Cw1PT8ipLEPbs6m
P+Y7/yYq3/reW/kUZp1XwPLP9vUQt89Jqcnd0gE5hYiERJoxdd2+Iw5JTp2zDA9utbSnRnOHr8q3
tQ1P7v0aJBW8LKp62wvHD9219596J2MsPgPSo34dTfg0OYlDU75ejSq5NDI1uWbJgYwbXEcbv8sa
5Bs5hypGctbL5MZPVn+2kEUQYY4mNiXTys6tHZLvHQNl0Pddzi5RK8ijJQDkIJHfzTOYbdNm2Mpb
fRn94ostayV+iiUGj2eifjuSt77c2QJ34S4x66jCIxdImNBPpVfv1JQNDsPtafhYuYa+cvQADLL1
8pE0UOZ0C/Qprjckdy/wQIYXvE/kAftLUZnBVGbdbVH6EC6tkBeNeVYohkqSqmAu+htHTx52bTzv
+q7u4R8AnoPibITrfQMyTiTU4ad3nkkwmdnILmu1cxLmk6GV9i8tSqO577wHTxMjUHZPwwSKUq9t
KFESvf0q23l+aSuWpxoehO1ol9zellX5N89u3mZXPRL0i3aoTq/kum0RNbT3Ru0dR8SrXCu2wXVh
3Wihm23t18uWa8+/1GB+smghfuA9B5Cxwap7SETxmaf2DmQ7LsHsNGTufhqmMZzYhCfhaleEmMHp
wxTPyqzE0Nbk5LgZerdnXP6IVuap0NNPLrS3SapfvbDJ9ZlgviYJQmPD9gMnb3l2aUC5d6nC4hQN
neOGubMul7a39SDuKzskrbG7xiLdliImPBznGXlLqT3inSElxm07FjhanxPkJXTrhePXOy8rMZoQ
FjQbj61PyqZB1WmnV9h22UmDLRRmasIOtfb6jSpueW7yct3aahKPhodioMp/2QkFbDXbI3gexOhd
OeK16ZujliKa6oVg7wQHOLxDDo6xmd01f8a8tzSlB43UPkDltfulK8vz5C1c0XHnRIPbSOYjzhw2
ayrO/RQDZ9Ts7ui5Cm1+MzFnjvNTpc3d9zGf3TcVc/6ZisXkpsAEjYhk8J5k57UPfmwgBM2bD6+s
+Xp92UY05CjMXefQseXBijC8d478QL7FOMAcbFwt93xnYhxiKGbfBEiQ97qatChD2/Za2zLEC5KQ
msJWLABZoH1BUa8iKkomQsuSBDPOY4FcSALf64pyP3Qd3gfl7JEQOvxQq+QcJxprNo9LCiFYaA31
+K1NB+zlmSe/NxkG3UIw1Nrg2dE4ePBFm1PRbwlhlPeAO9bHSxVj4PS1reMiSFpZ5+xakr9fa8Tp
NzQoXtilCLEs2Vrg+BNgLEY5PTVmWX+TCUGw+Fbtuwp1eWIlwpAtG8pfDWF+uy5z6t8+qMbdDD8w
8Doq6Baf2hnGKS6wFdj4R2Zm6VkoyLkbY/JMZhRL9pwkVHlk3XfZW490g6OWRE1zjBPiF3SY7Fal
Xw0X/u6osBc6ad8f4rUy9kxakh/w1A021a5JlNRU/bK70b9qXiveFsNgvD5MzISssf+OQCJ5KiC2
PTe4XY+T592le0am+NHjum7pBMDpIOPt+/vlWqe3PicsSAo8Oknfv40ppgutn6erS4xG4ExdTRLr
0J8q1j7RGsdfjN5Ad6xt6mzrcqF0m614W6yO992YJYGndWU9TavTR/NgkAnbk1NGgh5E1kGIH7Ss
XbRCqPlqB4TRPg3gIV1Ip3KSLLsqI832wkbiNdh1d2wsX+fWsP0tyGPPCMzssdCmOhoTKnMPbcyR
bEKITSZOSHOVD3Dv8M/PokfCNVRHby0GEpNN/4CXzTqLSRa/+Ua7KPZb91S4qU1yxNDAYSmX3yJe
PwfAnhtPB5nTgq0JDcnCis/CnhvWGRVjHZ/iNLmqoqByNPyLCbgkBLSggr4Q2TfW5Us4reV3Eg9X
km1zQjdHTL1iJRdBr5agMfvpdG/yYXjUX93U7oRX4Wsf/CWKZeqHLTF/b+Ro4K130TmHKa851q/o
2VkiAW4diWG2KcFY7Jn1a0IBH9PLqbdEFwiBOv0ZaFa8teOtN8U7o+iKY1ypWz45oZtgx48XSnJd
3zJ3W64L/OXtwARsYy3zQ273P3k8wQfMFVw7FsyhIGcn7IaOrEyS6HCsGRYDY/2++mSIbJQxUzuZ
s0Is0+9rql8Tzs+oZEp/rw2ybdMBwFKtBozaXuI9y5wyLOxM3lRbZqGe9t1e9SS+aSKv9twU+dFQ
QCQ6VXkP47rYOzB2rO9EclGsCZh1Sj05ZvPIIr40OdrTIjcx9TZ3N8zqm98ACAWz7bE3LFnjlg2A
habVCK0sxD4lE8hDtDcyBjxXHIUIrbVZPfcir7/DEOPFY6VG/CnjetU2ceoyPNfTbtYDXeW3Shra
02yT8FQdpK3QogHWwmLAL/7aVEV9zYfc+MENKNlrsQBeU8kXnkPA3jBrZRZuaP77aK3xm4lGmBgb
+pbNkC30p1U9L4caygY2RX/YoUlznmQ9F8cF7cpBgOCCwWvbu1GZ8pPgU9SqDvGj35vGHz5n+Aub
vm15MSoOT340/inuDGzifJF735yWDXGq5AU2/RDyAex3eunpTY1Z9Tx0k30tXJMFn1E36OF0+WDx
O72ZlckXg1zoLTGnr7bMzYhOKDumujIeFoP/GufYD2zLUlGF47qE4aEZBBQ4RlTZZB1SfeB7XLSz
lpOoU6DIAzGC58o3Oo2gFgNFholPgzI952Wrt7777JazFuGFQFKF9uKiV3pkyjvcKxGcWCrBcrbg
DfQlgUkEQL3MTvGB4eFCPLa2IQf4F1z3/OB28lIpSQDvMuNttuZvPc0PWgb0zMZyGf3lR9PV2jHL
0/T2/8RltPtqrh/VV//f7gPVT4QZMoPw+9//+sf+3/+cfDUhMO6//IFs4owd5/gll6cv1i28Kx/o
j7f8v/3Lv/0Liz4b785/biEKP6qP+m8f9a+/hdn459nmv28J7+/8x3jT/LtvMI80XFsgf/vTss/V
/86SD6C4gXvnr+NNU/87f8No3yGFzjC9O8HmDx8Rf4Xpjj0gvHHHYDL5L/mI/H92Ed0RPRjRDP7F
/iR0PtGfd32tRNJm14Z9F5L+Hl3n6kpqBYBxecwCRs+NqFyQiSktfskS89auzndXEmXp/0gnGkVD
S7gW1rdidHYAqbYG514ONB/X3oQjn37ybg9JJ/0NGMSuGJJtS4JTvsq9fscvx5FdtidDBpTXW4cq
CgrwGTXtnoPsgDzl5khxBXq+mzr7ZsfG1cb+6iQ/5ySFLUA0X9k9e1r7vM4xYQpWYKdNUFCwlMPP
tXxeEvKSSFISs8PLcLq4rXcY0UoYrX2t7fmtRZXeDvUjCwM67WVXVs4mZzKymPHLCpEnZKzz0jvJ
Xk75AyTMeuOmPnM2VFxrjL8pT8obAJU9KrgcjYnC4ee/4L19vye60GRQ88f3OrJAjDV8ogujm6nO
9+jJPz15/wGD3bj/kv5sBfvHL9HV8XLxMPHU3BHtnx9PWZ30//ZfjP8KRcXsUzLNo7KD63eXJbvV
mdbtQSzLA4JQMj/SIihWN9JG0lb4zfyfvwD7nzbGINrZGbsEhwoH25Il/smLRpoPi04ziyMNT3nb
ZmdvlFuaQBDKCwOHIjUfUC45u/uUJu/WNzJsqUkMoR0qB+Sju/larEFuV0c6gYIby4Scopn0mPNc
ku/UFbivCa896EMBJwSZri1QlO3qafE3hYTJ46ErmSwGHMhjWaLFAmGudeqQmoGqiPUIrsnnAj5p
M83rbSTojE4MFaNpfLM68xSTA+Xl44lQDgqvrk1O//oReck+ZdM3v4e/nnj/OMX+93H4n77VX07N
/0+OSSYTf3pO7if2H+fr/aD/t//yP+pfqfz426P8+PXV/xUY9o/3/MNnaf+daC8fpIugR/BsC7XB
H+sfh7/RURAYPNf4G+9P1R9iCMP/u8HR6HJ0ugY2kP91Ohp4M3Fecjr6wrFN3f9Xlj/GP+9+7p/C
wOJ5J4+R6+Dwef78unIQAyljzAmaG5OpfyZV0XtZXa1uQ9LLnAfbTT14mUbTUeLOzdbWhzwqQU+E
f/qx/Qev77vK5J9e4XwZWLx91xLYeGCa3L/SP73CdSKbQbH6pI4w83wrPILx0JzGB5VU5stYZP55
BvW9Eh5ToR9gyjHu0RtonOqz2PO/si0wLha6RVr9wMyib+q7A39TQrwNK8jNj/qwxIeVNNpw8f3x
muYZlUyOeyGy8cTc0l7CB8XiefBS5vZap61DMCclr3hZTCGruCWqE9QMAKqmd8ME64nGDzlk7i3+
CXUjviDfRE6X8/a8CsfZOJBER9qyVptkONrXKrO0PcNLJgJrP1gfutDLiwDwLplblSO51FArZgfb
trPMPy1rWH8ZhRQvPg/Brlkshehx6h8zVJE5dq0iAys6NT8H1+sPo6PkQ2oPxlFvDFzoqTcinbOH
x4Qgo9CuTTBPuXUsG9wrNDKbanSSVyyxZGPmiAgDOzecd2Ok9GvYN76mE5312BbgXmqLAhxNOtCy
RNvyJvoOtwcDsSmVe0Yv/hn1xXRQbDFDuYBGWZIl7GhgT8ugZdcxsxO4LN3dht6ZiA27GmiOO4ko
HuwlogQcXkSnt6Gf3RdoSZc+l/Uk3pGGxhG6dcksV0dm11sr31r3SL4Y0xaSrS5JVeQv4zRr36ap
U9tcSFzqNrhQ2ZD+Rdue43xgnNRVuRc5FPI3JJ0cxbGjjZepreQxSyw7ZCuzpR++2Gm392rt5AFn
2yYzDg+luw8uVCeiF2nFgpUz1axqTPNCiggOkL8rrAUDVu+gE0+XO9JcC4EOF0GfM251+keAyQgU
0rjbABevw6mS2d6CXRy2g+yubVEM7xmrBTioA6i2BMQSU3jtp7sCmPBUvVwhdii6aJ6njMdqa499
EbUoee7/5fxK5ODvJtSi31aT8DVSTtVySWyWDCWMs5s+k887Vmp+IKRzJVSCJMJpRTnJQP8hK/Fe
pdW47lrYebeyFM6uLO31ZgN9iLqVXURlwQtSzkpbDl2O/sFMIuSWIsKn4BxS1KcIrrsklLVuBrTk
7b6Z2vatrC2L36aLDaos0qiGsmBNSJqIWqteCE9hOsXmKuRjNAFGO2evSBA5z+lsHxoxeLu6Tkyk
7ouPpwp8TgC0349konvBPMdtKBM8EZJAjIhIWX3euaLBEV14UuCREMrliHB4rZEGHWrtjAi+rhY6
UEAUx+W+rxit2XnI4Ns9qXkK9Lq/zu2K+J3x18Vr7GV3p3KGtnKMS+KliEpKP6IeedDHKmCACq1M
r8eTMqzsc2Fi/btKsMPcnb9ooNcY/imKr9W1iK3j1N9biOePUqn2UsOlPay1ElvNdeHc8mUTuC7i
p6QmBN1svezo5IPYMzcdPyUpME+czB7g80b+YDOXY7pj00bSBJj1Fh4X7DQ7cYqDZ1OF8vB35HuM
47ITa1dNYZrkRIb2LcKSOAW/KnpyXOCe6BNzBpmQCYXvOkyllm/zRFlsGj2AiTFj0wBzuQuQt9Ot
MvBGZQ1olRkxqCx+swidemCD36zIiTHAblpsHPiVGBuK75XhjTdIHLBcsKTJt550VlLY4gTbFPx/
Lj9c1GSUbjnTlh25FfWRALf0e0s4tbq7HXldp3dN62z59xBqkkoD0/Bn65y2hTi6th3bkdX6X0vh
FMmhresumsahPnplL97tzB/2a95U9kYNFkpxz3V2sJfJd/DJCf2dNWCKSJSRw2+3pzUHFj28V4Y/
ouBtHupUQ9g79fta0wl+NRz4d3VG/93ezRqM+IkUWYn5+V66BR4CJ02ad7uS5cHPFz4BtpxDPGVe
sFRVfUjNeCIRFAp5HwyEyzxi5VfGroonQPZOvij/3FaxUXw5sNnGJ1Jq7eekhfa/HVqt/WCLPX/E
sVm/NWWqXbrEqdNN3HBBR4bks1X+Or22uS01LqnYfkuUei8qXztB7ZvjE3Jtmg2HER27WtIB9Mya
LLoPnv+kldZTPXuVR4Rb3bMLXZzfxmKKJ67C3jtMYOPy24A64T5Sy55H2VESGONMLLrRmeIKlKz7
nVRQANjnuc43JHgWRae3sKRuxW7JlHOil/e+/Mo1bOaZeg4XwBDnOLfJUKUR657hmDmXmv0fKJbS
3SmjQxnWa51DbrLTfa9sp3uyOa2fGUN3+7xmv530iSm2pIUi4/Ztb74wbLH2eFYSRNfULhOuZGb4
k/tGj1B6D4gC3fyoiifNV94pN3PWeZh1o/ueE+qur3f6NxKCsu+TyEdIo222Mqspk8GKsmYUPxyG
Q/UDqvwct1tW3zEEpadHSOckaHOig24AGfFI0Bre0klM7yX28FdLm6znZjCqIwhNsTWtuXmIS8Ce
xJGmB6oawiocxYeg1pry0KoJ2SjnbNp1WOJPNNdeQJWm3cTC2MboRuAM09p8YbU1tx6GpwX9eaxe
mVrWeKFpI/EW18V8vS+ahmhdF5P0zRRIapBUgDNz476ASZIDgXjzT2xtU4jkMP2WmBVcI2QsARx4
I6gr28KclZgBTqa9WeVdoMG3PKQkozyMA8FSEmdDG1h6pVGLebt5zhn31BW4/T4oyGOaT8QaaXDc
EGWbe7ef1+nYN3l6pJxp6DQNeBKUDc6L3Y+wIL2W+32HNd94LDoseNNClEcBJxXSHxOgJ95rK3K2
wnK8s34qAbO11N3TlNxRCA2ZBWHdy/69jR1yqXKxHIzcHLbk6SVcR5a/rTvBChJ0zo7uKnmAhCG2
g80zamNkOztax+I6wZsExKy1v1L9MMv6nYXkRyww/lvF0XTfJUsfbNIKHZI9a/1P6stmO5CqMoeM
9NQ3DeLaYylJoLGKuCxCnJreFUS3s+4W/b7U6wt/52k4XpLCL3ewkux9jg9oJ1BThkbtqO7aMD0K
PIFpxBih9MxsW5bHfkbpeGyaVVwcv1IIdVKNeFiCsU4YJosXVhx4Xu/7BKH68pAz4nwkmtnqo7xt
li9lVqUb4KjNv3kDe1NifZFY+Tla5ADCAwTNCeIEWtvKg14w4wPLYwhaKFIaJdz0QL476ShZO/VB
HFdA4ueJ7I5GtlsHpOa5dkf9mk9uB4NsLN5moIbmUSVKwzMHWn7vx3EHmIIk17NneiwljTuNW88w
ACtD2ytLGT9HggCxCt69ALJf9GdOm1Tw4KKmDNM5i0M54H1TsToWiX+WhJlZblFGFD3tLiFz4DwJ
NgAmFqOPdYoH1BLOoMFsJATE0vyHzrpDVZfVLL9G+HAPBacit/9AurqcbbqHEdEEk2q9vriAJzY9
e7i3Vs/8Ry64jk3ORD6srw1b3TbHLThkngmyJX8TFYJywLDchxl2OAW0O2YBIiiDU7TV3jRn5QzB
UxjPwT8IcEVb9eRqi+5pnRxg8IBsrKuEQhFk/jp/CEjCt4VTfIdxTcdYKyjLMCYHY9l/SZtIHSdB
puMKo+XmTGKKzhVqrTFdY0lRQOTryeI3FOVL4UbYHpvX1nTtyOGiQRHbAQ7MYveypGX6Zozy2plY
1fA+9ruSLQVMC5qbsxRJcXII6LlDCspx39BjhH6SmiBLxHKz7zJU0A8nhu2vjll9AeV/GBQmsgJR
K7GQyJGztEb6lnncTPiRGhdolUMU8QNTmupTLXJ8aKi+Nng5knO6FumeGcd0dI2fBUb0YRhsuP0F
g2DM8RYUK3qpdQrBr1VbgwuJcNlkIZYiSxLgP+MSMMrfNOkB4fIxXZwztptTsWbOJXGhdUC/IU8o
R+oTrKS6Y7NUrFPJzfUmvMObXk33lTlFNOmlzFrIuwFxloWpp4pbAnTwEMvEPnnDyBzOqLyj0lui
IAzQ/67mZbuYV/tpZFJYb6xGErgy1Pr9MRSBu/Bo4AUjvUbM+7h0nF0hs6MH0lTHB2R4KUYfxulq
CaYavhZVR8bmBlWzNBFISlPo4eJwN+Eea8YDSkVjm2s5aZ141GRQFYTewJPdI/8C7kENsdoKIRbO
SUJK8vK+ReT8g8/2ZsRtg7wD+kRE+rF2SpPOf9dFy7YlXoxv0qNk97ukPLbzOoaGZiQXmMB2JCYf
kIrKzR+e5VnfHHdtn6iAcyKAMbIXddwcUIJpT4YaxVOxdgVnpUAIatcSIQkw40tadaQaULR9GoZB
C220UD5g4/+yMIFhZB7Oc5ef+ioW4aLHP3UEIpDhglUjyxzE80uXj9rJXBRhXrja9xp2rsNsjv6F
XBj/2SOJOKyTLg8agwJWubUV9QCoQuFinUjRoBKXHDo6xAPLpovUq6dczQV1Qi0/IMyBBdDIhbZp
8Q8QMveE7SKnxlEdETk2XAd/6I+uXzwJwBfCY7po2vLamN86fb6MLCNXi5yXwflepNNDPekGIsb5
2cMDm2gVkk25jwvjfi2RFQf5DkBzJdky++9VBZBSZR+SwUZQSuA0CcyRp3weq70/OBzsRIuf7WIy
eY5lc/C94uSJtCIV115PDib9yBWQeqsCawaiLexPaYmxss4O01AmO0uNz7pVZxtvqVVgkrEQrkrr
Ch6OxjnoguZqTaviE5wlK7LRRYBEtgsO55Ez0sR6kBKSgCClZD0NLHHbFG58mktRRRpRznvfoNMn
xzd3z0zG4403u7DFPXWQZUGghnswxvRkVOZ+tSqWzVjoX9vWHc667VqvWPvvCAY1+JEwITHtsHUy
fS7IZxkDRpECblTWvmmTX4bIqSZGo0xxySpuT+CM1DM21Md7bne+oM3ylBOlZn4cqu6rhiF6YZUL
ypqMhTrigD/qLft+RIFbRkztgQVgHHTWXIRmIZfLaqLKZRWhf1p8f3gDRjKE3Xq235HkdgeyGL3H
mUS9bcwSLKxdsrQSJGwE4eG3UHhvSNDhzGveLTx8T0gtkL2Ys78gtsW7wKrRkdsB9t9uyupmg+OH
H31Bnh3KTz+aNI2Q7FaKc4WzO3RaZwJHGntnZQHhy4jPXI0vG8kJkBv3iBp1JjEYHcfjkpWHash+
kiT5tSSSbFG9bSjEzY7tpXCSbt8bQC+4NrVgEuUc5qamI/eqJgBiijUqcsI9N9e+MMTeQAkzAdmf
dHaj9OF7D9pKnbhVxG375UzmVauFv+tdkLiacRJsuNGoLttOqe+jORF7NVtWcei4Dp4l3MkrnOnv
o8VOVjbaGwQa8VDB6v6Ar9Tu+XuMupQtLg3EweroxihRtGfSyy6N1YVtzubVJd7v3MHe2OTCfOcA
xyGsd+LNsioj1FLsKt5ivGHR8lH5eFjkZbqlhg5ky863Gb5GHe2n4mre+GxrAEN7kD4q5zdLz4OT
ZoeqQD47VS+IEykvBaSuTgE24gLfVnELIMDalfXyjv0IpszCAiOb7qjc0i6HZ5rsflva2SWPVbbz
jeHxDoeMLBgBj2lvveaNv+DkslSIsoN6EYkW43yQNFZPnFqXZYGdmSWjPMO+zrPTk/4NyL9AKRuy
SI3MniRW2TQyEIY62sUZyM4JFlLGy7F+HvNqQwznMfZ7f5/149WBJSvDfhz9cGyM6iXpmvndr5GW
I0djD4RCvGrnvdOV825ocYbDxV+aQzZAlEVYDnbCSM190RvqsVtV8iMp2EbxCv2g5X+xZBlMj2aL
27T75TLnepky2j+D0hd/VAKDZVZnzSlpqB0oFPrsensbYi29yfiQ4DvajGPTvmHRWXFVLQAnEN+D
EW7bfFMPSrIPWpDfsXKLaBviLemgzvOaThnM+nW+NGS7Mcs0ne6AnWgMpTZnYe3PZw0sMPzqfOYX
pSe7FrVw5Jouy5CutbJXJWb7ynMWwQg8kzXan3NARBuCKJl6Hdbc9CLet3/ve1s74HnIiBvCwsDn
dD/bNe4BM0zPfpw/V2aT7hD6tjswYcWbhvU77IR8JIOMryvTs6gg4o14YW2MEu556mTFUjq1barw
9snRQflgpsUb5YJKID+7Pqxt0QbdNH0XDb7AhVP8gADJvqCdKMJEpYgW8rJouw3jG6rlaba8s5u0
99Qw12mJJs95O5IYicSoUyZUnfjlMupCAr+Yj2Sez7e8TzoUUvd5uK+7E5PUeVuYZvKtWEVxJqMU
5a6Fkj7qsxyMgwaiDo8wYUc7CMPFD5lPsHYKS2wbKk0KqgIrlc2NnK0EW26k20LClsh4jYsvXJWc
lbOciN/T3mKTLOC8pfWIes0wXnwhUO6aXgE6poRoe557SjI3hoCnJoM4LRe5ECqIaiUscnFcREdO
dooTxCG8C/hc5HBnennzLfNLcTAGp/vdpy2lY2z350nSMIFx128mOpEHcuesXZfKfAfohALIcDoD
FiE26VC1lTjragglxZ+Fi1RucqYUZ3KozOexMpMjYHPzhYMfxoxjpTuVdKD6AMhjJMkrq2OTV0Gh
wik5BzT/LVcfSkrkhIoxWwd0Hh24mX54DufFJhNT8WoaHpoDwcIUUTcbPzLxjNn+inES/cSx1qQh
dsb4V1xm1QtlyPcc+B2mFHkzx/6F3CEVqvvAC9jzfliXdltQO58wqvG4wogMcCyqPe7t+oOoInfv
tUi64BDqkWrgaCSMBwFkFOsjMfFzwB5hIMnE9RibFebAS8tmQOcgbKwaF8ZJ3l69wiJusptdIEvD
q1pSqEWm/JYZeOglmNhdYZJtvA5J9kRaX/fDTjxyU/XYnRAvjyBuQPLCpxM67sD4JYWncYBfQ7kz
wnn0xtOc5TkH3pwfF9P9nVH+3zF5Q4hES+ckmAkJU0SpvYCp4zKBADOH42DUZ/whj6O7PjqJ499S
15sRGJftthnMzxqHOJ6hzLqQyhDjM1itUw+Y70PBj2Zz6v/w8XXsHYA0G6okGxcCG9Pat+D4VHGZ
g1o2jT23Lq2xeSQjqn7NS0NcTYPHr3a15DjCRdjT2E0RxfttyGAvzCymtm43nA0K9d4bFOwtppKR
Mtf+UKCFuapl9hli2C9pS5RZXVSsVyTUCMThKhxNFLu15Jsnj2IwrAcwhPoZvu66uROzj4aH0swo
Cp/JEPTgoZ6fDFPy4pQ1tqcJ5JEZ+8/LPNintK6fdV5EG11MW6lcH8Fd+YKG+boMKxQnB4YhOGIE
1WuBjSwQQLH3Ti2HrUmFw1nIaNSOBl9xJk9wBk5+Yw3ky0Dl4GGeEubVDgeygSL0dQGw86sRLlNL
UlgCCouVX6/oDw2PYQjjqiF5bS3abcuxeBmIfHkkiGC9y5i8i+cPZVC0+atInJvTE2cNavPDyYmj
m5Ozx7R7ZwsCteRi3XzqolOWkvjbZWFWybdlzN+FQqHU9mS3do2LePsW9yoNVxYsz5Io4cAE6f1k
6Y08YRlG6gSQ7E2YubMv5ERJM/ckvUmAMSs5CV3a2pHrkZNdoapPxtvMrulCVm5+vIPVP6o5Rj1a
ui1l94BHdzMKXgEJ+EdjBH636QBzRR4pwImyPWTn8mA4nKcbm5iKHQJsqsGMamGTuwvXSUUcUIAi
Rmfk6NQ7q6t8fo1eZb7p3V1+6I6tOHhzWf9EGgrrpR3N5swHzY+1t7wOHiOqUjO3DefbhYCk3A00
NWufICOqiPuQNORpVYekrQGdAbjU30UmtRf6fuuM/Ui8wZVQwcyMPSUyLe0fOBd6ImBQev+AuKc+
U3egr2No4CuWQkUh1hOMqKxgemuPb2LoswelzbyMUdGphh3TlF7jdcrJux0yyswSzfILHJH+ACJs
5biSuiJd2RWvY2qk9a50mVPVCWQRJpm2DTQbge1DIjytDqxy9mHNJtWE9Nq7p4zYoMhfR1i5B9ZR
lHH1aGZbOmobx3mVIVJrWpO3BQ8U+MWk3nO3/kwrS8NRQhTaaGsK71mTh3pnfpYUfCzcVgZWGy1n
JNKPundSgL45KRr+Cce27i8L4DlKSl28I9i7+wM4BvqLZjn9Twsatxv0Ztxs21GJXzkF+XYl3/zg
xYlzYcs6X7FqoZlW7ISlMw0ERZbiNuLvvEsuEh6UjpimLewea69psWT/lAJs9Fj7MOmqN5SK6ouf
zritycgMXPRHe32WT85ss4YsY4PgA1tokNTz8jJozvzMZC3dgoYnClAR4uFpXfU/qTuT5ciVM0u/
S68bMowOYNGLikDMjJERnDYwMpkE4Jjn4en7Q96q7pKs1GZa9KJkWuleKpKRgPs/nPOdBiOXEBGv
n+yIhBdD6KEcsb4IhGzgaiYqzl8lSR86oYqezlR2i7rROJPUHddL23dQCfakfkE7pqoEzKLOviG1
GqI1G8VN2fMAB5PzmYWkdzmIyokcNJHwKm67g0yrn9Uu/HRrJnpQGMm+afvu3SwafH6E3q2gGF3a
sAP4XqRAuNSpRV2pj0vRpJNX4mWJvLhWywVJTic2gvD921J7BEXpdWNcbVyiEF+yjhjTIcgJ3ZVt
T46fRjBBUu2NzKLrAFNLXJAarmtD8W9tgRXQbsUHfutwXMnMKVeq21VH6TD8GhiB3czYj5OFzCzz
zrJpWochgepomqN1MyjDu99ov5OJoUNMzNY5q6r0JYu4OyC8qQvbdaNrCwhg01mCdLLKLUMYVlwM
01JOvnuIGEvSdZBeew/hBtxsnYXPCtZS0C2hPUUHcAOUBAGhnV5gcCdbMJ/9yRiehzHWtpHVdhtz
cGnQyGxkg7gbzZzVqUF0yXxT2zQeK9sFAlEgCIC3WKovQ1tUANVAGphNh1WdmF2P+K9ulVvFnc6M
KqUxq40DWOwoyQddpyP6W8ijH+zf/AOFiHxKqCaXaUlDM0apOFgFRy0MFrhW7P6OCabKVxtQTBqo
/VpGxgi5vrHBeBXVoZi0aB23tXoLe73bsGRgzNkUPVQqqpYSU1XvP4fdIPBYlPwqkqWgXWbmgdW0
duFbRc4Ge6Y4aj66LLZr2UAakI3tDvrC9JRNg/0zQiNNNmxf6AHZug37vnKJvMadCPi5yO7BZLZn
oy0uSjB5GdO8Yzk0YmcmtnQB8lk5ovSAYVwJypl/oYLJIAus9+6U/5S90LJFL1ip2LnRfiOAU9aN
kvhbUIt8Xl4X+kajUDiYM28qHZvPuEPGs3I7CJ2LAHr/C3+/Hxg65YZ8C52ri736Ikg12raBDFZZ
v6km4KUQomG06DUIaAuTMR3DHfZ3qgeuF/LvZLRi1ceQGglhJYV6AvXvlFn73ozGeJHw+RZFCfKv
CWkMKiM/kHddE8QmLC4bdubU/3j7o1tTOiXjYlkbZyPghG5yPG2xu456nl/izR5aYsXfk5JG99qt
7G82cO6T1SKlb2dnFP02vCSHfLuMs1BLYA0o+ZvCQvacayVArCzTeCo0xVNjMJi9KxsEZ34X67DD
BaNgaoZfzEDpPPTSOAe6aoCEHQC5OVl6ZvE/7PIwcwu43aZ6CNKIV1s2LJgUdPlZo7yD0a4+3JB6
YynyTiWYwua26aQlf/kMK2kT4HtuDEAroGWJK6GMKV8ZDL1H4fTVD27CNS6qh6GHyS4iwQf0qFZF
bxr952szqqx1WlUlWq2iTqfXqOmm1AR1AD2LhxO0A/U8ZFdnTKelnzniTP4vSM4i6aGUEZ6wZNJH
kEYd5OY6g5oyBf1C+ljR+kZZjgnWurnBiRlLrCe7urLx0hYVdhWmGAFgI0fRId+FirNRykG/5qba
PdlE/OzxHpo3RB7KcmLSjwNkGC6JFZhbvWmCt7DJjAfBO6CiFVQrbHtUxByK2W3qdp6PK3GlnaTe
M3dSwbyy8GrqJXYHL49me5EdcBNE2cigvYtiYon7wGsUTX/C5wiYO9MR+WST0AvSj2zpiVLgRbXr
H2wjQMdzv2wxViNnqOJkWumGdreZ7S8jVXM3gtN0xX43fVIS/WIhbV/XgjxW3Zrs01jhfl9Ew/AF
9LnEo+30M0jV7ytapMk9AbpLbyxp3WddMYcLC2zxRRBLdlBGwV4tU7u9rGwyTIIgwdqfh86zObJl
RCj5VjOHjhcV8ddHUg8hYRD8uOEqRe8Sje251dMb0IT4aaDm2kq3Njyzd15wToZeLcuIUtIZ5KNE
r3Ppu8ECmNaa8gWjHjsCxZkQN0VY/AtjOlY8EMss9gHLANHf1WG8CdM+3FtpxDjSd5y9tLCiQaUD
kZI6W/hr2Y5ZRoffvUh5I4Z+j9x2uiIJZr5Z2Taxls4IJC2rUH0QbvCqCOPmVP4DsFt/Casg82yf
Li6u6sBL+zlmfJDXkD1hhBpqa4IfWdQu2SBAt5i8JkN2inNMpRgJdgbl7BUuLnMDmqgnd0xBqtA8
GcfCdvMtc79fDmG/pjoe8CN5VGLWPitTljaqE7Rbib3/Df+Cva4TKDWWaaYPrbU5uBp20rsMhIiW
C6ArITbS0LQGL9L08iWJ+aKc2m8WtMn4HioW1URqi3o+0qFylWQXrgOSA2bwM7IO8ruWqVoW6z5u
GAAM7airiyJgLxuaanLlmO6gB8PLXXFz5Gt2kuoBO+jvotKY9dQB2taIMJsF6OjixLllLdF/jbjn
VJPtdDDc50zKE1Fh/Ram83RDYpmspshnJOVq2a2kuLj1zaivgjAtYKt3ENTDdugOIIjrZeiShS6w
Nb10dQx0Z6IpZSLtlzFvPth41kvuaxYlo1dEOVMDfHxenEEssDIr3MkeRlwa2jpmdYFZMKsZlE9h
gnehN5oLs4HwF2n2KthqSHhLg0EkcgdNHEZRm29wkgbOs6lmajhYgFtHt8LDMiTotiL2CZbp/ip9
19xTqAS/GBLO1Mp5FGWU8hrRhKc0Aq21d5q3eRT0qvqossD2qM375Av9helG9I4+bToz2zBWsKqU
1VS58neomNptxIu/I1QuufsSDyVrAdp7gE4Amwr7Gem8ugnbkqRNR4Q3GO0TVimzhYRFnttPrhnd
c8b1ymJm9M+lW1rkkMMe2KaNNFeK9P19mxrGuqy5a2ieM/WSJGP/zphFHFlZJSsnd1oooL1Zn9kY
mEB2aMCVfIyf41z5knWFRL7i/mwTfx8GA6Juw6rOQTlon1bWMVaMeWcIUgXEatqRgjCowktWTvoO
bqOyYDzT3aaJdfFC79vKSzK7wPvGIKOQbr8sXF370aXjH1Do4EWCyE+g++i34UVQHKxZxvl7UI0J
WUBlymNLq0/rzLSAbZR+6wlXuEkXoG2AEOCeAdXgdqXmseiluX6NbZXCd7b6MD5AZh0eogd6PTYF
iycQXuysKWs9auT41ZUFYKJS8cO3zrSZubmJ7Bk7MN+e0NVwREVKvLZVzOi1LqbPDBj7xoE8tayb
1FgSLsweD5U5XqR0fGYa1mwty57VffPsvVDb+gdxzbh08sB6nkooVx0UV0z64CJputx9EfeCmQab
GF7VctGYac/4pLaZK4yCAEtkeRGPJRvsdDjhjbymk9agjIOv1bo+7AnXoeYMIkLFWN081wTC0zHX
1lYl9YeuytF6i6ZydH4mRYDsIGLsEYd8B/DzDfjCBAbl5NufKtkSMuTXJINp/PmDCaHgIrZNh69c
+82Boxw7f6yblUjgN2OpTDiD/idaMSmlnozrEKU/HHEn/22Vub8aLD95TxoIUVha4ughEvYfFuqr
S5f58oPwo+5kGSxdmNMiho1Bq3Eiyez6r4vh73nKf/+fSvj/Xn4h1dZd5On/3C90jBCCfKb/4BT6
9x/7SwnvGn8zYWCwG7ZcY9a0/yWDhxao4+kwTHKvHYOaEffHfzABTX4CAxH/oUvXmOP9HyG8rv3N
NQXCetVxNH5WiH9JCf8PDhOHu87BmS8wF2rafNT9vf6cKGEqQA3SbtbRs1hxVmx6q0w3ldRORlW7
uwi6GFjfgcza9rcOhfgYWKnxF3nyLx/XfyGER3v49zr4P38OHeAHSdqs/YQx6+T/kw7ecAMFZLxP
3FFc4522tbUJCQzFpWifCKI10QCIi5/Oyupekp9M54Au7CjDoVmUlXFvS/tUs5KtXyZuJzU7GHIo
yKkBreo3jtcL+1BobGb7DlWc1VxHNKOaz9jIKqBnq+2jJwhutJiJ+mjb0/oyxMOZfMq9bhTk9og1
VvtXHP1nRYI/k1Z8byOjYh0ffJqMGT2V/txD6zkUCzXAbT7wQR6X9Ggu8oiFTHHHkLpmDYwgyriw
7DfmSiBc8MXWaN7fiBmJ2dFOjGEDfQHc/qnLEERYwDlG/ZgrOVIkGgrnVYmnG+jn51LU+zoYtrph
77OQmUrMIsYun4fBeneaBErKALjHJHTIDGA7ERLjbA38vG6enkj42YvB+p1jTHbUD6VWHzZswaCx
j9xDN+FrGx14tTYoXq/r5UK3+WMIV18SmbliQ/KVJ913VBpi204Gu+NY/ECz9Xe1pYdQdAzSWOK2
9BhjHBqtPypOW6NxDxP6RH1JovEzqsNdpd5A3CzJWxGwEvpnuIYX8Flr9qaSb8tlyZeNq4g0TdGD
ETceKa5vdk0muJ/nMht+8NTuhlp9n2rM+4VK0k9fvAWMPEawsPRp1joFlYiGDbCA++DxYiG6VgXx
kSZiE2+gfRjV7hQo/ptfTAdA0rfKdjMYAe0DuZinad95mp5qtTvQuUiSzQMvR+a30BoiQyuaeURw
njs0H9JolrrZkEs3JG82jyZi+kcElGrB+P07L1n3snrwcgTys/5glUoiiBtQMr7q4y0d9w29iU2u
ktWFrzLV7mb6apMhd5YIhl67KeVmNa/+0HUMY3sXPkDQ7zD/eeTs0DIT8lxm2yaM30Tr/46V/Aj6
q7AetUnfjUEVVHDBNgm8Avkb0w6g8KupZf22xYdNjQhgyH7qBlYrgvhZyzib47VyiqONaquuUKkh
D8+fTPQpbYt9uxXhpYEivwpkszWIvEbRNMBQyIg5csJLF2hP+F2ZIu3qjAGMBVKN4+AS0YrDdxle
iwnFciy+AMWvZJ/RpipadSxdbQ7RiBNsIMaKVQCVVPRlJc66jC+mpi77QrsipcAbba4TwIWqk247
RnOEdfWLaRKvChNuKo4Nj4aNE1tPd0YOfrHTVHIbOnHKGQeEOoQnfXpEnW55ZWu/R0LYyxhxv5is
5Tga6zYdzrZeb3R9WGaTYx+6rF9hz/glOvOi+XJ+nfSzixlmUTbWOXJJgIndjywud1FrfeextqNC
uY4zQt7U83QdJ9nWytT+KSlRnef2gBCykjcstFQ9PgRJeOzocS4V0za1VvnmS74nFmJOER0h9/We
8A2quKpbm+PcxgnrgufjmiYSohGhL9EMa4FvgFExRO9VF1+55XqAj19SduSC/8HTJa0kZG1vHHKa
nOrBfPHsZ817O6bFnHyFtt52XqZ+fGYbE3iDexzsBjSbv+jS6q4iMJyM8r1JrA8dJCjwtCd1bN9p
OF7j0U7Zv/N7sEYaFYj3HThyO9Jvo6ncXIevJ9VKGu9szyw7WrZg6Vg3MC8LqQC3ttPvUGdsdUyk
U1X8GHG6wWfxCfGJqRLOpawI9WPp8+Zn85ZSK53fuKxe6G3lAorPquyRa1DH07Yl9So1IDrXWrZ1
JvcTWim40JqxjAuvPRGhutSl8tBzg4XtSJFXVacGfVgJ6Gm07XJlpoQmq2n9KWObFwPadNj0753r
XzLFuROXPC9bT5M+g9nYhGzqKj7qebCbAvN3GSgWY4og8bSofpr4WhXfP8YdSywwgwsTKNJirEib
YcDhLOmGwe3hbYXkd+DV2zVaCwHCVC5VQUc+hkGMw0s5miogiCiIvgHagQ5IbmpDqhwpXdealKjS
5nmoHL7JeFUJm8UssSiTue9rMpeqvQibZcwOYpvjLlBHH0Ul4pX44SPRhHm/iYlvJRKa9ROHkJr7
6yb0N0UlvCL/COvsxFbntau03ZC4XpOYB3Lotn1XrBmreprbYZNwkPxExGTHsqF8fS79HrSCCTX3
VObNKy4HZEEJkq8adLX2hvX7rPcw/ScGXLa7iRo/9qza305KOHlDV92F33xWcfsnwSfei+rVASRr
kTQqegwtrr7tk5a14tMwGazuyexVsuqqTMZxHDi5QK6RUc4rr1j2xRrC3wXTAGbMua2ew+En7aaT
aom1lAwjVeOn8fNyZbTSIwXrQP2GfTb6QUfyHQbm2RDNyRDVdo6dUsd+pbZU6FblvjkSyVH701B/
M5m8TEytsQ2frHLgJczfeEVeyhHbRvIB4+8dfttHoMy6aPnUqu0Z5hQTH4vjxQ+PFofWpHXXCmqO
3bN2cdmiFjCIrfQjDZTEGxXzy7VL4ht1uP7j0Q6ilPRANM0uG16DYZjWfrZT+xaSV5uQ6x1r8tdU
ZV+pMR7wUDgFMrYBqZbF7EqEBYT+GigW7Rb5kD19XLo3OBQQaxLNVrSTF8IoMZt2BYF30xvHSWKO
YLOlutHvzulWRgIbETsKT3OzEQTMd4zYwlg95gECs8QtnwIzvlaZWGLDuGHBWoagOaK0eQ+PWfKk
1w9pxp5RKmt81adC1lsNXv3C6KIXO4JAqEz6Kgv5teTFZqLdguUb+m2e1t8mDOEwireoKQXy0ScT
nsNCDBhRSsAvdXJAT4PWTbwwZ/1yIXatGmY8iwRxqFUq9dKKGzgaMn0wkTCv/eRqS0g0xFSpKoVN
nkebHDdQr1T7mGAFImLzRWZaF2gw74Ecf+l++0rs/QaQVbqwzeqlimfXl4QqSVYGKivBkiAYKGYm
ZjQ6qiLEV6AhDSu9lUXGZKzejBruOaS5OuiP3nKXfTg8uS6Puk+OW/9DfjU71mtTuvs+dS9+E51l
vYdUhA3AXg63YUIIVq9DkZ1LP8ecqleDF4ch90e0UtT21nIVeWPeLhhuTO4jsPXXoFdvUatyHjib
KLjHUbxpDGuLNxE/obMuqvYJAci10y6pwQNEWs0UfSgq0+gSFjGWkMUov/q+2aKUeyICMaCBHPaD
W2tL6Hc/bvYS8m6OOeBqLcBgn+PNppEoSiI1niKNXj9x7qJnw2Y2nxEbIlV1W8+aBWcO9UOr2K9x
g6NkLF9KoIcTUYqtfsAMsmRJ13DRMuYmpLFMxTMCsM6CmkQg6RI3YOli+xIuh3X6CCDkL7NORnsX
c3zLNonSsp72tp/Fx8IR6S/FIgowI5ts5/sGjjG1cps3Jlb5S0lsCTgTpJYd/fNPBj/q4krVYTxq
dN8dCUgrgt9wHVjElGCx87ul3zoMiqyBTZSl/hJZEl4dg/WSWgZQ+jjs0bjqaKpy23XwzqTuDRsp
36TShB8p1fA2iQp8O1KxtFVTkDApXYf1SqhiGkxg0WRg7BBDj8HWrkz1Nx/p/LKTafpSUqFu2XU0
G1+V2nMuKmOtMQQ/O+FY7dVMpgdVsatn+j3qYwoz4A5VVl9hTht3cLwDM8SSu0WG/U7Vash1nRns
WoUQC6SE3HGTMnjopZ1dUCo6dvwucTeo3MpjlkssR1FFUIflTqRsF/VRz2x/n1RtvXdbu0MoynDv
ZSCrew90uzg2JhYB7LfH3NE76plRlc+509gvaqWOv4o8Kw+yEf46IKv0bA5T/j4YzM6lkZUPGh3e
H6cO0i9HivaNTYLVs48O5dnsGutuuTK8gVofr3XvFietr6xbZ8rhXOVueBjNl44QGPS6bFqnZgC7
rpkPxTSBbWbRqL8zHO6RK7KkNachuaIxaU99NNkI6uac8Fl3lOatQxAdI37JCOfC8p4Jp9bU56TV
5C6NxoIekoQ+N5hD3ZjurYkQCTYBdT28qgK5bzcB3/F1jcBcmW7cMCg26dxgZ3hKRyiMvg5EpkfA
TRTUq9FiicFglH5gktZPxdBi88IpdFCwN3GmZJAHk+iSDx8DGhIM3KAemmQ86/rITVqkY/dc82SO
hF/VY7rJcw23Yzn9shIJ+72vW/I9/e7uK+LhZNMZOtm7YJQO+2cXsog1J4ZkZhNt2cUfSsw9GGHm
ABNrqTA990wFKTP5kZlqv/UKwuEROnermd+CwDJmqZ/ogFZA6JddEK+Ze5PKCXsKnZ+FZ4BQInFy
AlPdZH71Ouj5Xc/MXaQ6p8RsPVj8y3AGGebtpotPulq9aBrK6UKp38j0YUoZRFSUqbh3ZvfwIfIU
sxhR4SSKwvhpHMhedcazwyJ6V+Co8yxFRzaedWwZJv2M5Jqln4mKTWYrltrHMuprmPQU5XXEykw3
1+TErrNa0T1Ug+1rG4ICzOuDGyJ3c511kGQ/6Cke/2k+9F8MO4yZplD8X6yHY2L6JDHYotcEO62p
7j8MXQTgX9lYot+K5JU2PzpMQzucAa/hstaSca+KrDwNeTBdOZ/CWx8J667JWp4rMHn9okaeBPWo
S7/sP69KPL815P25J2t+k8L5nYrnt6uc3zPtzxs3v3sMtuNnpPcMUHJezXZ+R535bR3n9xbCe/3i
/3mZh4Bg9zaJCQf2edfH+a3HZlLQ1OXBCkBTeUzR6W76tmdd5QdQXaUfj16mVf5FNyxiceazRZtP
mWk+bwKfk0dtcAmVZm/cbRL5rox9qc+DMGyeVZnXz2pep5BxRbUvpoo82IluzJ1POt23OPPm00/M
56A1n4hKkGu/EcaCcBmbCM0uguiiDFfxn8OUzBxAhIj3V+mfw7ZN3H47xk74kRXUGYU6ujdTxu4q
NPT4pTNCGoa+5/jGuCIO5diHV9PNtV++Swp3SvqDUUgu+T+XAGpKyILzzVDPd4Q/3xb5fG/IyB1/
1PkuIcIZb9F8v2jzTaP8uXT428x3aLjcVTnfSc58O9XzPeXbCd6eIX/K5zssnG8zwMuPyI9YcThT
PX0zJDw4qDSAI6LiAxaZqm+AIghBQy2vv46WzVArBSj+3rsAdIh+dOS6CBhAxTybKyAJ+WJKKeCY
gesLg8WaXScZXGuQlnqhh6ei48kzknJd0LRthRK6oBFIBv80U6vNt7mjTjQ3mDzXtaXalRc1fz7R
QCe0tFOntrmnFTvjYcrCcEnARwJjUwqiSXX9kEoOiY3oHfrVmVXEYdYoGUJ9KF5fhlpcWfzi2StU
3SrXsKGpS+gWICYoLOO6lNxr2bAaxM/D3qwsbyHd5rZXzPcqY5TTqh2dxERdiRPtZUxa7BEko7pg
jaQs70mD5FPpZeXNBMNTr2YNsQWx+5sm5lVxVOtotPjs68J8gJGkAiKscKWm8Cy6JnRQzwfJzemF
8uSwjl1x0deoqePobqvo2kQD3y0U4h5p8u6wfj3I0o0RWVJmt6m6DwwNJXkXDuFaDB1FT4NnsjPE
R0Tg8xZgMxoQZNFJOYE2ZWK20rXxia2VuuhT/vWeB2Mp7e4NIUO+B+NrrDNEVEuY4PqmHNmqaJ0L
tWgyWZLkQCmznk0jwuk1w1TGKmr1mbTqlboQvLMY2HdoOKjz4SVnP/zcKwXtmJOEG7Ntwb8FqHOe
Qrsg9TQO8k0z4hvvUTtvDFC9a8ee0HKaXb3udN613GGuicOWDiwY0YsM9UefdfaO6IfoLZqyD4ts
R4QZRYVYzmk2AHarjT+x7zYr9susmYZlpdXsXwswgDO0b6myp1o20jJnRnFKaVGotPMXqwQdGRhU
TGNIyx86fk7EaMPf8EjX6s/9QO12d37O2gUGqlZUV4b5IMUYtHxj+Tu9cOFocO0ec9/+1oo6vcc6
sh9n4EBRUiKqu+QHDPE9TAWuRi2yF7oSmKdiJmmQw6bT2ITftUtNkciaq72sU4+qAL/8GH2No/7W
J++qhT6U3bBodBZImX2ZtBzgSpz9iHq6jSyXKYVhF7AQSww28Ta8F4ywp7rSO8+QHI6aOie6ZYTZ
5rlZPXearj5Y3NV0r9qvIUdwYpXyYVfJVqs4uBTD6emMEUmJQAufAts4sCLHTWPwfg0Vl0SuUA4w
kD51MH3hP9h5uY2aLsenTzRVgITqTTpzkxkYYNKHGJvIUNss12TTTR/kLace4Q7h0sZyujSJojrb
5HN9wgUxdoEi1EOITGaXNCw1/dxuLl3tZxfLV4Yvn/MH1Hxpb4e5ourm2qqcqyyChpIrTBQqr7kG
05XG3hEfrHj+n+qME9d8OHPJNmfrbVq+8f8vC6p/imr6O77df6M1FvgluF7/fIX1b3X99wusv37g
35dXxFNpho6ygbWMsN25mPlrf0WmlU0qFSso08QW/Oef/Mf+yv6bK2xLc+E8aTgSDVZoNdLr8H/9
D938m6ZDcXIEay3LYOv0r+yv4Nn9Qy3l0jTySbgbCLTis/4B5USsTq+GSm2QAjrlPRN4JdRWreYb
cqOSVTNfSlNycSJCQgENGE5GnTo2iC15mtNl+Ocmq/7catN8wWV/7jrjz703KMSBbug54Re5Fdcn
vL/fozZzNhTEKHtYZZDyAiS5S9Ptop3IgpW0svpikitypU1GHogHEI2kkj0NuhvtagbgR+rOZ8cs
6iXf4LhRC60Cs603R+zq65r8eGn2ckUFubdTrteibb2p6lmEjYhr9XmvPlVOvrbxQXhm3AKNsfAI
56V7BC+snTqlDgi0otTRougw6tDuJA59OB61u84t45tz1lr2Xf0LmIGziYvIWTS1NS0gYI477PTN
dXLdfh9HRDu5peiITdfqfaY1n/agOFvVVqs1URFzaAmf6UTit9/Z2qkph++pxd+oDiMqF6mcRGlj
TZqYx4Q7JTA84jZeh9I4IPJ8MlFkNWO7T01tE4UqqA+7VH6xo+rX/mB8JwnjThPeUyzGbZuMBDVT
NgYungd8HdOKyGofvFVO1KEmX5OQdryx7Tch1SdZabBMwbvWPUD6dihXblBC/GuV7sC4qULBp+3T
NB/hdpgbgEc0Aklziat5vjENdboyQW9tgSB/jT3nY1oJ9TqxQD2PrQUcoTLbj7TWwczkogsYDZHL
GmICvMStgS5A681fFdmAm6SFUZ6mgX2AvDP+UAiSbWhGRon4cpgOGOX7pyqMz6pWRD9m1eNyHQvu
gYCWLa1haFtR0nwXcfsnw/mmMRiKW+ZzWqAh9JiUyjijOfNRDDiXmGEDK87pRh1wjW11owQ9d1Aa
9TurI5YiKhuBFCr29QvAn9KLrPFXYslhzQXwkRptd4SUvqN3mkBC63V8s+2WaRWG+sOgOujPBTgC
WfTY4oyJljYbD01snzXFtG5NUNfak20DrMdDlGmll41KhNPQjNN23aRI2JZK0hNsabuJgLvV8ct6
SUEtsaC7R6CCYydNSOXwU2w2kRT8worUuQQcorkkJRemoQgou5eISaX1JKZWUsMPVbCqbWeEtD6F
kUBozgXv+Ynf41mTGkrUVsmIHM2CCjOXYjKH3LaaWzTLUI+Z40m4vQXrVFnRCyog7CfClp1ZWKjm
jHg6J0M1EaIEhY+FnxYIbZj0a2ewgB8GSKgdXHSEse5iK1Fy0rSjyeVzMTyt1TokEi7AWCGobfyM
KtVnE7KiW6dgDjrVAlBriJE9r4VSd9WgoQ7Xfqo49XdObHO6zDUHApaWjzhQstK1PlQ9GF+hIrZ7
t5HYUAKg7B6xbRE19TiETN70PsGY31HRgI3Hab0gEhVgHaogviw7VvAkk+PBH+MR07JQi+Ic1SMc
arHM0ucaHtfv3i9zExcuYDEs15EWXwTNslxPrZk5q7SBl3IKiYkdD0ibw03QDRBYdBAkyVIVDjP5
MUDIuUnb0NZ2kDMa4i8rpY3Wrg21eamnjs/yvdNQ9rh2BEqhZY6TTeqKso0PbIvYa5Ai8IsWod3u
Rn8gMaDETZjk7KsVXf9glcIoGcDbZ5/Ny70kHMpjm9eUVqEzMZoZkA05mAtI+DMpeus7vcM9bIY3
J2NwX2fl+O5YfYlhLEyuhiRLqY0CwGdZ1jyj08jXXVc774FeIpEyGnP60NTpu2et6lVqm734SuUV
bkZCnOwWhG03B8H/L0VYo2qWwRHadykJI11sEJfj840Cg5iZFr2Cqg9fw3msiOdVwsFvN0FfNLqX
29h5VnpG5siBU/ula8yB+NewbJ4lGQbGzU9KsrYTJCQeeniBMiozEUBgixluVgJVg/gQaGQdgYgw
5Gwt/Ma3qlnM91NSF5zKjO4VuRLdB+KCptpPmNuxB3QRpWxJr0i83rhFnfc14BhwFgiO2JM72NIY
VBcT6HkIqNVQd5emGaOzqWDS64wBqqbRXse4NXd+KOTVQfiHthK5kzKpNhLxZHivcb9dC4XlwaID
PXhnfTVeR79Kkwv54PlXZljMouOp3/ldaiuLvnXST+FH2pX8PUxEeuOeh4bQbPoW6XwFyLZekwgC
EOQ1C8BcRcZIvPQbw/lxkok0i7Htf/yw61tYI7md3KErocmyFcBQuiHCcGXnFNk/kSNg5kglVE9x
14kb4zLxCuhfbqIu0u21y+o0edKAPHEqjCHkU7e650FZBADR+4ypg5P/dICF3vpSh95SmjDOhZVC
k0GhjKY0GlBTKjkOviCplfSI69W8A7Yo06esGJyYNU1uCjycSidXrho6b3YeGM5S1u6wkYWf63tB
XtB3rlTdVcS6c1dz1idZhHQdg4FvP5JKsz6mlhskGjlVFwSRBG+iU1jyA1iHgzcmmIxBJ3qOTton
eYyICANLg4yhN7vO1GOCh0wEuVbbqwpnRF7FawdXCBHopN0yhXKn+jGEmnJCzouIYAhq5NIiSCYY
BAq0qNnhlPWckmUy/m/2zmw3ciTN0q9SmOthwsxo3ICeufDd5VpcW0iKG0IKhbjvO59+PiqrpiKi
qjJRQF80Gn0TQCIhudydNP7LOd9hmwYfEhvMlG5D0PMXTTt2ajebZmPd1nGfPmdNwEVHIviC1+57
8p/w+8GqAi5uMlnyu9YHp6KMGiHdEldZfUZXYkgwphvLxltza4gl3nIkmqjfMU8hI6ExnanclCgB
AwI3lmjMzEhYE0YuYtN9UHtWcBnlBlGabPD7W/kZsKnL2RKXAytAjKAerlYUtsWdV4wEc86xMRHS
WUVW+cUHJzXCYMKyHGMfWHI984Rb3sMCytYNpFsCvnQ/sK558MfMvo2pXBD/+pz7dNqMUjXpoZ5F
jmipSBTleZbdmDOiURTo7h4WIs62CafExoib+bLxtduu8sY0ThHEn2pdYsklvLTp62+ji7gDG3FB
+QChvpkGLIS1fyeWBNS6Ac3bko4JqqtkJii7inlLFDzGTcXytxmA7IjSDh5o4GARUt3kfMNkrs6f
8asIbYliNT9jWXHOMS6dS7Qtax+nd3tWAJduGO6Y0FJC81F/hrymn4Gvxe/hr+1nEOySCWu4pMNO
kl5vV0yTE9Ced939SKZOeZSTi9BRzcE7jzkOS78eUKb3xKgGLEOEv5X0H68lqxKG9+TLzLo4V44k
HQaXM913icgjny2iQ8Fd5J11qmb0N6RmPwR2lBBmQILBACjolQdGfM/iK30vu7LfV0klq91gGgkW
ayD4K1qZ6j0IckqwgslAkAq2MX3GA6ocQwe3Y4TqbSsIvEJS4CxSZrAT9R6rJUozK4Q62RCV5YEa
BhKWgFVZV+1UfCub6Vv7Oa1qZZSBEv2cZHWfUy001nH8J2K5Bfr84/T4147nFyazCbRDFEU7HnWR
VoR8WU1NZJURP/zQA/6TMfU/exmovaQgoA1EvfjLkBrVUV74vjEcnbHGRgnHK2blXWnnT97OEjr8
89tZvl8JWx/ENULvX16HLFzV4rrtjnOXd6/x8oQnKpyOIJiYTq1HI4m+pz2S3xURGsr9k1dXy6f1
68s7xEKRbOXQ3f76NqMhSAwAge2RyVS5w37c3is3s3egYWcu0ia9dSuc8gkiqJdkKlDrUk30wnsg
DORBf5YZiKLSpfDIber+eTyPTlEcbbNCHcx+mTFtPC8TTGOI0pumrjmqCmf2UWeH5N1Y3uUff2//
+IbohIVDyy4k4/JFOvqjknIGquKkRVce56hpsPYmxMBgyooGsUyCPZ7xQeqax3/3RU1hCy2lS2Vq
O+KXa7IGoUlMgtfwosF8aTomtXSLBD64iJypev3jF1ta+p+/Ml6MtQlvkN+k9TIS+EErGnimylM3
a4/DHBlbq1YEVxu7TIztn7yrf7wFTC5LC92uw5CDZc3PL6SyRpZFFeVIu4AN3mjJGo3aX1rd4Y/f
kfzHL820PCS/ijJRCcv55UsLkkjH1mylpFzgmQg7Sgq/G8PgkumH2W0SZaJJ81DJE6cSDs1NMnSm
PsOYROFDydd9Vn+lxCuLvdufD+NnfYhGkVrxj//Uf/hMpFRcWh6DHT4Wa6F6//ThGzpo68KNjogP
hHMs3a49j8VIs/Rvv47JbW9Z3jJJYtT48+sQDUPmT9CFx5zkEhApmCcJ5vQJKP98nf9J933443Rf
hw01XRlfppYWOzmpkIb/6xnh5vUd5PsSi3H9GrzWfzm89t/T6C+g4P/yLxMz/ulL/D5VdMzfkOkp
zfgQmYTDn/G3qeJneIa0uAe4t4W2XS6wv00VxW+Iw5ke8j/4s20g8P9/qih+E1rb/D7ezvIr3X9n
qijNn48Y/vDP9Ixldsnjz0Kq8fPVhyN8iNEm6K0/PHZTcQXCYxfsQhNqyAqdKQGMZGKI5s58xNnr
des5fmwqzOXZk490NSJt0O31WiTZV8/v0ekQJ4kHhYBgDCQ9Jk3U5MfQfZtGvYE3FNOFPnXDV7gw
W9oVeyXm+4XnMajpxgzrnWlclO5HTdzhwWcXrq6D9xDhLPiGidyEfCBDEI2r/ZEhvUpqpJUg3aV9
tOIW35RgJpjlG4ZZgJynfWZD7bDHDkV4vLOMvbBj5nmyJVioS69H5oYeTIJ8eKOof2xacQviLtxE
geOuLJOdUOOghM6/temN7fYt7voET3dMah6e0TTExTuxuFJniUSdduFomvVOTFTAmgRjYadrOyPJ
EAhgU5Y3TQcEpAqgFpAuwvDunEqCMksqJsPE28LYYZ1X+kVg2edrAgJDsCOKB6ypO90ku0lP7FrR
49mYnpIGy2R7bm3zmuHvt8SxOZb4W4dpYuMrFeHn02NhzDuVMaeh5F3F+NVXoe0gku35rUEYnYMM
sX/lNYwpXESMZEjG49UPt80/Kasobrh2/v74+v2mYEoqGH07i3/jl2sr6QW40QJVxThnjyC9i7XW
zXnsSXRadBcKAGbq2FDvIU2UN1Y27i2pT23mdptJmMwdGgbBvu/BV0oPiQGOskNlGicseXzzbPbF
Dg/AvQlFcRXHhF2Z0anKTzhB93WZn+S0k1DEczQsAIBvrTSkJyH9XXrXLV9hOS3TSOvOSl4MPubF
vh7V2S5AQcyiaV0v+bKDuSni5tL1nI0aiyWJ9VDO4lxb9a7nqTQBxydT+orY3ZWHkjAL2wfa2jWX
JMq0Cy2/2hYZK3N3UdlIMguKS4P+Gg7USFfEVZlMOQICskaAlVao7kgKsDL3LWMUl6aC3RUK+w7T
wjrp5st5ZKPr+q8kTe6KvFtl/EK2wmwZDTldcFw8KRVcx/mDquurmhi4Rg4P+fiVFDsQvorRckxK
9kvlm9g8wvSZRn0blqRFxVwig6135EgcKrN+FyN/Y59NN8GEQpU9pLXxyI08VcOSoT1//ePLRP38
nP39KjEdOkuXNGAS0pdklh+KnLmAWUfd7W/tIvkeGN2Tz8fn1/Iro6n13NcX0qnvKj+5nrv+Jmhq
HJrjdQTdVyYNEWiVc5kglNrETXmsZ+8GPTxnV3vXuIyvwpbg6bD/KK38T65uyqNfrm6bk5tSkAOc
B4wU7i/lfEMWX9nL2IcSUiNzU+aFn/AHW8V6JA54VacYctLQ3beciwSDsYLlkKoQsjJ6Gcsc1BUT
BbgMmCwrth6l43DNouQg3eDgdLFaKTslH7eHY9bvoa2co7i7Lw35OJuYPagFA2u8z/QSFey2G8Tu
oEQiJua1jaNldLHTIf7/QM9LBnTbGpckIrZLOjFx1OVwF/b9eQDsVNo+GiM7vwoBH+5s2/taObNc
mUn/YMv0picyYNVZ5UduEGYM/e8Bp/yHFy7s+Mj+sI30viGuN4OeUwMs3lnyg3y4fUhsmpfzFwTV
sWZAObveug2tL0PGmt3F2OHUb0OIFZydTJEN24ZJs4CF1ofrKLEYiwIgjsKD9sdtZrVXwojOTcvT
A+3EJna9gyEhnoEUforr9rESinNcP89J9RhEI+bxfN70HUR3A98GwOsqEAfiJu9xCh5EMAOug0Yg
yvuU/PZOmRtbcb/HFqwH9wxo4lhg4x7AA7FSus8kQbRdZm864W09Cd43IKE5FDu++kshyezpB54y
0VM6kojnICl2SNibrkRx2frztlng1F4KkShayeY5nu+XkKcESHTYnSDSkb/hP9V8hHtmCaCZfbkj
X37vJvM2HLBW0699UH+uAWKcO6GBYMYvVTa3K6+Jc8wEqQBpoFk22E6Loca5ZcCGdYIQpbwe4BqU
/TmCvVClul8ZipFgdvQN70mDGvCN4p1EIug4c86cwL9k+M9P9MW5rZKDIog6Lsr7bADcHsQnTXYt
+enMUmdrYs9BmqXRbryCaWg8bEC+gQhKnoEYHBiaHpiME2sEYZ/tI0HQYf4cNNblWJtf0havumU/
W3P1MGZdu+WqPla+8zEr84RVF4oGEfOrVAYn3MzgB9FnkAmBudjS82US8NSC559VlBdOLV41w9at
Guq7wpxeE1IWIUW2zyIFZgaFu2BAOp1r3T72s3vRo/lYmSD/mJOAQ/tiOxB6WjmuVRg/yMZ+7lR3
EmghQaN7jERxOKSQf4ZxMwpxzuyA0FL/S0ZysVszkdLeHW3wVZC8zBU4Lry2nh9eN310a5JdPXG1
67j8mCOFiW9C9Qj6czKfVMWitZ2PtazufOOtT9wPbxZfxwCFmBp3svO+xVrBznL6dWBZd773PXN4
ZHhbbWBnuy4lDtebvLuL++hcGwu0AOy8edezZGlj9zEjlAB1/JoZ+Dq3zRVmAVwx35No2ucDmRrN
s+M9wCRgeKtRQn14UbiR6qUL7iEe7SFxIn65NTISqpvhrugUl4txFYu7UUUlVvpL4TOFRRPDlPwQ
2fpYOztLZ1sk11gSoPvaNyAKPHBwmWM+tx1N+MR9nahnnFEZgRxOSnor5DrOyqfKXwJjImsTgEEl
Jj3rPkCNrLPSewNHmu68vnkzSvsQ1cEhiSQy5Rg+l8eAJCm8zVRhBLS8YaOIAWq9AmlemMAX6z2A
nEH2BY4Xg0A16XejRkTvGu6mMB13NxTzyarzB+DJ4G5j+eAlxguzvKcimR/mMcYl1uKRKOtobSK8
OgYteHLacIxrdt5tIG19g7+2d2fn0EK0tbOoXguXcioAGkyIL9pogaJIaDAuw2sLxbkDM2aT8bsG
2Ya22nljNHzhDeF3tG0PXl6Ck4zVISb9E+ccpYnnZ8nWd1j+KcPfxH37kJoQ1CTQsFlfQgL6SES6
jiVMHfsCLBf7s/oqGUpOX30Fj/l6QjvtmpXCw2AGu1pPoJwHC49j5UWb1iJZotFeSzY9aID/Hc6+
Sp2OMq20vHOiUGVRgT1EInuuZ2bsGbAIrgaydkN5wWcTEcCKxFiVZJFBBF9Qu12HXdHlRRCw/2c1
rf8F48RMT9Hd/evWEq3ua/2jf/r3H/i9UXTd30xy5+gRlWBI6GrqpL/KT8zfGBk6yrbpXulff0gR
U85vlMkYABZZCNZmj/bu7/ITfsJ2KazAYzhMkf6dRtG1fy13FPWZCdybnpPRpbB4pz+WaVVvpw1Z
P+a+9KV+iAM9b7opzC9GB/ZwzyJ231fZS5hkI9hC132JEHWQy2513Jz8o/e5J+2rsNDJEwmeEVk1
s30lPdT1x3FueVyQ1k6pEtW2/aTmAfIPlkn7knNiUUe0gFcTb7L3AejiJ2zexceMGOspJKOeebbJ
0Mp2jPGMjjvl2ShQclVFssNxpy7Guld3XTNUJ93kxQUiD2aUAHaPQT8BJZDk9YJwmZU+legcT3Hq
mQ3bFZ1jJPFncWRkZZxEzAutLY3RCTYjMpPQyvxH9jTVPrMM62R7Rf+1ikqgYLHhJix9nSn64o+u
ePQtrKzA43iKxmYBG5m0Bw4Omkb17i2DHixLWXFRN2Ows3qbQlfFtV7FTRddiix29Bq9P7rXwmHm
HtpmfWuUReIhhI2mW4952o61Yn6Vu5ptlwAUmLAetzJgKQhPPiATGnc+KWRslyN/YP1gLX4/A+jT
qjGm6jocE6LNKmymON4cDbkpCEHmN/M0cWqR495NgJHZzrPxw6WLbBWJ3aVpNdYxlhJkV0ae4i4D
1nVQnUWfO5ofIb5sFvYhUFlSonR9iI2EvVqBnZSYp1bw7Yadh/didoFvNeBHQKXlznZqRblrHOnc
E5/k0GTRjkxtim4hbtgkd/Qs38pEDi+y7e0LdvDBiQV4cQvuXz2SAsoxaCWxBeUCdfHOKmmotyO0
ZZ4YGoLTGluadQGniP4qGT0YKnm5JSGOXa9V0LcjPHIudR4PF1bLQGC2SkQtsTFspU1sDJzQ9CHL
LRboQlNKFhyVt9FskIPhslVQKxotqEikwdyUtoAs5yRue2XVLkGRFdhq0tbVRD9LBkDXzCpjnsFH
6tY2UD9pePBfAmTmq8Trx0ufsL5MzP5Xr86TCyPR+sXBHnBiyZseAlUrPqaCTrbu+KBWlpMTeVT2
qDTWOcoq8rI89r4QFyF+s9oe6KPdZjaPDcoGaDB2o7bR1Nd3RgH02Z3irRgiY2OV1deS6CKC+YoM
g2NvfKk0wxjE8BdiXIY6nV9srEnftAlwUjRzO2KPMXfX+slHYo0yG9dB4TDXmZ3wUgt3AMhWfSNX
p7rO7Pq+wvjqRY2/9s1km3pduypRh7WzHqjooB9aBLLL2O6Rttpwbe0uu/GtjKuevc1o7walknxT
ZfjZIj1Oi4Nh3o9icrBQxUBzartaD8KkzdZZSNTF3GaXgAPtLbdh/4iaIr/C9EWHhOl9n+L/624x
D9D/BGaKu3QWBg7rwBjdrx2IeQhqbmvA32yD8BuwUgE9wcUtvS3E3HrEk49huDc7PhzwtKkxoqgb
+CP5IUusCjNoCQUxh84g0KSlkx1cJ3lH3dPtsNYYO9eOLS6LdtzLzNJ70WuBHquSR1lDJu4HEmCy
YHF+BoS2Pzp8tFQPqJeH0mKDjXC4Ztg2AHsTKaDGPG673cS29wr8mLh3cfN8dWVF/aeiuj9lSpHw
4PjJ2Veuv8OFEH2UANFbaKwW1vK5FdNuAFO0JcJwGMlAcrjhzb57KSFQwjjA27bq5yQ6TH5UYYum
I2A646grNGMIkRMvOpA7UT9rVdP11hNccB87XIbIbpvqvL8nSLXG39QlaP3YrVGSgo1tOrZ6fP7N
OY5F12M+0N1bAPQUcpF3mAPrBBBoumxFkj7XKmhAXo2Hbk6Me7aeS+vkJncTyvUbuxHzjTKwVLt5
bp5J4C2j9kiVNZEKST4kaZX9I5rIftcQO6aYdTnVEd6tcS2aXJQnk6vpZijr9JJ9cNwzbvHkhUbu
7Hte++IYSfKlirriio85uc2SWX9tAb0TI18L2BsVMPWbIIRUHvYTsxQVzA3WWdKmBkJ61o3lKvIz
ZprSwe+irfa6UzrNeh3OvVVRr86n2ujdCEgQX908JOkunTMaxblV9ZqUngR38AgqoBzbmyzUyCXT
bAb3mc7lms4xfq+SsDvKvuNLygwruie0m6tseW0nisxzm0dqR5ridFCytL/JgeEoXT9HHyTbiSI3
ZZoE56wdeZDmxiVch2Khl6f7fuBxX9bVTsbS3kEIZm7gNdhHWmwpe9d1k6M3T8He1yEIEt9Pn4y8
mx9b7arLmdF2spJOpS5KDYNunYemPAbCfCcVKNkIOSRvVuhWyXYGz45ftU8BCVB65BuvqrE+l258
pdxmQgHB2UpqxqvZEIxBWlB8Hes6uCG02IRQPfsBaLfBS74OnKfxOgmFaWynIC9uHUxJLM+qaH4o
FMUbuoqsuxBNbX9pqqR/HGP5XnekMe0jvzEA7UFWdbwm+O505DzniLrz1aTAQU6N1riBcZ1AKjLV
l7h2hgeHo+bVH52IQxfvn7NyE4EEzomt8tGZ4vR7aqJc6EzED1kYMbzAFfkSxkrZhxol/E2L9AGk
kbcbA+aUbgE/ei6t/tnzg7clnoNbyz1VxJBsM0VeQ28Eh7yS92Lme57iYriYKv8aRVm1EjHRKW4H
8iKHPKXuk5qb5NAh5T+N2FPue/h3K6Pp1D7OvZYA1JiiA7hi81bG2TX6Gb6oSdVHVRrWviLwVK3Q
s8WbNIrTTW6p4Tbwuaa7SfBoxUK7K3mmPCLaS3eSXJO1ix/qnDp6fEzK2djYiWfh+mNGXzYpuObC
Mh7IFtmOeopojpR7OzQWcBaiL1AeRPGTxF1w7OusA6qQl+85M15Q9k2OzLDPDyPgj2fbZCDJZLB4
7xv6ZOh4wzK1tKd7hF/VgYhbChPVHHQgwktMIsQQ9mH11cub+TRiS/hwIKuuS9+6KVUdnbJlTJ+j
kH2bcuQpoJFd5a/HvmFwMPVGdEozFr1Uksn44ftALWZYqtFmzAz7erJBVDTw6+jjaoV3pHFPAdOQ
/ZAN0dmGNLGTge/tnFYCbI+d8gpVJIrZCH+09DUjlGZ8z+y5OUdldd25ZnuQomw2kwRg4rZ00iQO
JZcQ7EGmdMMlRWe0ib1c36RwQA5+ybFegIeB1p3shROxGwnfEHO9l9K7IWiDRrpomQ3rIHLuirIk
DaMqhdyFlXHiTMw6og3IbMsqztVVMY15tBZDR9tnedV8cux22JF7aty5YjLFy1ACB7no/YYoTrv0
+O6LVH9QZBXd3iLM4wsPqWo/DoB3HWsIqos5q6j9ajfx3kHCSwmhjadRo/vhnhAABzNqN1+Jxrhi
TGHdUUxOOIMB+JmiIdygjjyquSUkw0Xfg9w7kI2/wvlqPqSJDA5Z00KIW3xUQxufTKu0rzkRWkwj
QXaJiaWvVxlO8eeSn7hUGUb2NXXmfF237pQwP6ycF9wt3X1Rq/qS+5UNtzTaaVdXU3+bGBgnAe1D
PdeGhEJX2jlWfZ8KF101uRoQw/P0fpa2Ig+HhM0XyN2seZpkFnjZSFA0CyqUJKlwtFGsZmyoArug
qcYEuW6yhvlZY+HBXSdVHczbYBbonxO/DJ9wRaN5K8sW64/Q+BEdSgzdgWhP0uy6h+eQbtomu1K9
7dy6gdAmBZgJ4TomfuHdnSL5FpSdS6pc4rxA7+6OqIoB08KWJlcoC0Jm037Oqp3IL9f0kBeNqDsL
zKSEZg7uQzPVYYuru56YHTtQztvC3enK2nsE3G1Ad4MjxS4n11Ps13tOrVewcYwhVVcQsaXDferi
Mhijdh+q4Ixe+KNiSX/w88I4jrHPUArypyiZ6VrRNf4Fb9XbZbZJkePei6E2wMzWhHBZqb9JhG+u
U53sjaXFcBy0ZLqb10OxywtqQ/6SC3KZPwTqRdZ1xkHZI2nQCQU3LXKyikiNZjAZPnn1QPhJGDy0
4TytZBo8GpQdmIYWVknc3tCd50S8uVdIDqpNRlwSe7VxRzPyhvKOrUK8ySPLXc9exLNBBF/bQp0C
QWuGEElt2s6B5zRUE9OosD06CVO/bJA9001/3vhRZpIBSbxQAmFxE/Xkcdoe4vchrXdZqjYiHV/R
fBL8Eh5anAMb1OY3M6zO82BmxRaIy0yKMZa30vQ96KeeXA3DVKO99Vg1xHkT3Pklojbtg88Mqr7b
VqLrgAlHNgPgkhTmmZBcilJj6vejtIij8y3JRjdNJhOHfAdpxknb+tKG0Q+uJuXzdWsSO5PRQCNo
6v6gDcf/0knVPTNsxiQWhikNS9yS8QFXxik3s+r721TEWbi1g9L7kupsfG3NwD819jxYh9ovVxQ0
FrCqknjT1mBRs5YzDQ7pXDK6s8tgZKhlmvOhHMW44sEhnoK8Se9bEZSYT2p243sjSZsL0HItNajb
1Bx5ffmkdXtvIrLdi9Z9aNvEOnHAII2MSvcwptUrOcgmo+JFdA7RyrMaxltS9N/V1IWK6lS410Fn
4vKYwQNxy5XpywTmZWEogiUqar//yp0Vsf0ukZ5nWcg+ebT348Sj2kIXelShFxDRo8ZD6zIlWLmh
9LaRqkuWOJz5nEJi+BJYSfpSpF60j+wW8E3mNM6jS+Gioatm6UjAJbFL/1kjs59sXf/tzF9SIPFA
S/FHE7ir1zwqu59mcH//sb/awPSivcBp7Go44D/O4cAYLhIdz7KtxQTmLoDDvwk2rN9sjxEdKg/5
OaRjOva3OZz5G64w1oQCgZXtmTjE/u9//MQLbH7577/kXXYuorxtMJH9Az9Q2BYvg0wRyRBae/cX
uZBFOA5a88Q7YOfIDhM4jXUA8RMom7kq20AxygCgm0D03+ue9MIgnMdHnprGPT6pJbWuujIqmLqB
n40nB0zRXdNrAm+zipRWydpk0NGBbbfYWaiZwd7U/heNUPCqTQjXq0mQ1x17Q2QIdwZARcjYY/gG
xXxeWX2cI5ROz7FL5BomUgLcsfAToa6rThOLjYZ/U+LUfPCmiTGQT4c8D1N5Vcea2AMMsGKdhVid
ZuGjUS8T54AkXVsHHPjjPYbn8Dkqy+9k++UO4kSzIj8gir+S1vk2eEocIq1Zf+P/wfKQnAZ0cxsU
rs0m19jVMUVvdLfQBqyBh7DhEyEYpNWVl1iHqUNazmqSpU4EPQQTmlz3FRhRninPAPFszjy2vayE
eDo3DBJXg2UyzqkXLo4HwkN0TNlVJhHhE/2zGtqsvBND/D5YjSZbyvfXZjiBnZGC4FW3EV8zOWb8
Kj/v96QBEwfk6eC+H8Y1ljvjvu/YkvSpjbdqsPx8Q/8kbq2B2BNquiFM13MuewqOevmdahDIBhI4
LpTcGMzwvrbTra9GOPiVzlqY7wQRd0Zqq0NahoHBljxNT+WYtvHOnxWjSj02iQ+/wEdzHrqGd+ox
mjzRffr1sansJtzjAO4vqtYiGDb05oq0cGui72BB3vuot8uU5ogi6RtEk/FLniOSW7le44B+dKoK
YXpGWst2IiXx3DpJYq+yShMThKsSfcQwzB7HJ+kZz21j11dz2+pyK0GxROuAevkmJGRKblo82jDw
8P4A6GlZiOX9jaXNRuLOYKcIL7cxAO9oJ3W2g5aMO71aDsMdrZofHpxp7KoLrjAzACcbMLVs6Eyv
DWPIP4oyyk4O+HKeUFNZl/verjCNkFHsXLSfCJ5B1gv7aPBumz440uaBx7cGogYtKJGiJaDKNcXK
dJCDa/PaFfo5bZwzQcqCFkqodRPVh7DV4cqqxVVazmDvzeKOXIg3v9T3HZlxk9TTdeSZBytLrrKh
qy7jwN+YCfJaVMJZX67ILUzQEcxrRIl8ZWqwNi3Zq3TUiXmOJtP4zuW8KVxi1XpxJijFIMrYvRUC
THfBTCfjiNp5GZR43uqHOd9icwI9yM9IWT5nlEa3jRDHknC9zVDDioe2pteqie1NkRjvmsCUe680
/BW0/rNLfl8zTRjcCfHiYnARuFuIHkhIecjMPtwniUN7liJ8rxbgpm1jI/QmAnhkVjTracYLlYDL
f9Wap23l7Me8CLezSdfSlw59LsGPq6og6lPH5PfEHpRK8lSKK4Ft7qs3BfcqzbAHuKrbD35acsug
pqGy3SCkZUfY+c63Wc8Nap9pK92xuVTQnwHVEHydp/6RMOR7jr6rIGaYYVaTwgXq4uGzCEdI052e
lL2vvHqfofrcU4O8p07QrLA3fg8SH6UadVw/a7TTDbi8uZffh9ZN3ro5+Pjh6fRPNFTqUyP1dw2V
qxEZS+zIuODZTVLk/KKhwkfTG31E5IwRlGIVZuhCvDnNyR8ZS+smxLeP63BGoUEHhDJMFGP0HMQF
iZYjnh80VFCqOSdbm7vOLnzvHKuyQxc2UulzXUauyTgU/DxikWT6UtS5/NZPPvezRD/g48pdBvnM
m6DlTUWH5G4sa6KbJcrdPb2NUbPJtjgscsJIAOb0/c76PE1AnC1LkM9Thh09aYnZiOCDdb6joKER
7BTWNZUXogaGoWES37XYUhwi2tDa1hWErHqwF9cpEAbFMAZCWUfQSbMbPLYNXRTxbcY9UaThcLKg
4EJ+DIlMjuMtDpRxnSgP7H4W4O7KPXvVd+bdnEn0Lxxnl3buM+aoFJMmMEtrWZAjQXAUqPRcXZid
036XAD4ecVMW28oMU67VpiJDrUlkh3GpL9BB2jMb9cbHkLmxRYwW0NNkbq51KePkPprQXp0oJLM1
4G9rhW1XbUfPZlFcsbL3vACiWOURi+bbmvFWdh0VdXyaAqnPaAHnEdVVkL9wKDRAMxjhW8VQbJxi
RpSZ2VV809PqvQfs1ciFiG9rQp8vbBHlmwIyk7xCvp4ANYwcBnXIo+N1Sl5PdEkmOIprqvub3M2M
vdOHGjpLb+wltIazbwBPKBgffMMZxN06RlX3dWKtsYaIp5jDL4QNloCbQso3TboRWUd4iBucnRCK
M+Y/JKQQDKH2aYbnWGI+5mm3ZGThR3YXZ7I91tV2CHGTNAgcFvcyrpJLfDjPYTCPlOcYnBens148
z0XgTVt2ysuiWT6wZsA23I2H+tMrjWmaieh7wBBxZ2OnrswYG0WOxbpE0mNiuQ5R56SkvpBI/MR8
cONizYZI/oY0D/gwW5qehAKcO9aOpOT3LBzldVKZ3wsdeFdJh+dbOri/3cUHXmAIt9ymuQhd2TNw
TcJ3XH7DRW+7zW0GX+jYLK7yePGXZ4vTHGflN4pFshMwofc69XboKew1cgWXbGi86njGX7B5BPts
QrOK7fWKeT2D2MXjnoPr37DOLXbm4oCvuiZf9VaNK37xx+fAKD2+7GRxzrdY6KkSdkXZtFdzyXRi
Yme3dzQ7lWxU97DOxqtUyuioMpVfohIkk6ZZvPqjI2+Txb9PFOHWXBz9BmFl62AQrC/9xfHPppks
bmWkGkp7ChGgk+UH6AyXlDESHejHi00GBXllMpsEt2MFGzoZohuHMeYJ24HoGT9pPfY4qSfnk+HD
gE88R1bUQqPTAkQYmYIf4Sf9h2EbBJgOPcPKUmNT7o0aDuUWoHB2wpmTf9TL0zr5fHCXnw9xzMA8
0E0HUuPB/XzQ958P/fmzACBKkWJg/CwM9GeRYC/1QrhUDv/TbeVt1E5/oqqXpuXi7fjXYofDaz29
5hhevn/+uuP7//lff/2ZvwrjkS5g3xGOgyrF/rHPcmDC27RMS3eDskEvHpu/9lmm+M1F6GDThjkO
lpWlBftbn+X8ZpvYNRDGo3VY/s8vbdUftVkI339Rd2L+8EzpIc5nTYkO/xe5QyIV5vkkzDnuDffG
Ec5AsPCcZ7t8juPngG7+xXLL9JiTnYv0CSnTisxacyuSqj8gOPCOMRfbvQf6fAk0j70voPbMZzXk
zjXVj36MLL+5GnjsH6fMjN+KyDDJowvGY86/Bzujtl67eIqndSVb/Z6MMwHETdW113Yq1ANcCeYS
ES542EolizjXTh9UKoeN6wkFKN2U56YyE4b2ZBO3of3/2DuT3cqVtLu+yj/yjBfsGYRnp2/VpfoJ
ISmVDPZtMEg+vRfzll11C3/BroENG/CkgIvKIx2dJuJr9l6bSrEWhDDXUfqM+787tVgZn5nIpVd8
jbuE1TsaqXBY0wkyyBg4zdK0N4GNLkDYTMAzT1ngVLmI6DC9horUr2Ji35xyn3TEs7tjlm+cBnC6
I8biB+DdYEXz1N8onFQbUiU2QnoLycs3L2xT6qsjpXEac0joHqv1G9cewNTRHvwYqKlBjTEgTZFc
3TS22+Fh7Kxt0DXDQ14ybRt6egZ2kwq9n3cTqTaHwjFihRxV+Ga1roP4sxyYotokl9hNdpvnTnvw
ljlt39bTKlf9/BEWbr5i/0CBjI9sY0uu8X4O8m3U9myTXdN+ijKkr2Vfe5uyJ9NyPRaZfjP7MX7u
h1i/TjLqHsMIGLlFuRkgpp9rSqnGwn46meQhHn1TFd0ucaT5VoQeN6TLWBvBwByM7+nUaBdUvpvc
lWKILqgzx3OIaX7b1hrsgTvPItlUcLs22OknwNeGY4i1QTpstVpkmxcxqOKXBRT4EA2UkCuzIgwc
zG6J2tc12Ht7zY984n1xm8Kk3COMbUzL+1liXiYY0rlmhKRtChrbF9pcMBMiVC8BeLZnFgzxpmuM
B9tP63M6aPsX2c0ebUQKzC5VDcGwKQCyewrrn1KKdwJKomvdzuSikSp/tmFZbpQm2BdZIiXD4l9n
OhkEtXcdqNYfZCUsEom76URqU3CL6G9fGRle7JIhhA7i4TJQoX20nSJkxXb1IU6EvLQTmlmPaDs7
HiN4zx1+Bgdoyb0ORXWreyDZk++PJxz/3pt0Wh/J4zwYrwH3znNc59mxzLR+L3B9fegI4oJkn4Xq
Toizdppuk6AnzHzvPhnRZzrDWKxDlQ8feNqbZ28kWbitlPNWDzUwbDU4Ewi6KLBgtSTO1QXKLbkG
m/oGtStVJ/kP8dmRFVFSQYvBYUxY+Yi6fomYMRF+U5jqYDfQM9ZmUWe7FGllNJhTytLXtR5io7Bi
WCkF/BPHY8wI/YLnC7abiELb0s8oD4MT28tpw26rukZBj+SmT+3bZBbdtS4V3FUJCaEbghb9I3vJ
hCqi9q+ZjElKi3JWNjAtrG+6OQLXfa+52hYe2I3GCWOtPUY524HAbLTEXYcMRPumfkpaWTZ7i0iP
nPpGwQ8PJyvcFFPKPCByUkzLzjLNVuXgLexUta1yx9wpoCKUp0FveowzSiHWZSrrbe8EQ0LUmiFu
emEho205it8C1waKHtFusUvxFlv+NBNeQLGDlII8Nl/w7SRK5kKIafWKDTQuWEssYbDGUP7sWI6P
7Dpi+x1/x+ityrqTb2MlHHfFgYjkMSiBzZG6YKvgbSpdBL0SzNiTZbLAwUqtX1GUz+Upocb0VxAt
JuBd8Mn3OFMcRJysAz7jCsQnwrY6eFUowcQ2zEV7Zy4bGKealkNbRxMHI2IG+rO+HHfKJqNnjwVi
WVbYofHmyzEHjloRW7marA7UhI9FhzFWYtft2iFr/EaDvpfbceydcRvbFlFq3YL4208oHxgz2V71
I/EHuigtZhZJjMO7TxMTBDYr5fuSPEvP7n/U0jSYb8wFzP+6b7cBpdVEJ1RMP8ghYK4PJkG9IbL1
vTUkHdKotGIISNMzSYpuwweq3nkLhC63INwy5qQoZxl3olf2j5bVozfqSHH71Rp++UKmarev2Nvn
JEWwEFxlY5M/JFkQvSjSQK556P5qJqP98JLwwSURm3kfSXnsZfLK3ymzCE/KU+P7hOkKvJIa/HdX
mZ1YLwqGo+nHELiTIEcJaA3BQ5SJGdF+tpR7kwuAHzx7q3dhGvIHtIHs91ke9iRpsFLVLJWK9AkN
2Xjuoil+NsFXNegomBGyGzA1++RW0/txqzihHvs1Fm1zK6X2rkY2AH/Es0pH0xfKOxoGCBJaZ1+8
1uzgH4lKZuZYBDbh1CjPx3UlXdogxDvDPgJl9KRY9FyzwsNDjZUpJQoBosorNTLPOcDke/Ldzi1B
/MDDXHXILE5Vnjcv6IQKOLKkKNbrKCBNbu2EDmO/Fvf+JSt54wwnJwLTMDueoDfE+c/GGPIFbZ3O
N6Ux8I3pIyt/SctcnTlDrQ/T6qcXlJHimDMaRZEWzClnL1rnteZHI4eqRvUW8njGXSyfIJ+Heh94
nvHW5NxQ9oSosSh7Lj2i9/ZRUobPNHDGE2TD/N51YGhs9Eggo+yd4urkAHFXFSyEbw7d/jaNXHZk
LHz752Fwp34zJ071bmRVfQQDiHymcWrnh5dIwfCizozPki4RJKMPUHk1YiphKBXhOdwhH8s/ElnP
dAvDkLZbCEYMX1Na6WbPEMB87YuWRW9plt+BdEXxYmmS0/Ht6eAhdVIZ7wLNergdcGit+qzK7kJp
wQnqCVoDCxp7+ox7wVmJNJX3upeshjuhAeQApiCPMv/kvWK3NI+iftZdzy0w9NzvsH4fslYa9Spz
qkVI38BiXGU1ehQjyFgM241hPtfpktgOcIhEEjn7pJFFjA8PfdKG6kIyDnvYTPlxv4mk19+aiC/5
eAZ2l6ztTJLjsjDhi3AcEPLnvKrAtOpn1Y3+fa+TEOpUwvueQsW+A8wwX+fR5EQ1hds9KCuvH7SI
oDr3pmnvfBpxvvEQ948J4WCXlPlKs3a54fhkeBMz+FRZO6uyVL12howok9kkpBszNhDGtE1vfXaL
2HdEaX+Q0F09Gw3JOysLTdaN3468ImGeNdi7R16h2q2TgzXG4iNLcueLfQ5PKyaF9Dm0RvwqnZzI
P3aD+ItdHPnPuQqfEzOBIjU3iNaNniZwdtJrPnnRuDG8fN7jX/UO3LR1xobOQjBXpCgC9/j2wksU
juI8ur0TrpG09ekmAX36rgEIQSmCQvIrr8PiO1KpcwLoGH+iuJqmddzN4QXVz41kqnuc5pxr/v83
jf9LTSP2dnTl/7ppPH0UhfqP//JR1P/1P84fncQ78ZcG8s/H/62B9P8IFlYjFYHlup7zD85qBPNL
Rp4IFn/eX5zVjveH5YSeJVgUBpAUF8jj3xpIZ0kpg0uAGZb9n++7/xav0fX/6qw2OKv4oDLm+acF
XWmr2FIIfPdFxIlFcLhGbm1io5MqGW5ql/nJNowYsq0sgwTBlercbMtt32B4GqIj8KBmN8nAu/FL
tmLmRMhPLhl95ZwmW6OPKHZqI2ZApDxr2ESdSSUQoVgniWQ6FmxIVzlfoxeydLt90HOBdY0pD5xE
za2l7OwlZq1DY1Wx0bZ0v9bgr89hHIbHckZ97KBS2halbE9FMrgr2wqTD5iQKI9BRiWbKK3htXUV
xb1I3XqfkUi+GyaGaZjmqGl17MC/b8reWeGFF5dZkQqypnDtv+OAMPe1Zwz2Y18a1UM/Ncl0bpoB
eGOLYLBeVlaRqKL9JN2fbjoz8xL4t/9cu1WZnel1ZNfuvpJ+BNUvG7gsXfvcpEO9Ibd3fuOSTvEa
987BijLvlAVyelQZQ4hzh3+FXMUcrfiWhsxczqeCaHsYhytpk+1QGTo6e+ztP136BTiRtYGJCMVY
2jcoiTuz/Yatnr0E3lS/sG9VB9Ot7ddAZoRhmB4+CPQeXPeLqHldc4p/KahdDJORCu1lwMoIpBJy
Fm0MFDx2mhiPhlEE45V5VcTjAHf/mqwZxhl9PobM3GjPPhqID6PGELmy3SFcYyDFLmeyVIrmlJ+S
1Djq0Re2/Zby3DiUs2NvuUuszZyzn5HLvwTEgewpTpT94Nv0ig1bxG5jt079jK1hzFjTwft66hwt
iDgfbEpwcC/g0nOz4O5yGbndFn7gHMOikXceg8S1VbeR5O2uNFg/o62odZWc7oCjj6uupTVz+ZH2
XctT/FD4QqytZzBHKKcGn3ZgQDQuYeGyegwof0t+y1G6xrQrpBX9mmqf59TRKdN6WMRIry0+KhI4
QWM/BH4XfeAgyDDoRwb/M1r2FvYjOh0ZTqG/cxqrvERJ3xFSV7X3FfbIdjWHNRHnaqbOtWkrHhI3
j38xvsBTGVX1drIJOUD9b5XQxNq2V6taz2TWhSJX5OkKw/wZecb0MRMj++Twa70NwGHnlxlSc6Pu
8qBMQhDqwHw7wjT4/nSE0dSkbAzXYiiFgy3ShYMgcruqNuPgudCyCkB3thEI904mCFU27kBoMKsn
MMIkqikIbnQTONuTINMr+AiElfZeV9rb1GoE4aejMr/11FSMbSFsU5DOoAWauAyWOjDyThZm0g7F
Uxg+5OP4ZaMuh1hdeV/sFvIDQK3+YYy9+jIqkjRn8gTueFFCtPeiHp9HIyXqzwF8gmQ/O9ZT1O9b
W5FMm/uQ6oIstH/kdVfwt87Shn+pB94nctL6M1URewpvapNhNfmhwgbXzuoQSiP+EbJ32thDHX63
dmVlpNIZ3PpBIj+TOdWfcUS2vd9E081cx/ouIavg1E9ecQdnklIG6/2iaLQm991oJ2dc9YFT4E1D
QHeBN2jSs1bxOz+EtGiJW7ODi7nWbvhOiVxv87L2L/NAWrZQrcdwS+QXgtm9d+HG7ClLFWPW6NIG
O+ii0K5hgK+pLLNhbWUWzdxA5OWR5q860eLX+QZIOO9aH9jRJU2D8TD5idjKtsD3h2w5unidRZZN
a5iIBtAyd/XSbJsf2BvCJ99RINm6LnwA13s/lcDl4nEEXOSKcucZYmJu7an6EXRAeC7qfFzHrpt8
VbZ0aYzmaWsOytyjWM+PA6neW69LyN+ZKyy7ieFtck9qVoENAVWazJ5qOdPLiTadmbtx8uPRfcvJ
EZrwqrnt3tOURtmUJzcG5961gEZ0G3awHyXhAxuzarsHj3P+romHCEdxJcb1oLJmz1LRvfOVm+Gb
NeS3hUIX3WySDVsl7PA8E3h9IA0iOajS0/vSjeF6hJI6Tdtltc7HjhC+WhfpErGpSQBz9PwZGwTv
pVmRPBSGTI/0X/fhTFrvhtOSOR0tnf3GvR2eYfhhX/ZQINzPJqU1nhY4nk1oFifRd1NJ4Gw/Pqdj
JX+lhEU+UN5Fj3bNeJJvhw4/wSqQTta17g12+/ZDF4X/ohLI+RTJYs3EtTigLmOaF5aWgQocGjPb
UR3cF6MTXPJ29jf4MfVlaA2XqSNR0dhPrOgEN2zRrpBYGNpJgkkcww0GkpjxqdX3u8BI8wcvYGeW
wGi2INDJ9hvrXiJv7GCYPwyGCx19yIza3cwqb02fOl4QjsfreIro7infL/ilhje7i9Od6RL3R+Pg
7WHjV8sZL2QNsgVUJCa+8tRkTn0zCx8p2hw29je4DJIQBMcvfX0FwlYAum+U6L6iGUu2NZf2btCN
cZrFrL4LZIO7yuoGtkhcQ2RBefDzglic4ibOPuwkBDtLUFl8G6O3Z/ySt8mu8UDqxa3vHJVyXW6D
OlDnQFvWeShMvQkNU6FmTJP95FacdAaPOSZWnF2qJhpRDUl/389meup80fBq9s1TpMt2XXCdrONy
ig7ZWHUPmm3Yjtl18Nil4XAHB9M5zMXEfU2JehYItKVplVidDJdiABMdinw/uITcq5//Z8v4/wst
rGxbHEAW/7pCPyTFx5f8yP/jrv34+d3Jv5Tnfz74b+V5+IdpCpynGCtIYnL/jlMPPDY/LHwYqRDO
9Cdo/b/vd6AleZ7lmIEf4KVi0/P38tz8g5J98bPSUAa//69/Y8ED9/SfFjyo9SywHZ6Lc5begWr/
L35WO8A+gz9HkNeDxCoJOlzkXQi+tsYU+UXPSJFsyvBZN57Y+4YuVgXnyibQKVELfmP/ZNBWHhgL
gbbFfaqKsNgjt0rf8zYLyPP1a7QSfdZ8NXgaMRI0rPL1FN8YKOkfBFfirlLlby5t3/4MS4rAUXbB
Aw6MRG/Ro7pfUV4VLlttX+4Go9hNobomqUsEnBlajNb9/kiY2BGBN6mwVgkdpw5vTYUZog5j9erH
TfgzM3zlMOOeon1rRGrnlBb81TzNx59x4kbvyovUae5SmwCFsd/PXSUPnhuCDLdN9A5jozaxnV+R
f4lbLKSaciklJoUv2KaZwDToxmVgSbNzp9mLb0O0gNaqcPxpH+Ul8YNzlNSwF6rqO2kS/9qbhnNq
MJfPnRni8u3EnRM0HK+2xw7aRp/CtCWpunqFMLkNtpHsGP1MRbrEwU6o4yo7e+2woZxYMfWnMrO/
2qgYrlGWJJdE+ixaKG+pTmp5dKYuWBsoc71VnAXJpwTq/mJHMZaapHMvseiiT8Q1pJ2NnWf8Gia/
vxYMHV8rZkdX3nD+Tg+UeURVEHume4MUD8hFQMbgGuMLSyJT/Bpd5P5MWjlkcpwVHLoLw5PJBlaQ
Aso6WRjsfnCW8IF3eaGM8odb2CkGLzTdUijzdYgXAZSfN5SFpNTWKrOWxVh3AKfabLie+dNjG74M
ao/VMHgowWLtpGfPiJ4FQ/CNlxAZB0205x7kMuxn6byNbEkOykaPMrhBcZvkeUo5IiSkkgEVdWvr
YhNE3VZngb2xmXpCWZHfmK0iZqtl7d1Y1pAe4bpDiIhMJBpmcQGbEP6kgomfxsHCuINK/Xka7fwk
ZOQ/6rJsGM+NRCOKwVCE2Jr2PftHs0RqbrgYCNwWrmWr6p8dQRrcHpT2Kq53qk7tm9mZil2q/REz
cq7wrVJurhIzzJ9ymnjyleFkIqLgNQtTy9wYbaneZ09WZ0OI+oGpdnCeEX7vJm22K2fEEecCZmBW
u6/JO33O6hFRaMHYujUwDLdTutFeJvcjo8snS0zhDYIueBn0pvPWpF9fqvA0vukrM75zZstlf+os
xiCk6zGu3dbc0zAh9I/Maa2m1FoHIHS/BIaqEKm50RwMr3V39GRiO7bZ3ayqr84aTyKLKDy4CW2z
N3ZtpekQnPog8IKsQdg9YtDZxFZpH2tMW2DEpW9s/uGs/k/0ZEvS+l+QXJx6Nvw41PWeFXIIL2vv
f4AtRUEa6KrjOGDcb0uUJRXS9bouS8nHsaQjQEq01gVZC135mo9wVBYRRnvjzhZ6+jgq1bmfB/DT
hUSNgpbuHA4OEwmYxlzjsVO+Vg0Ghy7QiYOwX4IG6fvWjFbMcLMHWmC+z9nv77YjEeceiRBy/SN+
feekvYl4Bz047u+A2Ox/wpkKFoDCX/524KuohYFPenh+uXz+6cSfDFQnIovNveXRjuQEXBIY+MMQ
4zu1FMrEKlNrL4ibCwLJIKZCdKDgDyPQGHzLJWSR2GtpZmdZIR2aI5RgiEA3dLzDN7Pc+FEW43QM
Gn1YavPGmRvIMqp9F12/g87U7BHcnOzcFussS76aZqwo263iblSiPSJpAIZGqtMptDp5sgkOctdd
NjTbRdl7LIfW8cGomP2W19FeRzpLN8j7kr0HeOxOBTp8h3Bcvk+DOey0n5efNnEHN16MwT+PW7mT
2iIwr9fBKz17dPQLJ7qbGPE88J/Bji4teU3J6DuNg54RqPWCztr39lrV877yNV4qoadjTAEJrc/t
CTTs7fjHBI0XBe+MtZ6nrZEIZBIdZmjtW00CbcYlu83RNeGw4Izctl3UPve2h3rRCetnhvDhpmEJ
8QsCYkzYVpadlQaxh7QxPbNWiX0yMG3v2eg9oqhnYfxwOm0fMNdBcZqFWX03KTFPPjb2Zy+oyjsZ
Ne2dyLzhZCL3OzA4lJeoMdsD2oJj0YpNP0iBkK7t1w3TKGTEymKFrbW+H3WR3QB3UUjecwuElYtu
Ip8U1L2paX8oG+I1a0FG0ZVlf7q4ch6ryKWQjvIn2afawcfukX3cdzOptmatr4xj+stMbPfelN14
LmF9o8EDoMBoO7kwSWKX1AbC2bVWOiEmLoRcm+1QX4JaR7ds+up7H9kJ5jornhAGo71D8Fxu21ar
bYgd+05pWV19Jl4bYoxZl8ROfQKaFN7L5RTJm4hyheQhYISQ8W8nG24+Y/9G5wXBGdN17JCYpyIA
/sc1sZ44qrrlzIp9Ti+mHs3BAYV3X8yG8UssJxwCTyZDLeRnjRLUxQEGyzv39vPvg1H9PiQ5KdyN
Wk7OdjlDRSs5Z/LEnjkIpEl8/HLeYiMvn8blDG5tdzyVuuLMre1mei2jQexsPXGiW1XzMARNdZ5N
S70j2zc3FfEArM9aG97EcjGkyx0RLLeFlVuQCLLlDqFBSYxDwAo3WTO94woyQ4Tvq9CYerb7VhM8
Tmbl3S6y9WgzLvcaW22nXwnmEt6+M0V7MoYawsJyT6o2nTeIgrlByzoWn7pOPa4KPtMO91RSn+u8
IBa07ovmQL603kdS4Ndsf1/ps4l5MZ4MAgpA+Q87C28kI6mOtyj4XTVMSwFB+iQ0E0oKwkspLnDb
p2tCgT26cOoOk/IxCmUDUHLxI0e5ENvIUOOZgON6g9ltPEYehAsSKQvc2uSaDVgnj6lSNvJaIdEy
Dsx2yrFSaOLzLLt6qLqPTl+RxBMX9gsiYveGZBzxUE5WBHOsk90OMUz43cwM8ka27l9DriCJdVPy
ZGC1/RGx7u02samCI3QEA49DS6ZqwUKVdRCTsRWLFufGNxx1aI0mu1LTYf3VALiXvAPbuyumWp7q
qC5uejWECUO3oP3EmfdqolDYkIy7rJ4d09sVkbD2gj3XI82n2GLTtY+twYiILBqcJHHIpnlVd3DS
nYxUcW+unGPgj+6PIq0AY4YCrGPA1cVmqHqsq2XSU5ltfnSMJO03RQIHeyUHkXLx1iTLhWPaXf0a
WaQ/6PBAYWl+juGsvpyqrHmNYSBgvuaLtsO2AOfBZx/drGK8ny8TGpM94R58i4FkJyfcsmyEW2Gc
wmbQh4KU1VMasCLHotdCN278GOKHYb5Zo7ibgW0/OjkZGmNl5HtI7yQkzqgCeNGEfy8nO3tPHT/a
EAzjMaVvi/4zZtv7Xqu+25qBm2/DKkPC7EefJtT87eJG3fZwUs82k5d4ZQR9zlVuJvdGQ2Zp6eRV
RyoLVSDp8757l/BnRCSkrD0fK3lV+0ui0bdpG6gT+iphX0YBYGwgqmATTPpmu+CdX6suc0/D1Kkr
cwzYGRZ6D010BQ8O5mNgMx4H4yOaraBg3yKgguwW+qfQdH/h2IcKWzkoeYucBimqymPQeoJvO8ba
VZk28QPanGnPyUNhHWUmIx3E1llVPFvL7N1tLHUYVF6/aFKLX1iEtN9wgpjWEzVwGPoZwKv57BDe
CpIn9aDEutXV9vVtykaJoh8yrBpHf5sJ7ooF1bjsBoYxdFB4VMS+tSwrj8LvuXeXbQJbd+YMfZ1u
MYNMb4nB59Rc9g+jNhSsanYSGMvdfUzoKZizainr55L1hQYHuR5ZaShF7HzokgruWxM50y15qLj1
4+msln2Iv2xGWBWwJEmWfcmQIdVDFNyJS/l7oTIsu5Xy95plBte+wl9V7IJlC9Mu+5jw92rGiDw/
2QTLxgYJTvKRL1ucKKjbk71sdlLBbHscsECQQpKey2UDJPhDmQemBqN72pHbDMfPoQRDstXLDqmO
5pHGycFOaaDAGMPQ3icev3808+C1oBKECDZP4bUIywnmjoN02VLBu2wSa28PgA8iYWTwSvOJb207
mQzqS+KGVnXVHdO8e0M/d50D89eyYWTqH1kf/YBIHU0l12P92GWBy9Jc9t2DHbfE/uokmX+mqL5W
jhTPRV9SVCvu9tnGFqGHVu+F2XSrSTrj3lQ+W19Ehs99PDawSSaO4qYdWo6kod/Erl3f10HEWoOr
hM93TjzSI+OJ+RG9NWC2zITrB83/gj8bZR/0pvwuLyv7ih8fpEIU+1dEXva90knvb9y+FeU+DELj
BxQt586xSv3LzT6jjpR3XY/YhuJZ+reEdbiHNgEoLI3yWrB/d01MVW2XE/9Y5oSIJqrhFAE96Y2d
sSm8nxN20XQXEnCDLXZikq3DwNrUqAZ7jdCDgvDc2+Q4mYrA3PdqfphkjACHnXtT2umv1Itvsqwo
sfjW5n3gRc0bny8uL6RftxqI1jmXZf2KLB7FTpIzhVgb3LN7nIjqbfY6/eQTbflGJKj34iP1Wvdm
5x47hCwnbgJ58fOFBC1TCzRvTjKysRCF0/jYtykCAELvV2pU8h6tpf8wmdH07iHcIB8yLrCjuSS9
pb4LSI6IqYNg9QHtrg/GVya3MCTKynKWrAnCHF2SnPNkarYuqwYknvgCbRXVe8+A4TFBoNgRSZAe
XFIvGHBTyU55NG3xz4wHakg2pW4lcFy0jhndeWwFjjgTR9KPlbvNbEs+tQmV32BjCkGG0eA7b8ND
nOeSfLdkYgockf7Dc8BAHOP2HnDrvzbDtGgcxzhew7t8iIlPKVfEms27YblwhS+Ry1nZU25MNbr9
Tu3x+1OQZXLeqQAzyQZ19COYp247q5qUdM6MYYV8CkdPUgVEheaGJlqPEF4cfqXJgY1BcVj7jKxX
PJVq3YcFjxj6ol9PUek8T2XSIRKdg686Lp2DZP+0jxwCXbuekBhiqopDabNk7MuyXVkiS/FwgonY
aN2wi8i8zaSwA9pWFF1LlEWM9okidogRM49xxSNkdG4L5GB2BpVGVRKdjYBmE5C7gAlsOjHhg7zb
hg/05Ws7zDWvbcFaz8d0eZWwEJaVUbBhTjBvk9GTtElJQG8usvwshRfwEkTWUbeVRc4emeqoXkp8
AnjYyNZNjsKZjHVjRFaNnwsda1mm2U87r7K3MnFbFi6ZHT24YCAhovn5Hb1Kf3ZJKz4CDGCyhPLS
eU4Nd1j3cVK/Fb5TrO06r84As1L6vzo91IijDqaT5Dho2+ZSOmV36BK9rkdKyTEN2MC54YxsEQQj
3zDnqaddu+sh5K7Ihm23ScHsQyJQtszYQf6anSvbO43dYRK8nqoM3zp4OEj7xINdDiESliB9JtvG
PTZZnl+CpBOsIQ3vGOn0LnZ8rf7Un/zFVfwXF/F/1gp7LhgebCxYY/+Z+q7T0o4idnx7AxMfZNXU
/2rjgYTAxitFiHOS/hfkcEzwTAmFpEUABuZB1sY9avfp02f/1QJ28uR2IqVwgfcyr2SmQ2CkYkNL
3LucXdBvvyecJvC0akUYMf+68sUpgbVWsyqGSLn+3zKQ/38o0RQq/xII8a/n8edvwo3/6rL48yH/
w2XhhOjrF0A1kqnAYuDzJ1USlwVARyFY6ZGK4P62UvxtCm/ZfwSmYDLvsrMOsPqg2fmbSEb8gWjT
ZHRk2fyshUn579gsbH+BZP/d3ohABkc9REvTNtkQ4I1fPqj/MI8KFXS9LLPwDET91o8qlryqoj1e
U42pS5nmELBMZZ99NpwHs3D6I0KWDPh0EdacJUb/4mrX5HvH3fPq13ym1qZZVkf8aRjBQ5GJgFle
X+4olsWtKXtfHAff18ml9Zrqy509de6w1rYnxce0XasqUcMudiOEdqTU+fh7DZBUqy6pidVL8aps
ZJHHPxmSegVHmPDxljkp4GTyjmUDO2gcS0KasuAJIXeabVGzjxcPR/t57ppWMS01/Zdm1vZLFBB4
1klD3zJ7ZMg0zCCo/NKMT4MlfMhImQR0hwwhPNkWBJuu1EQw5IZJ1z24pTucMGgj79HoedjsTtL+
YZYaR1sGji1nPo9Pe5XFFmpg7ZlBSYYqcXy3MkBRv/UkIURr9gsUxx0DAX3rD8ApLrbv9njKIw7S
NZBJZLnc6SME7CBuzXWSFjUSkrG62MpI6DuSqb1UU2p67AQY5619AKcLazadfuiZCRQthU3iY9/j
A+V67Jn3aNaAzKF1nX1l3No1wgSVV5upy/gFLtXzK0j79DYzovDAO+M+miId4M6hDIiqKbzDtovg
OQnTdtx2nVk92Y7D+H1OFwenHwOHqdvRjFEwtiP2liy4zxrT/zJHwbJccRSxyCEs1Sf7T1D369TP
t8rr7JdGJepFxJ7LAA1JsMB9g0B/TVhic04LxeReFg2iStFQ2tc94q2jO/ZyWhBtI9NTfsPG682h
2CrlOA/IdquDFzfJfVe4fbWCFw57zZR0wI20p2CNjkLfMDyUqK+cfBMjFfp2S4n+Npo9JsLREI68
BNEcHt3BSKdN4yV2tGHWZ/HvLB9QOxoj/KCmk63x0ON69Qu3dneaMZV3mEaD6KVJUbNslO/OMAAG
9O4NO6d2ZYKAPHUgDLMN4pSK8EmBYnRl1ljDfWse3Q0/oiTJwKwRCCDDZdpti0btIogZ7J6dMrov
hpGyvJ4yvctG/rCVliE+A3haNZpOG7JMk/vZT5WA5DpiODXX2G5Vu/HztCpZHblSwGtx+uJHGMJD
7wJFKbIa8sI27FXnAleo5/AGMjGCIdVqII8s/+uzaTchH0f/kJMDjsqgM9PnEgjC3i2neRskUMLj
sMvPkxzsXTPaUQNSXgf6OoVlb91bbVI9twQ7AJdGJ+YNpCiGWC3TkxsSFh9LfJV5BzIHFHs3MzPk
k9JAu7qaSiRov0UJDIxgJknqZmQk9aeD3+BiD8xY1mjpwcv9N/bOrDdupEvTf2Uw18NCcCeBmbnI
ZG7KTO2ybN8QkiVz3xlkkL9+HqrcVbKq2tVfA3PTaKBQQLks5UIy4sQ57/u8+GhxUqNORLHaTDRk
caiAMs+2A+FFLS2/IaXhUaRZ8hxqTXw7ytJ5zvKx4TzJzDs+jJT38xUof31a6zwycuvbNc2v0YsU
7gWas6Z3cGhKzFdmJKf5rBEj+6mfQCsgnsYUvJXKmsCj2bEh0e9iuTaXIBbQDssojPM7YsOnStVH
WKEpijLEOBPEP8GTtK5tSSFu23za1f+ya38SspZ0oQtVX3fG0O/0GqvK/5dt+78csYat9Ndy2KuX
pIt/2tx//Mjvm7vnYpRk46QDJDzTf4+M1n+DQSssWxfEvf0+fP+xuRvGbzbXbyHZ4APHY/nniF13
fyOfSHf4GZ0xCUFd/8rm7jofh034cNB44uQ08dZQZxg/b+64xRvPAna/pbzmYagKjlwrpmLiHLtt
jD2DoG4JSnDjM34sNiAdwpPulPk2JEzhmKVkFIZKwKMdzMSnCVozdjSM3pXY4+kX7ozSbs9KTzie
+cQEboi58HS2mbG9KP2p+Twndh5Io8oPiUn6Cziadi+LgSbDAt1qEMxdJYh4e5J5+sEPbNOiAigy
gonB4lkS/7MFo+BgeLl1TFSCE0LWVrcJyb8+Y8PJeGSyln4gOnztNewkE05v1P3nxG89yhDIYjAd
kwsMfKyOYEOrE3oJ55EGMxRZVkys3VlNCDOWJsIzAoMhEiTtEqpMn38ZZ5Gckza5D1vUaHZUDPje
nPbJceaYNAYWDlyKzp0zW/lCxTB2ikB0OoGgmpOpjA/DpGm06AUSpDbfRlU5b3y+OuJR03itNW24
Iox8vG2Jl2Qr8s5epfKjEfVAVzrOU1Ftr6RTJbehZ6eHUq8JYHCH6auaK+cUU9AwgAGqk68TEjLp
RXmmeZEtkeXrTpiI+jtZE0ld5TT0tOWgteJLw/2Y40cnRUaNKdswza4HANLi2pnQRPhDnvsHD1hp
B9By6UOZaiKOoDC6p8qNx+YwcqI+OhGiLYyOjEgqryDDlyyIgdlHi3j3ONZENiBoq1meNRfwGiqr
yL+G2oJQ0eldy9uWgKYvOoUEjGN4gdQq9Bry1mSBZAsLDomtzNYu2UKMy4Rt96s2EPEadmO5K1MC
RflIQ37b0Hd+gBZub+zeUydStoerXieNEAPbQEPaUh6iRWNshztPr2JguagAHiUzjE8g91qOkmOr
3/iYBK8cwxqKwG7Dai9tN98XvjXW61GSDt0Thv3Mrg+ZhXb6xtSILNgARZyi08hHGrYy16uNjfYq
JOvBSW5j9tA924DYO1mktjROi3wdZkO1b2q3OudG3m+j4Y4+JZPOcUCSFn+qRuaUVTYNl7LnOwaO
nn5RbiOv7aod1rZFUeu15VUPIcGcJj2AwjBTUuXmOW00vjIUwOuWucYZuKNZ7HLUmjzVRHXvxrZd
aIqlBjWpBrc4byRV27zWamUHFlXgq5uGX3q63idwqOV5bHyFSZnQWmJqXJieFE5Ul4oj/tzBt+Y0
G16lHfJEjtlheZQJk0xmRToUxFYk7k2Z5N0nHe9NT781d8+dr7eflWGBftLbmgAxAo2do12HUh1G
z+jkoWwiJ6Hra3rTV0twke46D+lkZ5fVS86Z14nWeuM4NRhpop3pfVAk6o8aSQ/qEKc429FlDLS3
K9PKxDea76F/KivqhcAGms6lWDjto3Sxd2HVJixe6MP0QK2oB7bscSQZCg5pXEHQZBvOMBOxfafb
RLJMQxQxRbZxbZk/gjsZd9Jvacux2H+SjT+edLPvLjEmlqQk22AKI8OhAPByJV5cxvyod8L8jNaW
wgPa+3YgTt1BCjqbV5WupueyC/Uveavytdv29l7xFLHC1tHWS3tSfhJDR7AkCHshjA2W/ks09NXN
bDnhK/B6krRdOb+0oxrIpxX8Yp0864hZ72ypnYqgw98nGrUi5XPnReset6+6nbrGHTZuh01p6zIg
J1sjNSE7lS3KogSDGgnOhsrCoJBjkZ/Lwq2NQ0GRWxAWltAF0bNovk+lBTudAowB3JKUFwcdfTpn
ZwCzGABc+NlZ2ZXG9sKUptZj2Oez1LEyEDi9m/xqZhy4tLHy6CrvivzUehTbGk5EYrAt5spgLHhe
x66+oHc8k97hO+NuUqog6qUdH2yA06e+8hEw0v2vv0q4/Q7tPB6JVTcyuQ5c2ZjHSNO8edu40HLX
zDfcdJ9F5Vis4UJO3wTUo2kFcMd/RvMBQKxO8V2uahfJ6GpqROnvaLGg5hfFhCGJ7pUFZRLdwW1H
2oKxoRXsxkeShBb6jJSRzw5WlckVud8tJkTULId0rq3DWBvWeM6tilQe2+Ep6LTiWCH33Y+hT59H
Yya1TiuWSTHG/a2rZE+4ObE6TT/fWgOzaQ5wobwTKrNKyOj0e4MeoBZWARpd3cqYM+epjSaRB2hs
nMdW2tJfWw5c/n2GTiTeSJLPwK3hRZhZs4lvEdMIREn3xQOi2PGu94lXCaph6u8cU/jktyUMFjTD
utW7xnrE312QlVxaF2i0yA1KoU1BwTzPfm6ptXRQNHl2dpr9+cLoeWBXCK/nlyKv8BFKczE3IjJz
7MskLjptXXApydxuinba0n7SIOTllvmdwmmS21rziunGjET8YMc4v/ntwjtmOrk/OxyK5kOqUtY7
LEd9fdFUPkbalvPglebKnEkAxIfHOveLvV6mFmojGvrAvDQdPloIAU4FTky9tsLuQIO1yzouNMkN
aXHVMdsk2I3wrC/LkOuqTSnYORdJZ8CaOJXUEL7iaODm8gsQooJ4KxDLFUBmtLaR3d11dNqeaPXY
xtqWncshN4pYaASo8HWcG+CzDHyvV3zq5iKM8YnunVqAmgMa3r12IOPMoIjGiBMCFDp3X009oeOt
NN14zUGBVnIsYhZsZ9a1DjtMMZ5dJep5zSjCYeRn6/UL8bx2Rvt+IBI9xr+5tsbmm4fPYF/j7f8m
rWFO1p5iDrTuDc0GT2PTPidxNl1GcyL6YodRe7JFOjxqSU4clZi69Dzo1YM3NkBm8i6JoD+4rn0s
2g7EUzGkkkZM+SIsxHWg2NrPc0kWcdtkXPOBY/6lymqOWWiTQcxXGcNpmRIkkjteNm2xzTbXaTID
WtLCHq5cjh2UEMGmwQcts5YsHzSWBGHaxsJ4KEDk06RKo42GYeCoWV70IPFqvMochysH9TGvNpWs
MM0n8xJEq6KiCWZAEw2rMgoWiM+Ws3Z10yHt1oAKNUAo+zQ0LZAzYi93rdMbq7rJazw+HGLnKd5R
kO4zkWGpatO03FqTU9OQmPFiZ4qmt+mN1WosSgsrgcsSmBRZ94jzMyNEoFdr9n3Wk4y78iLyzHDf
R3l9qiBW3Dehhw+6D4sAcYzC5evk+bprRfMctYWXrOc4Nr+pAk5tCCIgq+YvyPtehyQEKoshiX4E
Z92VNzlA7KzJs8kErZxqF4awjFZZEjOGoRMFugnV12fdYjd6jJtKK1azMu1rE2jSEteMW9dssTfv
CY0mSmz0pYER2y+z5zqyVbOeWSCC0aokkZVeTAiDU/n1vmW7WPfsAQfFiOq28pPxU9grOIRjboy7
jgR7qcXlcSC+QFs1fRpPe60rPEWseol/Bdv9eM+UgbGHTYoYevaseHZ1igQjySw7KIZMe20tDeMT
qCx+t/LaG1YgGFhSmDXe8qzqMPmPPtkWeqQtuQIkJqVleyd0B4F86GSMssepbL46qA5wMtVkLjKE
aqcvnqfqbzJyeTrcHubTkQePwjAp4+rJd2R3j5vPPEnLNMjJ0rsHerc4V8xaYqY1I2din40mez0k
mr+zjErtuXvGGNuUkC8WzudkX82JT6PURXgqKrcmybwdyd2D4l0OxCMi3DKWIVqeF8xTtc6NPhs0
eJHuj7jgc5lzAfvK7JkilZr+hLBCXugEPwCpKRbFm7eUYMhHqQeK2WgpDkymQtSEDKT8qTtNodPi
KBimWiNAIhT+Li6t4pVFIn1Kx9E9555IzWBSTbnhOxOIU70EP0mvxzQgUDyEgR5Wn0g0ILBCptBO
EpJch9rUL3TkJisPgQckNTluWFUZMLlYMNFt+yGsOic143VEFMEDUE//JfJrHu2W9u2zknZ6amvb
N1ZuApcGlWyrP9MxxDMoGJEmWmZsawYzuIVIRKgMdWxDLHPNnKUb2jz5lZnO5XXlOikkNA1FGs2l
RbBSYVFpYZnZLJJPfi4YEXqExNC1nZ8BEBf5qvamaOk6pc+1UeHsV3l0J6GMfjbCQtyRx875j1CX
5hKtUTjuDL3sQA64Rp+tebCwZgPLwJGUtC0ajsjeqGLsPYK29rBhpnVZ3k3mjIUOeNp0wzDYWzNW
MWnzub4LSq7MC/QNff6pi814r2aKi0WUNBN1WHbxi2PWFItV6G0a2y12ZWvOpA9h/DxGvS+vHT2M
mbSO2j2y5PyO9aI5RSYfg8pIzyhdYlA5IxsuyLHh3hhpQHNBQ45fX9yU1VYtQNOmmh/ezTb+Rr/6
UbTvYNakj6AL8210YH3I3KTpPhJ+gbeWfiWzJs8l1lBVjnbEEwaBFix8+fLrV1zSR98PKEBN+RiG
mYII4bvO4mJ4P6DwTC6lWffzDlBKeoM3sL+04sViSZbqRTLDy9YXm+6vX3SBOv78oi60YICPPiMb
Q3+LHn03FTESvZpDN1M76OX5ibqmv45CJnCmgNtfzy2i8mlCNsvE9vW/W3H/EWe64Zg67at/f852
LV/kt/i1baf3jpcfP/ajHYeBHIHx0nizWfkZn/4xa8PxwmGNttuPYRv/599mbbjYLcNENKPbju8Z
Fk2yH7M2HdiZ4en0CE1ACFjf/yVD+nKj/nRPsfJ7tAvZkpB/U7r/fCP/2crFwvolRPzUeZQIBM+7
+FI4I5HPhRLCd0+g47+9+6b+I0/th5f+MOQzUh2ql+iaDTS0JSaxI/0rBfmehc9jo3v/NNxePsn7
T+qSiIeNhYpXOJZlGMvT9e7pScMhdXqmAdshRZ0WNWEPHBhavfIMorQ7VC5Rmu640s0mzyXoHndg
GlNDJhoc+RmbHOE3c/QJedU1PfWznaq1KUnz7UX42Cygt6yBapFU6VFHGbD59XcFLvwvb5/pKkpP
bIW2wQ31YcUxWoKVnKGxNjaE3L1rmgiiK5p4bK3WUlfNNu6KCbkT/bFrBqjJnUWqiaEaEQxYOFZC
Np+zmc5F6okvmlWeYtPa0QZ4jtwBFGmRHHpKo5Ua+btGwZigXJyA0YjLqYLttPam5hA1hrjXSoHJ
L8xbOFt5MA3Ryp1vpkqsUxRfgx3fWna6j6bxucOhno3xZpBFoEIiD6Iku8Eaf1vn053VvEyLzR4d
4VeVqHnnTpjTqZtdwtx9SnIdopfvyYWo7+A56haZs8eHUUhZrFY3d2jmo3snEzelltNB9Hllsxny
Ewiw6SktemAfGI+wT/VslFibwI2XbMcIUdvA0mVyNbUu3mEmLHvhZuxyLscx/DP+hYXr/0SK0byy
/LS7HgdSs/Fyl2CfK++rKQwX32FSXXmYrylPl/4zfbavtCj8jT3GxnNtz8MrEkzBzPY4GvF4OYoZ
U5fwiDMFiFltbceYL0rJSwhnZihZ6lvw5fVLkqQvSVQ5B8BlQGqNhqR3R7/RuhpYzhSTJZ1/wdF5
0WAZjgaH6oVLY3dTu9eBtK3rNOQQX4Rk9BRdc+YARs5dde8StnX69Q1pLF36948TpQZtFMe0uCVp
IRkL5+Ld4+RHld7U/aRvZJ6XqPSR2JbruunjbF16UU2nwjbvgVap0xxL7WtMygQdXq+hnZQ0tLxd
8wEh23peWnajlN6rKr3pziTCdAdVaknF6MRtTHDKI6oYyeEyFN/fPsJin4xeqx8L0O94x29Vjbs8
Qgz4Zg784z//731V8M///sly+eGv/JebL5n4L38Zh3CXYDUp3m9oP37kx4bm/eYb8DYt23nDqLhc
+t/FI4SVCl04htB1Csvlz/9tuuT9phv8gU98gm4v2+Af2xlZpQJRPpMq12KUuGyP/4KBcxGuvLst
EaVYDJZIaKBEwrbDpOvn2zKEqIggwjD2Fu3Ni7kdyUGokrMFIuTCVSPChWauA2tR9aInVg/JmEUX
6NnolYmezGMfISzsWu9bGnd6EPa1e1siDDhUWo0R0FXxP2xLP9d0f32/y7L/7jGCIeH0iTfpe8QZ
436ylq4f9E8UH2EgajT+zLXFmcNmuPv1A2y+7Rh/PsF/fekP+2/tWEXd1iaBzVGHUkL1KVrQxtvO
eJA2qdSqgH6atpI6AyyCsa8U0omV0/iQql2ffaS22/00l/YKSkpBiGdDPFAbX2H8ZdGu+fYcU13l
Zhidwx4LV+ICcc7aUuw7eBs1TJY2Tx4yVCII6BuNBa7O8Vli0pgQaDZjc13FBb6avpB3gykixiku
nOFcJZu8NoqLwhfVmcZicm5B1HyJ5dgHOhGop0TPjc1UzM2W7v5GlN+mIRZAzaIdIwfUZ348BNGo
iwdrrNTBHcpxRyQbjS4VJdvUld/S1u/IMKpIuEH+IDiwaumW5W2xWzbYlWK72pHy+UCiz5Wcxpsm
rUlEGIMx1z6TJesfe0IuwOD5j+R5ajsbeUI7kRU1xY5xSufoXBQAqWoO/QEhm3QdZLIzRyyig+c+
9cVATP1olyvDTy/MAYu/MUxXnErtLel0/UYuOUgaxpSLGlXRFsqoEYSgGipaf1vVCvoh1T190AvU
12EQtdCgQcQbWrQmlfaCExzOV1M0W6ogRXLAgiElsAcylmdtjJF2RqmmDHKjgHKeIkBC49QfbBId
v45RiwEignm2oAumPUXDzSh984KnBuasPIaTT5HkGQNcdnXP5HG4UYXqyUezltAsiYJqrPci1u45
HdHbJ3aEyRjXhHiP+MqXkbkZSPg++fFS5jDn7TwnZPbniF2fxOHBQpWy9gzIL01F4ytNQBOCE0mC
QZnzvaaIcsjoxlXDsB7i4jCbLZyVOMk3Sc/drGxT2441DWPpcUTFfzYdxygWSzxVskOh82y55X2f
9ah8jYUE7wHn8e45AAadIxG15HyX9mjZBBINe8fsR/K6TPw/LlNEDHzMDiRyWT9c4V2x9yjL3MUc
vnNssi86UkTMyaNTASjEzGWKOQZoa5inVDQNVZzrgcnOx1u9FOKoRXASnFGNATYbMER1z9m9qrM7
BiNagHl1p0brDhqECjJP0cKeYtpsMr10PEWwPOyJoK9ADvWpUMGkGTtthOqBa2NjOZAvDAUmp/CP
BFUcmsK7TTykUs2k7nuVMAjDH9XHl0Oj13idiadkOqO6T3PeXLkN4x9XyFtEn96DAX5ui15wUwoJ
uY2WK0Krc5sZwVSU9wzkNobyt01cfIO8sOnnJAugIw7rxujiNbqwS5Kb450OWClJm5tk9C+0Vr9S
LgFKYWmcQdoj+Qmnyd1GoVNWSzpG90wbwOZ7L8Wd6ujXUwXeap2ItmEyQtAkQ+rbQAXIFLuFnmco
03+Kc9pEgo9FojSOINw8FoZS1FiYuOt8i9QdNHks87Vi3Lhv64TZfgawsZZdFLRFZt94IRD8fACF
kopG7nMmfQvDiaxVC+QhRc6a1W88TmKU962PEmrukbmauHg4qusdvTU3mXC8uOIESVUc/Ea2t01Y
yOtR4vRNKpzciHr5i2kVEyFB16pn3nICfHNVT9NFa5jTxnay+4mo0YsMZi63oPUJkQ9yidrN1ngo
oE4aHDs0o24vDcz0a+GFcdBbOYrslnI+zSjn/a5LDpGr6K9r2JW1KEk2LmEtLHad/bkotQs3nFnv
aLMVs5fuyxELlOE68x6lFcJ8vfpO3vVeYMnY2Y5prLUhy/adn3wxCeXaWEl4g6uqROcbalu8NOMq
G+KBLMRUPxQ0PS/n1r799T621JkfdjFORZhD4b1xfHU/9H50zYp1Lev0feVXN1VSOFiqoKclsX38
9QvpP4tS3/bLn17pQ2mR9aqMGb2b+yGSMGtCH7pzN6zAbpP0mTnPjsGEREGWIIqDlbfGUv0PDSDz
56L797dArwCvMgdEGk8fzrDET6DR7mZCFpBl1gx9DY1DaMcsfnFAYtnVAijT2V0/1/0+K2HFElcJ
HXjwBVHlYXOkZ8RBoqs+O0na3nA688kLblnlMZiXl7Y7Q1PRBbmSxK7uk7AvyXxS5KVg5AnIxL1o
GzTwbh19h3+jrTQOROuiLW54Hxo6m0WR/Ecv5UeB/l6Q/nfX9v3H/XDmhWoBHiuzdYzzXXjbtcpc
ExFFKoenzetfv9TPLcQf36y7SJ/4F8qp5f+/q8P0ERdCj2ARGoP7vXfxwk229ZV5Shm0dv351y/2
wW//11db2ovvXk1LwFMQEm/scX/CAbDNRxPn/CEdoxc9aaEWOVl/LeM8Bl1kzPteUwhQMrQ3HuzP
s5+CIONKBh2PIUGvapt2sr+Q4cLZUZy2E+CYIJJHAWs1tQNjwgNNj5BRcgawOVc6v63CgdOZ2kkt
RUmzlCcWdcqvP+fPXdK3j0nFz4wDzbLH97rczu8+ZlZgztXYR/ZOY8OsdkKSvEwjo3RztGtkNAzQ
ZEMY7q9f9e8e1J9e9kNNbfSY11ECmXvNsheZiv3iZnhiUUQTA9kK7aKc1GUI6uma4Ua1cUdmzf+J
t8Ci5Dso3VDgfXRS5EJXXV0keM0TtOodWyLeuDOpPsx9e1tb5bVzZXuCetN0vrLqN9tfv4G/uZ2J
4vjz9T88ORKkMuy6yNr3ufxqdom67MvQvCgahxtbi/6hGbCcFD6swXxSYXONdSLt7Q/LUjwiuekr
T+xts0tPRDiPK+Lc+82vP9PfrAY/vcqHz9SZwiS5rrL2Baqj1cgHXHVMOvvCqf/h8v3dKy0fRRie
zWn1L4tB7ctynh2xn8MRvq6nP+aOf2Cf+YdP9Ld36vsX+rAOcP6QPZ00i92kdl+TEQ6y4Vo7Ujgx
qk3SvMsiYjUhL1MeN0uhbNR9ff711/o3R2ZLLAAQTB+G73N2//kpDWM1Nm4Smnt8Z/V+Rp12j0BE
P6AuMve1qR6qmoyxaIhceGcT5VuE69xtiFxzC+2J/L6Mmb3Gikl1UR6zqHh0WjO/1pMlEBu7xa/f
rvnXm40pKho4KLvLO0aN+tOiwpQvCwme4q1F8lhOeIj0WCQ7sHli7WjzmUAlUoOkQCiG1DAaERly
CNW2CaP/AA8aCEmIbQGR0kRslOEmrfQAADoHHaJw6Ec23+t6jA6iWVCGpnXU3YFEjQJ71zCRBFpr
2FHruaK2qsMGYfqrkQj07WNTrIUzWKeu634vcf67UfUPYTImTx6P5h8VQ/DUP/3Ijbl8Kl7/z/+8
fyqS/H9cPr3In5pVv//Yj2YVfDB7mZkZvr2sxO+mL85vTAxh/aIg8uhMvWtX6eZvJMoz2hMmemgW
ATauP5xOzGvovzNCQFcCT/hfcjot9+qfC+cyrDTppPEvm1djufnw6LWN6UnyY/EGRvU1kIUBcUbz
tbCII2znnvoqu7A6NXMrZ//UeGKS9eHFUdq4DhNuvhNIZ3zQnx8kpekCiyEKXj3X5n3YMxvQFuNK
S+G+6iXOijlPMaR3BPfJWiTI23TxrZz8aOPXCmV23FsATn30Mpdk/cFnmZV9LNtlxm4nEL1av2S/
7fwz9FMvkC2J6vsQhci0D0UdhJxcbihM7excLxITBJX3ZowuDsw5v9CdKxCFatSvrEoHWSud7gyN
nKRhDNJrGFzzNmdaTZBl3pmXrjXTVBDNQn0oSDFsp8iATdNp9y7SQ4jBlX81msj4XCZ0KPbAmCWa
Nj2QlmNtGpeIDT1VgFtzR+6MSdhHP8OBabMEHmaLqKi1ajVi2BcFSba33MYA1NI4XdBqiRwPWmNX
5rHBt1HvMM+FO1DARNprCD8A/k/eVy+00KhkRm3cMs+LakK/fVacXuNb6+jATUPanXpopvsx47x8
U5jR8FqEk/hSWl2XcnrVymkt5pIfxR80fh4jorsxSo/FXWl2j7LR7M0QglTxjf7oldbRJ6FjH6Ut
yIPWS3aIcr86Uvj4VSwFqBKrE9qOTjK1gk2RHFFKqJ4hh1KXEnEWFwvozoAwYpcjl9gZuKIWa6pX
nUrUIYc4V8WeQMfxPjKrdOeHIxOAVs7brvM0DMtc7k7PxFNO62bjkLQRrn23ULtM868KensnH2DG
NqP9eDa1jGaaS7+L0QkhHFrn7fUeNdfSg7bhwUr9NCVjXC/qMBS96RjWqPJyLj8RIOD+ETTCkFar
UjP87WAZc0AKU/foRLr3uAwYz3Vac09H9tHTG3OF2xnhaZTk60b41tmcWv9+QNHOCEz2AVVFtzGJ
sAvoj1BvRw17CFewuwcck/sr226zOy9CQky8pWPrcFn8BeOSVY1ODhN24K+pJ019WztkevAVi7IJ
sm5IeFp06GJbwnsKZ2WOBn4yOgfzpVe65nMJQ/AW+xQqfReV/5LkgVWODJnXGVn7nTt2/kPfd6ih
pmWYki5jlUQW1r2ZOYiGVaUaFwFC5uOxV0PVBuFgh+NW1zSgrL6dputRJBBHVYYi9IBWanyuJ5XI
1ZAatCRbvdW/IuSBOA1/CFaZ7rGbz0763Kk2v4bImmFtl/l9lxj2HiXzoSMCfe/l4/e5J9GgaBVu
r9I0v0cojF6w/qf7KbKTc5PJ+ADrKEPDUyPgixpzuHT8GL+WndQ81ErvH5zR8L+loRkeADbNgWbn
2rpExIB0pyts5G5N2gSJ3nXnWccfgm6pfTTDnDGtHPVLUc32UzgP5VaOVfLdcHR9MzICuCXkwrsj
UV5/KqLZudblLIHwsGVPyusewjSudvnQiRMe/eJznNrNpyo1zQfUF9Yh7kiir+upDwOA4hDGpQTh
U3cdTpWsBFS7Jo5Db78BMCqjI4FCUYd1K/esBwMoCqRdfvJzO4e7MJ3i72FoOu7ewjM1b3Sax/Me
ZcxsrfoknTbI5LYeUAocXPZceEEq8SmuI4EjD8rDhEpW15hYqhRqB3eamlZlGBPVrlw/gXmXsBrj
a0CrHGdVmG6BRBGPg/cRv6HbuP6pr6fiYjYnvds2VqZHK08zvEPYePpXm+D1a9nOw6ER5LB0Js7R
INWGUQvSkpp+Q0oJjw3asvApduAorMLeH4/ozcZPMi179xDiGQiDht7SjY5qE9yXSbsnjBL1VKaq
vuzbuDMu4sLzN4M2fZkQ19IcjPhiiCwkepru1ytw5+HQUVBtCLIgr15ISR9lQvvbBA4V2mdu/jna
FDPGwvU4Zb4JKqFnQiztBm1aMw5EuBRug0FVMsIG5oDd44uqBzMYmEbqixauJOpFNv0XrRw7a+Nm
tfWIJ1J8bhJyUkUzG98S2RNlZs2wBPu53QpoyFejcvyXDovxpWiUn+5MfJwlqrI5nNegGpGNR5C7
1/y15Nj0zVyto9o170Nsfdge4WAxFbH6Zk+PnzeA0yfDFBTPJASPOmp6XHcpNWbWZXXNmmmxXsTz
BF4A2wVe1jCyJQwCLM5q62X0rQmyqPDqGcu+g8qh+sTWE0YBfmJXriuYlQ9Z0s/HrE39LZcMFkjq
9VuLicmpqUM2vMhnzCUat78YqoHRdR6bGtSFqiivG3xKuDp4HGpMyvCtJ/uaMByQ437hmlcEuDqX
yDbbNRKA8lRM7chqiuOooO+5izOJB9IlkwaSNjZ0qMy1Gd9qgFadgMk3BmZrGMXyoGsUCX1rbBDS
ei/pVHDfyolEpRWOiO57C8z4akbBUK1FD/afvi6VECau+HNhDVYA2q2/IRNmZ/aOuoZd59/O2Rh9
0nsbttDing1bgTi0junX4u+wwU/47amLo/iqc3H38HVq1gO2swFoWZLxzCSti/4xmhSnCEfMiGmX
yGbLbs/eHJ/QmG/ydmBDlk23I50SOolrxPcE2I2XA7QD5olWk10awN+vc7JLLi2lE687ulpyq3qy
8yarF8cY2sjM0Gc1oNVHizqssDjrQDCcbSKiEouZ+Q0zrx2MTnuVTZFYFVNIqnda83r8oLMdwsK9
6Il73aGtN7De1vEWWd+I9jItvWuAb/i5nU43iyBDTESv3KmrY5V5+KZxDoFt4qaiDqIQ+l6QLHOJ
4EXlBy/R5lvHSB0TXTzC89U48IaQXBRIPAy625zjZftKo9nrd5aX9N/gWCGTJyQaN9zQ1vXeHQxx
Qjw7IGf28oSpTOFONksrXMOVrxfheCgTpP9kQNCUhLe5WKatqTl2Uz/L9fDmqXbf/NX1YrXuF9P1
2Ih8A9lrhi7/5sruncWhzYGQ/KZ0MW7Pi4XbwiHySZ8pKdfkRWSLqLlGCgyGeoEKYgKHx9LhqXvz
hhfEs143XT1fZqId9u1iIk8XO7kgqw7LLBZzIopxm6s353lGyER9CFViZbxph3cyLKbXdeTnxgLE
yNpX/83FPrw52s3F3G7/7nPvlAFY7c3/LlTVnqQG4XIzcYo/xYtVvn9zzUdvDnquC256XLg466E+
sIglDP+6U/vmvi/fnPhtpOHKhycHhxRm+hReRbjKyyDFMIGH6s3Rn765+zMKYntrI7W+G978/yRe
R2KTDoYxXPhOA0QP6AxFR5WTpzUQMEXZIxQVML25FRh9bPJh6ndUa1AI6oVH4C5kAh7qdLjQrdY8
Fgu5YH6DGAwLz2Cqw6E8YmTGESYSWDEo0UFHBB52R0rWGj/xXOZYETANqCDUZtIIXEEZtQH6vuQW
cXIY0LQ6mCy5JiAXwBKHj3k+pJ/aKR8S9CMLnsHuOZTnFSJHoJnaq9DTkEnIgnMQ7CqHSY0sxdXC
ezDHBf2QLBQIrnZ9JnkpzdfzQomwF15E2OXGcV6S5n077E9FlQKWsN8gE3z0zcSbkGvlWOqyHuyc
4KE4gq6TUh4B9PIb+x4DHukY/9DX+NALwmNoGzRfCM1AV+ot0TU/H8cIiOllnlj9JtRFfiDn8rlM
yrv/x96ZLLmNZFn7Vdp6jzTAMTiw6A1BEiRjniO0gYUUEZgnx4yn7w9SVZkyMn/pr15XLsrSLEsC
CYDufu895zsM4Z5Nr7jDxsTGKunXc8j80qbDcvNT5fw3vfY/t1V+XB7XML1KG3cw9uE/Xz4LW0GI
pdbtVMg8QVvq8pybn/+mI/y9ov254l2/JWRtKk6d6xD1+ufLzO0yiHGx+t0QddSEQ09WidTIrzxY
8ULYSDbUhWD0XcZvhJVqK4e4gclqEPL3jD/NPs5a2Z87ddHdZqi8L9Zb5jsoS/C81fOzEBQKSeZE
pd+zL3bXpg4++kdz9T/9mN/1Yzg7/7If8/Tedv+1eS+j1/xPDZkff+5HQ8bT/0B/iflclxKn308N
GddG2ArHnWaM8b0lwyv4T/2Q/IN5l6RJgoZIrDX6vxoywkBES6+W3rP8Lo8U/45+6M99cwDAtBVJ
EvawRRkSXfenTra0tKjJXccNVNxn+0ZPvc2AFxScduZCxpqPv/7RGeso4uefA9ezDEPQS+KOIF76
NL0kNDWkx+QhF8/aKIhElr4TWtbcDAaug2kexm0RQohhd/Z0DBXzgD0vxe3wuKgw98dBmA/ZQO7d
9jef63NvaP1cwmU1QEtF50zSAPt5crPOiS2OZ24wivxLV/I5mJC5KD3tg+isk0cER0CCp2LsnkM5
mS9s1eunX3+IdcX5fG9MxK66TtFGi+zTZ8jcxgknwJlBnUxNEGZteHKNpLr/9VX+5omjBgZJgAKa
dpy3/vefZlSSm5zGS+oGZoVmIxufXEuiocRJRGmBqOfXV/ub72SbOt/GoovImPHT+6WEMkCFuV7g
gbjeT+46ie9r8ZurrFvFpzsHiYnGItGJvMPi01sFacRo4NLLAH4CXyObR/CB/e1QJN9+/XX+5uaR
xO2g8eD7MDT9dCFbW7ij6+sbJjqHVi39GJOlAdFaXsN8vvw/XAwaFL1aiyGT/uliU29VlWwtdL1g
JfycPZTBtkCqtEAyJqf48OvLfReEf76L5L7R42dFYJ369KwSIuEW3MIyaEjBgc9SeeejDPXbnEoB
3hT2pLpsnH3cwZ5eKgCoBlCKr05ulkg9puY2zVwVmGUxbOnSkIWoEy/lO6aLkNlelutO1EVN+HXp
NUeq6cQ3i8Ilx7ZeqA+w30MD6BYSHcA7DJAPnBuFS/Q3m/732c7n78iUEE2ezlr8l/dxBKsw2nMi
g6iMxTG1Nfc4D7buowl/0OZyj6C4PZYq+pAmubwkwor7MbLc39zqv3tfPfwOAEY4+iEp/vNvUKXU
WXaYewHCe+s4WcllCdQHTl7s/GY2/Ncr0dVn/xD45BCofH6mcb12dlLPDSSOax/GOp7WqvjSIuzY
/fr1Mcim/8vPcG3qM2Mw6RDLH//9p6WlKQxTk6KVgeUNYpcNWnJQrPjXQncmuK68CKLp7qNsAsDa
d4juOldvfKRONYfoahoPHizqALUXdO62t507kgLtV3to3MPo0Cb0zaaf79AqWuddN1RnGYI8LFvx
TAVskLG2z+mg+k1vNCRJS0iH3uweYGA4e7iSc6A1bbNVqoHqbyvP4P+oY7q0IyiZwdgJTKqFEV70
tMauStsg0hQAtLOLhkmQ8+kmV6FepK9zkxaAqLxxp+cekdzkHBB42sgjbgj5nODmv6LqTw5La0Gf
DHUSmoDQnhjshRfwzbde1pm7HOLzMbYTJuWFQe069fW9JVT9LPqyfnUj3cUeArCUTmwD06Ia2x2u
Ygy7XpkfEr1L7zS9bq4gc9G3nGiBbdE5EDk+jWbzTJpHeKGGOHyMvQWMJ2CQb87Ykv0Q6uZLpqVP
ZS4IcAA75pylnboyPcVAoQAIS1KVie/zUA6GWbMCROLWMNyqBTPguGe6ZbZXC1XhBj6TE7SNygK+
DobcgbKMBmWypa3V53RbEtKdWaXmc4/U9pXh1hc9CJoQl01PXRTkdLHeOTJxT0YTawbQVYgivXHZ
dCGzCdtEUttUVvtkAHRfIVJ0RAu7bp0NDQ/vkWPbzCCk9LoHFxsnOUv64I8NcB3l2NZ5MzjFCnmm
ikkitw79Bkg+Ulr41DA+4QD02wzT5UFEntqXLs9btMOa2K61tFadbNzinkSlpw9GsrNw273EtZjP
UHVbL9Dt9GHjwsG9AhKso1BhPEtXotdBpbF4APhU1qxAzkF2fhxbG+shEs9yM+h6+q2xU76DDG3e
eI8ZyF1ucRDagiqoiSxU4anASpkTqfmxRObMHKRP8BronRmmgStqhF4pKs5zkRXNaXE6p9qioga9
5tBCiUkKD8TCAWfDelB8BUI3eIzSQ23rWao5KjpbaPQyaNGhPl04C2q4TWpFBM6DaVXEKhSg/Mrw
ErRJhLKhouMxlQafNx6VWW3IPHASvxBODDFBS6B9jWrfD0Zzij1b4ZcsizuzBKScJfN+wmd5D3Fz
IuWrhqbAZzsQIR7tvabzDngtCp7vVGwjZ+L9yBemTwyjeoAYVWQ8AiKRZ+bcvFeG3eySXiWcT5vm
ixd6jsEB1WyOmgFDzNFwowIqQs1pkDoQaHTjSFLIuPu6m124MEZ9OsjxMS6Vy3eFUIs2pHjVsVBf
plCfD66pwrfMXADlZrhzb4aUSV3OI74LpakfCKjMdyN66kCD0W1xFFXfBrvoboQH/MMbtSJQLd6p
RkTGnlYaqdcMZUAZkCpAAMBZKEaiOCUMJYWVdzPUJ6YE7hm2moZG5DJiM2gjVLFp+BDNg3XWKCO6
Ai8tzpTqvNcEruIDCLpulwMzsDe0OIgrhhNyELpdoUfukt1kA0LEfRudkowgVKfmcAz0HANrPTwD
EW5PbqVDxrMhAiAChUQfLuVFB5Go92sLNjDEDGsTOQR4MIzKiUGHEICCmYO3aYNbNIleH8CY34lG
thc15PevE9lwGHBF6rPNJwiHswm2UDUeU6GFzzVJaRucPmT8NdZC8guZZOUsl4vIS597jKZB1QLp
Axzd+pFzDSf5VtczYpzjAhtQbxKwDjgmWoYhwJZGPpTpjO8MOGADZHVWkIHda8YzETvmhZW3FyPp
SFsX1IY/jeTQCGs2zuER4O3GMp/vVS6zrZ1X475C78VwoaOgMBxGrUoNt2Fbl8leQWfZ5N0iNmmp
fUzABopR2vcckpagb+jz2BU/ZccgMgXt124kpuHCKrubOlHnZloyxEOH74NBUQAAylejqpQf881N
hf4qiqpNY3XEwMl2S84laWywG1ExjuZlM/bhLSzjYidD+Oco0i+sClM34P9lM5nOBF6/b76EXuj6
kuRK35mXa8fGs5COJdQJZxqd51LGtPzyaAYmE2YmHd0ohNpJuijHqrmsHziXEe5RJuaBATIJWMlI
643F5jIp8FsYjebdxXzfF+WNAxLfKVfcDadwJpbzJqVRnPeV3JJAEeoMehTphk7FHdkwppDXuV3C
ziTkTz0NsWq/Qi1E9dbQ1+rB2jB62jtlgX27XT7IGGUiBiiLdnH/Wix5deSvIyrEnXCJWYrgTZv4
F5jPt6z9W53F55IfYRMsKfNUzKPZC06R5iSiMNow3lpo4I1MG/Mo3idJNjOpQEaUjeqMSdR0hQns
cUCrso087cHMR3K72eSvSUlx9+0SphnoDwOPQ+iMvLlkKfqLtJo74K13oIdJsajRHzEc0Q9dm6Wn
aW5RYjUY9HpmaazyfcmskZ5PMDRCBFGVOwFLCkMkOrEbkDP5+dwV4rqv82Rb6nH5UrlQ0xrLJrZi
hjmvWC2m1qs+2JBo8pZjfkCCNTxE0OpKHyL0+K7yxbYIaoDcxGSb1vji6ZwZ7XkPVqdiHlkVxzFp
PyohqtM0hsadaXjYQPT5GpRadpoXmx6hZ4LfNwxteES8TOjrkqldzLO5atxZPzLXD/Hieep2IWlm
3xbhm0KvfUnibLTPE688QfKH4cDYPDtMg44bOyXstg8bEJGFftMs4I1aMxZ72lnTfglt+GaRFZWn
lGAocCdC3xsm0TeTSJd9NSXZmcUEJCeutQcmPWXYCshfq74JUrTO0MFn3b4kamHnOWkehKVnHC2w
Scw4nLPM6p9nNVUXDIAvyWhq3+yi7pn2mDXBFWSEUhte9qjmSZZu21cT5k1Q6M1wLOw5yCrtkXy5
LNuQghvtmjIsT1VYpLu4niLIZ07xgBCku/TQMQc6m+BhqrFKMbN5sOrY3ZSxC/DcG9RbU44LOzeH
go1IqsQnTmPc1oK1OQOVdQlzIrqBzVD6rU6ABOQ2LduYOnRXGhnD9RSrp3odeFVafx6LIcfNMO6q
mHV76daUVrJ2VDUBnhyguQ9eN2C2AIW+1PJCkJTENZPkhoM9OcJRGm7JYFqDIkxXbIqpfGxT8Dy1
LHcDKK7SSQ4Mjbtj3sOQkwwnD2Ylo51rwFVxzQm9JEbGINdWX6fctyRh7PGlzrh1as09edWEHJ78
3YOZMwPSim3TZwYtSnsLMqwOOMpnOzdiJOvEaRggu8bYw/U3qrC/dY0dPssCVEut82seZ2e3YHfu
6uZh7kD6tsN86rT+0U3FGl9J3NKgXrxOY4+OtW/k3z0KM7tglnIXDexQSWFc5ZN8j7J3eB5D0CSM
8xny3zMqASvY1KfalueJbVxogjkLwNSWkFLtXPEGwSnxwJKMpvutmmS6j0TBxBlSvVsPZIU0xdNi
vtGKy/euaKB2g+Xzc7wSjFxnjQfYJvcQkVtWsfJBLe6j0wAqBx5KNMWXqbLPY3gPlrC7M1BtwJNz
le7LIn6IhUdeUXGPqeClFM2xxp2AebW8NB0M4LoYqo1TD+MOyB0Y+hTosyBWZmvZ9C/iRhwJxW3W
FKvblF/VMU/jr7Qdjs44bzWXEAfAHxjJhoF5dBwe4EUMV6UX2VdzLdv3DoogTTP7mIVacfISe52p
jaSxj+HXzJQU5pT7911jMbmlyOcnq9nON7JW6n3RWn4UFvZeeXp+mjN0hiIc4/Uo5RA5YDJ2jEn0
27ZTmW5d7MUkxJYXwkJq3ZYTZ5U69CjuRwu/BSVCO+KD6W2NMwxfOBVpxlLQhxs4ntBAKp43dSsU
H03eofa+sswx8R2hvgyoXVpwrniNOX3Co+xJmmPNryMO9KZ3Gy/mhZmGT91cXhYO+JNy4rlHGuYv
2PTqGMdLzaZfPugdiig1mLhj0pp4L7IGDJSfWNe/Ss16cnLimBbFnj3XLQ9NZY81DMprZjHF40Qz
FGU8eQxqjIyDtYhqV6NHAFPUpq/J0HckZMUFS0qVnmSpq80sia9ryD3cRlJ9KY1+CLAV800Rn6GZ
GK5so5mZQpnVbsEX9SHRQlyRdMLpzjHz/azr1Z5Ah247I+UpqVn2KfXPaSzXrBKn8m2hrlVHgWFj
Ln6O4eMHZRz2AS2Wu6aPSBSvcUgPRE5xPLxqG63fTawdO8sLnYvKEwjK0om6GTlHc7kIBvwKpehe
dyiO3VVpkqUQChGj7gXa8V2EBMKXozPdCw1csSxrzpJq1EFpyurbxJc6SSXzLQn14UYYfX0QsdYH
7Lf6Zd3gQ4yqrESHfQC5lyKNIjNEn5t8F7V9epFhn31sjcp5dCf7PZwMxh9EAQRxbupPACa7Q2mk
2l1dD+rryLt9TbCIczEnwIOQrmgBKtYhwHEX+2PutZd2T6qwRRuHERYwVL3BcLcZOc0DLjda+aBX
GbkPUWfudSPhNWzp8fm52Rb6po/r/ggGj/BGPX+ZG46KER2vb2EUlzssJrMfK45CHSVy4KXELE2I
HLaYOXu0/qWNfsRxTrXq5pd+IXN+VA5p2+W411ujP65iuN2Yril5MLKvE92GcGhlGHQl1syydW5i
GlH+UPDEMZ54BzHYxn6il5Jt0rFHLtbi6J2UOqaMiUtvnPYeP3RqqUKd4WsYoGHiRsLvV1x4GBQ5
xuYx2VzGSCY7AJt6GVTQT8IJirxD31Jk866H0BMsthgIdxrdE9CzkJ4LKe5mwmmeAuxubIVJbnhq
+GSivhEIxEAqi76UcskvmilmZEn+DOW4uvUYWeGoUQRe4ops97AnhzMIaw9C2E9ctj2VCjk5Qdk7
pAkVVGvAPQrJ1oOY2gRUQ6PiS6Fr9IZK1Zq7otfpBRWaQdcxcfzILXl9qqrek3UZRnuKPuupj5Sx
5RWsn4aUbRpEF8FlZT9AFa+orebUKW/oVZQPtTZ6GBzj+pVQPvM2YeB/LZrG3MXzKi5ylkRdZ8L7
ytSNmHhKUBTPhKAhl1nhX0vqd+Qk0WDqJYbcUn3nWu4cb8qOw1TSEm1CZ9doFVFyMLf8unXLjSmN
5DTHM4pWW1VyA/uUGJhy+YIYRz9ECEKf4wpvcZ6mig6H81XijeFw4ME4NMFHtoVZr0biiungnJw7
A5UWgcApxAr9xoMriPetjJoDgMn4PBrKdEe0bHImBuaXGy2jo3qWTz3yJas3h5s51a23IR0bcdKW
bA6GUZpEpTuLfMaVClrTGuVk71QfJx8VL5n0zXpO6/M46ub7pfAkZBQdxOjO1abOAp+v8ufRsfud
No9Ueku33OMSs4KaYPkHNWfWlqnJXer0rJmeyr4VYRPvU9eYtu40RfiTndbP2tp+CDPU891w6RaG
OhFag7EabhivIfDCi1IV3i5dDXAbSxJfvYHJgYAUtuwjF1IPBfFDz9m6dhpVcQmEL9unZS3P7dgz
9rkxxixzble+1FVtnjoCYnaLJat5axGyDe88HB5GogHusnBo7pMMjayOvxrjHhIQvQQvPmsQ8f02
r/ODUXsTyHOZ9NsGKZRDiKfBmggPzUDXkrtA3bxi8CM5ajtM3421sWIthS7Xh5AvI3rpcwPNM8vY
DDay7xEQOk2b77VwrF8d+Pdkl48yu5esP5d94fbvqrRBxYUUk0HPrXbP2b/jbJ8IdRvaLatXdktC
dBF4A6kx9pryU3s6hDK7v7Yiw97SyRn8NhyczTJolzTccTKEo98OIQsvc4S9Zo8Q2LO6CeQQbWvy
iHzg+L6nae1WmzK73gweeXV2lEJ7a9pH2SQp0agZhuK2qJ1XzMDi4A2u8JXC9zJ6qLvk0vW3lJQh
v/8iDYpYc3ZTU/OpkDONM7ufsIHYa+hkA1ofb0srCD6dhmVTLSPeTlDUYzcGdGoxFLqhDmcdfye8
b2yuvYbnM5HWoexgLc9x1oD+S26drux3uJ9PoaXjCuZtwYRPV3hHVweERpuKr1OF1WNbpEVhcAaf
ZQCQD/4LgmzicKTqAylXpCaxDu4byDUv6GdRP9H+qG9KIktvAcJ0zwjt0yvuPHUxrbu9MSh5xVlu
9J0mcvcFv76tPoj3Lo7UwVuM6cpe0PxtSGUMv9KD5YRPvxzOvBl16LRY83T4a1LKfY9nEWFI1NSp
nwHT7D7QIBnTTjdIbN5iiGbsSOJkzJpp1hBQyGaFXQMqGD/z3FMGo4FUy7Hz5hrmcqEzUnU7aM+V
LC46HOUPmTMQghe7zXkbOeM21NeJS5hoX2ZSvaY8iXc5XnRW/rG9tcfaCora0K9oi0j+6tajfdHS
0bOlhFXrcZb1/GZqRH5VZyzTMQo+Jj2TXyo0XbU1XIV5vkXLTJieme6ogEIfyfNHv6iHspu8B0zw
xOi00ZzKTVS2pC8bCy7c6WmB7LyxOhh08ZBstVX979bYlKs5SU5RRU+Igc4xyhPtsR21ZOuhY1zb
7pkPajFBwwPYEtDnvquoupoIII9LlOq+HSx4O2iNzCMnWOhOhM05y17v2BVxhboERdsoZktfuaCA
EPfjene1uMc4rOvaZYVUvdrrgBAB4UkvvjOlaZ9x6KuOSMiqHR79+s4Z5qLayM4xWqT4LVNqGh5O
uFl60V23Zok9Fom8c69HdXNQWUQRCeyuhmIWWuqkER/YbWZ9nvaZ22KLj2hr6qN0nvley76bi3Yd
VCB+NJehM9eKJb8O9QivgLE05tssGg69Wq2RpOiVBsZst6kfXNCLpIAOaws5A0/4YTkZSVej6xJ0
ygyB7Y1+yZM9ZfK5m2N5zkRq5WIb8pbBpzw6AmGwbkdRvXXsNQ8q0iykdyRCeC+YgioOMlpRkiS1
dDgcLR3L0eLQtEOzxm+LMC9E4GCPDQI6LPOh5yf8GOpp/ZHJcqHw99riipxswYihSSGoNwCx3hrN
1pGfzRO8BDu5SwpgqHh1gbm7DCq+zJhLruw6zb/mmHbpmEbRVT9V1nOvmXDP2z4qXlMbAG6NcnIg
ndpbMesaBZM/FRC8vbqy77zKdus17sV4betIHEbVDcWmdWPnOtMx1Ptu00bXSJXp7ZJML+IwedRb
r/uoSlE9MkQKn4qoqMBJkealtdz5lNuZHR1OkgfyxpancCYIrIwIWN/M2IlfhNKcV7rA1hfSNFow
jmhtSQ0FGtpyhF/MQe5KXpFTrVnkTSDN2qEmnD7EAp5Uo2/jA5+y0Nm7FsG0TWk+anZBqPukzxdq
HL2X1BCZr8sWVdjsJieHNrPDHKPDMlCp8HWhycIPoMqbF7fswhNhsg6H6iVXQcYBkJTeoo1hodv3
bF7l+1D21bVT4pRn2KCZq/ofmHXCIcjItC8J7R7MZ8go6N3oxBEYUR4MiHov0XEQycqy3+zMqi6u
GZehS54i+l12gkwU5GhR383tqLxNNucuNwdWqW8RwHohujE/WuPsHqcw7k6JVdVvaL8ZDFZGZzZ+
Ck9+IXUlQY3vjTrk5ayoLlgwXLA2hN1fC1BIVUCZPEGmFA1VNAkLKcaAJF9J4vidvhmpGm9oWI/X
uh42d/Ygq3e76WFr62V2WvrQ+YBo58JtqevzyJKa5gtjMD+Ak1fvmchGMPpD1b/AW3efU6VaicVO
KgfRX4NScR4ti4yZ0nQOvKok2jMgvW/txkhBS9qkAJCjpN9iGbUeI1kUb2WkHg1iVlD9cyKBFLqQ
7pZHxkTHvVlz0sf5tWi9GPcHvdOe8xSqP0nrfTm0HW09G7h+sacM4Cb39cABQ3PqRT+lcWMVWKAN
nXkDqe6X89TZ1dZm6soaEZXu3gQZdRan7F/IZu1uPy4Nrw4UawD5wmWzEW3GILp2Nf1iaKyJsVXZ
i0sCbmnYya6bfduR0Wuv6hCHpGqfLWOu0y1qdJIWClXdxjwod2+5rfXQMiCcdzpRv28cjSBUeivz
O/2O/86/o8Dr71hwJsbzvOdtTtsAKeDaGVQtLHHplc6X/jthvObIfxaFJvGL3bqzec4YRItG114r
De8UyfmrUrDFmBwTj0dpze+EMxLfgGGCAdy1athy6WNPzHHkS5Qv+ZuKxpCWJRmHsTMjFTGMczxW
KPKUayknMK0VqS7pYItNYpO3SdgsDRMDITChdHCLyl0dmTBme0NW3c6KE1pnrZF+C1srP0orgUOd
Rx1mFanrCajysPmmZjmz61oG2z+jm/ksy7Tc18fOeV4QuW8YYlC8FSossoPKM/MtzRFTz4o4JJKN
ZiOYh6IMzGxw/Dzt5r2DO5hhnlseRwgNzU4yTLsmHIhAImX17CZt2H5b0trgiCc09QQtvdiOA6eJ
Kq4/zMHwzmzN8k4paqvrcTG1HCU41dqsWnUxzz2Bxk1CjT9j48HYvtGY9gXUNnhBqZqJwHIHEwdW
nibXsWtf5cx9AxE1awR8YaJ0bbXpkKKfHfbM7eN92VqvdqXPt5qTWt80OCQb4C/nszCqN5AA6QOs
7RwP8lh5NH+t5pmYz/JcA7x2mWO4vY0wcvxGiLEKLf4sByFjFxUUGzd4L+uzBjXOdImyvHHXmp7h
KRXztQT/d5V3dcK+zVH1ajC09IFAULbSXwsmrL+TSyBBYQqKhQzhzSd9D6gkB9Hw5AYzkIMrj9g2
vGstUwSdsb054ooJqckYjAMEfxsXthTV98W+HrI1XrT9ltWt7btuQbMTt6KflwyYyskhk5ljPPNm
YVyXEaaqjShQ4dJAtcGaOFZ1Gq10ueja5LIVRHaPNr1BE6VW7vdjhsNs5ATMXo8rqeozEZBZqRFk
bbhbJ2Qt61VP5tNo3089xYE9zsY1ecbf0rKyfE0O3YE4DERe0KMA1cerVGpyzd/cOvFXGaHn0bMl
nAfP7BrO92cBTcGrxO2zOK2joaRu0K8ti/AmNLAzIS1IlsYZbYbpMXc3ZrBHqPrnvUc4dM3L1CBg
2oa4Q6RfEIvgbvrC2aWeORz1ClBPNWlnk95T7+YZB2AzBQuT4hH59dNfhaSfXz2Ux7aHDtpAz+Cu
yrmfxDIJe0k9eMoLdFWn30k+C3l+yxSfLVp3S9icsx3YnAGAtPHJ0PX+nYlXf1RE2xyg/25to8z4
iQEBIosr+c3v4q+yPQ9xpuPyXkqywT+LBCN6eI5B1G2QGTSqGEVG3rkeluo3l/lkxV/lp/yD0Wf9
CbC0G5+eY83A2GrD2gsYf84Z27fEETqqfjtNufNVUMCzRma1XxphuQ37wblNOIROpAg3hIp3wrvK
ZxeSdM+PpSb9/aoze52MiHCB/JTo96SdtI+/eXCf7w3rtW7Y9mqVtlx6P59kmsSGLzQkePeGVrAo
ELdsg4iiOZiGWb2h7289etlVpSfVS77QPWP+o/vxANtkBl+P0zSZ3+zUm34wKf4j0v6NSFt6uska
+tND/IttPqhef5Zn/+tP/BBokwCK8ciGA8F77khvZVuju+j+57+l+YeDOo9XU1j/QDX+U6BtoN1G
CAqiVgreAVSa/xJoGxaJoki6MdNbBn8dmrt/A/D4l02CDwZh0kUsTWwpUto/LxNCUrba+TjuKHgq
BF7EJYcp1j3DYBvXinT6jQj5L8vS9+txQRtxNvfjE20ij0xOgLk+0i7Dh41r5APbVwrugUL6p2dw
/WOX/Rl2hKD98xKIqtVdYZgs5La09XV3/mkJ7B2bOjOOxx3cArCVhW3XK2zDQEci6ossjIaLfjHT
IBdduY2w1785eTVcM2TKjuRDYXxrtMw4kaUCaz/rW1aqzIvUk5WnkG4Rz9iXDrboU6+L9us8IvLx
W0OS0pNObow1cWGeSKeietfIMkMukhn3hUtJuDclLf+zzlL6dZKLNvLbZAmJfJHWe+fE1Q5mdLpm
7DC+6SctfmdIRH8PY/O2CvPl2mvYtJgVzFHQDD2dnb4bblIEV2cNiv/h0Fj0fQiyYSKz6SXmH7gf
7KwCVCeNuiiX0SZyKXg3WqTJoF5MxRk9T7XG770R1hupkDjeTDmojwKu2Um2zlFGvA8GIV07TZbn
5ezcl2j4a0YUJmVfpC1nWJnLa9ZVCEiCA2uIZI5AsmetoL5HnniTWgvhXsxQ56lXJItirm9q2Eym
p6nzGTaTj1N1IIeWk2pueBiFOL/QUsnsbGfQNDxpc/ucQGJmDG1l27lJGG9KRPTTIKHxpOme9oEf
xyznpsGY0NYwyYboMrNI3JBHuWmFdjs3AzsbB3vHIDoLwqoF2dc7MpXFKlObXF4pZHEGQK40wZ7e
p/wL4zipj9WhzZlVDTmGK2JYaZ9ZXFw4BUBoVwfcSIOmrxQ/HfwcVKwXRRllW+FEX8eQV91oc3eL
aiZIRv2mytTWXe9oZuJACq34riP3xNcn8Wb3pPNlEvkaJqvcKAIsX+6GGIOa3di8Cc2MHLHCeEud
Yg/dt/Gx2QcQ6z9Q/We7LFTPBLx8cGq/BGn9gYvtvOiiU1RnBt3+FbASN3cRBYhmoyqcB7yUWdDB
rYpzlewIouS9g+BN0yQkue88NS2oVykF5lXTEfCjVc8lAxF/NMGgmWN+hgTv3emp0bJJOXuMfSSp
IMPfeBGwiqEbvR1GyGyzuCUnRI9I195yL8UcR5dmOH2Nw/ZpioSzswX9n8zMGM2G2n1oRuf08HR/
MSl8K22V50jCa7Ow3ExORKmGZ9VR4jkjyygOQ+IaQi6Xj2R92hYyGa1DYQRKkmSwDYMWgpQwvW9W
v+yxrbphq1p79HmwNzEuRj+sRkA1ed5uQAiS/t6I5b7TQNGFrbwfdb5pKYvzoeQ5WHr9FVRz9UPc
/J/N9f9jcxXrCef/zaQJ+vRVvXafN9jvf+pfG6yFGpzBFL5eFFprAOaPDdZx/4BspEMQ/8cOy1nr
nw4o6w+2XfsfPBrDdvhDLQjP+H/+W+h/wFs2SYeDam9gqrb+nQ3283GOTQ7EAYQljp/s9J95ip4g
n7NlI9h1NmscEqt5foqFM/2bZg783Q4nCaxW0mHs+X0v/GmvazGuQLsrnZ1jZcOXQdfcVS8aITru
siGICoQoPz2Fv9lejc+17XpFSHRYzzhem4b76WztFUvm9hnTSWlMHgPMQmcJ77W4wBwjzXJbOEVy
58LAOnShe9uPukdYEH/qSzmbRqA30HhbJzZPRoOYH0lNevLmfLwALrGcG7Clfofl+nzyWD/vetKC
QIbtTZfrg/rpDqUS3es4lZI1sirexoF6oJUG/5th4wfTwCoyRhLVY+JWb6rSl7d+csfHOUrrwO4r
6yMCWvFQVlN3ipibfPz6doq/vid8PBNTnkHViRuY9/Hnjye9Rq9TAK673qiti2QxWOcTMDhb2Y7x
2ZxOLGXkg1ZniE8Z4GiERHWAfRjuSPcQT5Z8EnNUXJEIeWYY9REo8M3ErI4x34DHnIngkL3QfXED
6PvqOq9E9bWPjCwAH1Pf/vq7fCJhwx3nVruSnxDnKwsj2KeDl5sso971pg02LMf0b5PTOk6TiLZT
DWt/JBczA1yo2zutasc3lKYVONii9DLKmzUk0fG0m36auhfHGlAxGgaIhEyznycjg4hjX0iViG0p
k8GXsGOvSrMfjl0FXAHd9UttM5tIQvvZszvz8n9ZO7PlxpFsy/7K/YBGGQDHaNbWZk0CHESJEqkh
pHiBaXTMg2PG1/diZj5kqKoz+pr1W0VlhASCgLufc/ZeGwUYGT7zrTcnw66enWLPfBn2QlE215YW
LQDB4z/g0IkRbYg64/DG4CzsZ48ow3wUN6rW4w/PUbCOjF7UB9tpaG6kEIUYlJn6gakYuweFpt8F
1TKlz/98L78TrbiVF6AVRezFOoXI69fHQuVjWtdmY4clRf5BaMXysTiNc20poZ+RN/C84t/wOa7p
enmH6FkF/3wB/3aK5gpcXdhMEA1hCOc7vI8mKsET7WyHRiQK6s6s3FTpqF8TqrKFIfulpeN0C3QC
GkTBubfY9Vz0l9Pk6s2qm+6mkSNDELMx3f1YMb9ztQZ+Qlm6Bv4VUUMlr4AqDa2ckJQX84ePoPC+
J0Xy4OeT9myITF7XBG0AFa7pskJzmK492Mybrnf03zy5LO2/dk3++LDU3JeGCTXDH//9b4tE7en1
4F7ewjZrhqMsLkKySxNhX7Ov3AGXh7+M/5Sub76cVOPJg6ht2uGW59U7ehneo93aMwpCqb//8/fw
vVC7PAiXFwsYG75AaotfHwT018WQ2yPycM+01xzZv+Jh3jPTnAJ3Gn5Tpf2H20BFiFOVIhPe6HdX
ecUGNXpzZ4d0h9xnvZox91Bp3P7zR/oPK/Ivv+XbMpGj+3VaoewwE0nySXOsup77EvmChTN488+/
6z98IkaLFohf1n+L//nr7QOpbyMXs+0w79zhyRhRUUzR4v5mFzYvP+bvDV9IAxwcyIFlCTd1z/1e
TrPkenOeOuFgq3PdmpKT57xFQgW4/YEkvVviVtZiGj8mbDUAabXbxSDXkv0EUpFAeen3PTrQ2KpO
TluPW1d2iHymc2vW2EChkoc1BdxKBwNVW5M5r4S/qKAgoCqFvPPPt+z712PTZrDg9pGQ41/OVbQg
/r4jLdZCWJGj3LBh26FXnHgrh3iagGmR9ptF5t9uG9y/y8ZnOBxgDNv79nDHS2QiqKVgc3MHsdWc
aTtXX4aDVMSUizbqd9xq/ze/lKPg95eKaAtOAhyXWNgwEH//ukazs83CGKMQHMID9WwVConJ1I+m
8Vk0FWQxuLNnjEx7xjkvTIwAQtG+fk3lRRurxwfOPigyPYxPkXPX1iC4WFtIGVb1Nu8wnbVR8hKZ
7UvFZCOhhlwRgwOiriDeqMk7pm7jtIeIZa2U2+p3zJ3oUJBp5ydUSKsLuWuV6LO+UaQMEB2ODAEh
yTXDlnxD+AazkQgCkKiLEzYSf3XRTLMPnGcI5qy5+8zy7qVf9beL82rVy0cJOui2XArU1bYtn1sE
4rdak5obRmMyQIv2R8p3sWL+SFMkcUosyE2evsyLBhMNq1i89qd2+DBzX22tGIbJqsAJ8zIlprfx
9eIBIeWd8tAUVRDopfEeMdkK7aigitdk8ZPgrgQ7Rm6rDXPIjAkqaZNTbkNlmlVxJK03uzMmJyJ+
Pm260KBjsDJUb362IvMIeXCJVjAkKSJJNgLAI/Q1XEbHLYKITeIn6jkiEGjekMg4r+vcuQdRXwVd
c5milX2PNnpp4vmgyDQ+RfEAczWZMdHoITL0HZlMy9bMBUDFh35AUjVZQTeb/tc8iuts7B/otHwi
DLSfEhDaG7GUReh7w48ibq6wG7WblibMTUQj4alJU3EaMmVD3aqrgp+VMy/xF3/li+ZU+Auq3967
GTL0Rl2NHiPuJaMxXDTO2tC64Rav5QTGP7fvusFjnNvytfUK4MEqiuWXN3Q+08mo3enE851oKxjP
JWJyckkF4eld1W0SGlB3VVXUwJ1ymi0Tcbs21rpmDiCdzI+5XLqTiOb+sTZTJDeamh+0OKq3jMGy
o1Y3crdMSjtnHLSOjGHidYoxNzCaAmPz4tRH+t99mDFCCinnjVctMtQe8Jp9NFXdBDHf3m4hMupE
CsCbGhifppdPOIJd3KLLvNOR8y3VAy3TS/sao0g030SMWxlNpeO+MrLqPYqM+IHJlLFqSJHkAO4Z
gdfQjdMY1wcdYLKAOOIcb6u0T24zxseMHMRAr2cDVY8qvzy9nTbaYM1XpLKgB7G9z7ixX0iDiLAW
GRVCQGUm0w+3daudJUdtNc/MhmMxwW5q42VPDw7XgpI/VN3+qNG9pqvONtRbjm7gSXoZYHwEslsf
DQ+S7dJcU/nAGSqUHaBLdHapIgxBaZ4MbWhxa7qwJUFbpXaTcFVBbUT85aw8s8JOu6Zoxj1yBCfk
b8ktXdnrqB0+hS0PeTXBrEt9p1yVupgI6Yj5CyQm3A+T74UDqSAbdM7eRVRFo6zSvHvRz2+tZ1fn
XI1gsXtWBd7BJbBEMuzzwr5bal2c+rjgOzF7MjMxcfdXltGOvFRdvIn9Ec+MDxPPrOprN8WomYkL
NnmmlYdGPn7sxB+9K4Sgut7wAaumXc82qyPIs5kNoilINInT17YHLgPzbjzS4MxP9lyN6Ma0IiSe
pgviPN3i5nmB0NluJLQz4urBHnc6yufBH4KJ/vMReTdh3dpkvoOE6tEYNWnQ+LEeJJls7kytwGoc
UdoxYyysJxE1iAsFoM4Q0y86/OxW6/T+LKP5YCBa7EW7J3L0IUItySeus5PQJ4O8h8T80IkOveTo
cNL3QOps09YkIEctuBDobd0qE/NnWcfLrpnEvYEszS4tc0XE8IAwoN+WS92HvjLfyqE5xKgkcysD
OWQ5hM8O1nasHXOrNP2+omsKd3C4Ke0huh57UmRWtl63z91SGOh9UeL/lJRnA47bArtMis1rha7n
0Bko1swCbXibyWO/YAjuzNFYx6NYzLVbYQ3WGtWve0xV2gofiLVxUCmtqzG64tgBYCRNs0MltOFO
M5IGVBrjb9R59ZXttNXZcpoTeL8Zo7SvvSaWql4XpWdbI3KTp6gkzaaDJHBNRLF45qrpUveZfSzR
BG8ZMpNy4dTxq880+6rxdISoDjunMueG96L2d0PS4wclK/h6ZqQWtBJrWS1spvizjcdOZfoNFrp+
0xHZzjOuTsr4ymL6CJhw5/bB61zsTkZc35ljPp8dmXmHWuWYphc3vTjH59AibvlHufjzc5/TA/bN
3DhPsmnoOVvshbGZbi3VJT8vkhmcqW2zwfjvXuyk+j6J/eoqJWBklcTznY7GM5gyIe/o7JB4xKe9
HqE0Hrqhta8j0dthHA36g6nHySlPOrFX7ehdW76Etuin8mZAZBsi7BqOjZt+1EWTPsR2oa8TS+o7
HtGw6ds3r7DRLOScF4l5uqwufhyT+ZpDHAsX15n3rSVCYkCu6v7Wvkg8Wqe8HfOkWUk6wt3aqJ0o
1HrPvRGkLJ+Jg7E/7KQpnt3LxFDTrKc5Im25ihFRl003bO1xQB/VLV26hZ1TrjTLKa66DKu9Lyy1
QZYkgkRPCaTRVHOv2QNa5QlI6wAE0473RPPUG31GLpYbDVlWVsGDH3VKI/KxdKx9KodlX3o6wJfO
vfP49yuGF9qp9NP8ZkmaD6c1jVDPlOAEnKvyvlT9UWvFDgbJV+mpK5kt8s7OfCeAIYP8Z4zT/SC4
z9JNwC4IXEu0o25aWYcDHh0OatEGLcuIVNGYMRHDR7wdDb+/hewqH6nw8HKXeWJsfKsEIOm2gzpa
wo+eXOUa56Lo9Is4rL4SUk430zS1H62d6HDpmjh+GEsuRtMt+xMxnI9dLC6vMtIEQzPm3xlkrAcK
JZuxSjj0bSI7FVgDJjG/4tx2r4uhxdgFy7cMle+W57p0y33cpMNnPk5Ov0qFVh8klrxti34cbbOR
GI8aWnFCHzPfCyqb/Xqg/cNgBpLc1kI6y1bZN9GDVRsEERn4UVbtWMjt3Ag755zZ4DluYhr3CRk+
T5c0+2eFlYLEHcYWZIHF9MnBYkBaWDFa8I9ZnA0bM9PGQFAMAeWNNPsFniz9vDrKXxyzd7fAJ5Cq
ZxgyV+NY+Dc+pjUuXncwLPgLppOhBnqxyhttuZ0A/HFkUm19W89xe5MO6Rkx7Jvlpj/6wgIzF8/m
lcJbu+v75blnrr1ul6K5qK3VrgckF5oFElrvst0QCelyulVLc2kRMY8vnCYgzqy/NoUyNviR4o2L
OeuqYBqFbqWIpj305E1UiCAtcn/D7opnX8DiXLWE/By0KamfMHAd+ugDof7ZG80H5Q2vBsIy8qN/
2ln7HJsWDlypFadmIJWl1Ut3bQH6gNvmZV2QE4YTVLqB7qnCKHvE3KwCF0norsi13qAVZXJO8uzy
BlxBd4/IGEpv5YmWCYTZH7MykSgtHdt+RaUMn5tL6OGE2vKU+9N9NBVih5usfJkWfUFsPepiR2tp
/BzSqLtfkMBt56nSwrKu3R0OAolEm23vo++9gearEWGKRRYclaLe8iZ7zbpT1cmT6bgbmGe9lFWH
rcMAJuBUspzgLl6JMqtPTka/Y2X4SRMMRJPh1y3HJ10hxqRWGQSofsnY1EFD/zHpSTcjDXKSL/7N
heRZkP3XzJrDxuqo2FovsEmv8PukIef/Fou0jwLcotUaKtNnhIJxwV4lTuVucBu6aIX1jiXXqsSa
dAMNBZfv3aOgo2BwaRo+gm9F5NC5+oEOQbVV4M54uXsf4x+2PiuCkpuO6wGp40dH03EziU5/5R02
w1mMJO/03nKnDToONfSFHIN7Ve1F6Wk3egzxYqVPKrvJY0KhFIePEAtEiSg0r7Z95CVBwvj9UEjv
MR/0K7Noq7ell8lWj5v4Hrhodb+Qf7bu624+JQXLaUsKywlWn/4ztnP/jLTJvDFdnfmVkcv3y1L4
s5BVfN+PBeZKDrnGQaXANLCB+4+YG7oHN/MzP+i75J2FJT/Gwzg9whxIUvLXyTg1mrb8eUm95zPE
2S4G5wmJIJFHY5HNiTDB6qpKa7Enx6E7Jgaq8Uoz5Y+k7km9MsGi1jktxBFR2KHgwPaj8MHJoPny
8y1nHpi5JN9qoVdMKJ4GlFaXLkNyS2NueMosGnOTBvm4Qhvqr5xqbE96G7u0UxY170rOawcn75zP
0Wigai/wl06CR/XUeOlcxittNM297VIfxznV5I7cQrgGJaiATZN65S4miOlH2xbqpUlxKIRCZ3Cw
qpqFsDgO5+ljj7oiMAl2DK1CAyCAzpXCxpOFft3EQ3zUHL0MDbuqESwqeLDCqCkDY3XHNpluiF3P
BW9JA9Z59mbUm2X5qAHfWHu5ZwdNjeR7acrumLnTyY08l4d/gGRS8xE05Kp1+cUfLWc9MvtXYTZ7
CAB8DRsmtZVnn7VYJoGLyp25N5jXdePL9tHoDPqVus75jv/cvOM9msJhGcxbAy0r5T0HnmOktOHV
jiMcvDDpFbBKG0N2VVpjcka7QB5RQwRnoC1z3xwqCzWtkvOZD0oLvVaTRlFViC2b+rydXKfYZULT
xVMRRe0Xti7C6U0ad+WVaRX4bygM7PHgz4ljrpbIcOcgnzMF3Uc2mnar207nHYzZQXw+2fZzXwCl
rxdPnPNF+LtESzCWFkPVeajxm7TibccjGlJnjrddMzYsBSjIJvAaiR9vsF3UhOaR9UEKlleHc6tm
85ouNaZ9B7twCDoX3ow9Ntp+auwKs6bfPgJkgq2u6c5qbFzqNM2bvpbahxZL7T1eLRjh3myjHjaQ
nNgiZ3ZYiVpwENeFWyw/TPD+X+BinBt9sbUPPnrz0kdQclZeVHdXbIUsA3w3YIhnnFDqaHtyPraV
49VgP5Z8M9iDfk03TLKeI1rG4CjAKzRRVd8mZCscK7yVPyktKRfdsfHecNhlNLdZuH8Qse3jVhcj
0KPYw9yH4h3q++jUL23jV0FeW9EzIyXeqyFPKPSS6v4i+L6OlC2zjeaJN9K5QjEiyrM6MA41/cwt
YNKrLAPosSy0wFYlVJ1zMrs58sip2wi9lgfgAcYtKglM9qnqlbvqh7LdzOXSEcgCjYqEFdWFhVlh
voV9tkvZvp5khvOWFT520IaPRnulljR7rTguXfgj3Y5XVR4arzfu6jbVoAygwEdqAYBFW3dTBw17
muYIrL+LjNzCZXWTGgaFAdXwmwlBBLX9IrEMTp+tMXyqVkPjiqEeLa+xF4aLWQ/ezcYaWUIru+yf
VC3llefX/jXIoORzcAscOEuVzEc6W+wMBQfrC2rd7aGdGLRBFX75Zaq1T1T7sJ2ZrX21pj2275df
Ua4sZ+z884R52g4dZKhIEAbyd1Dh6Aj4dDFbqxoJ/tqK+HDVHFGCL0+2gmqxzpbxLdFq5I+DN3W3
U+TeDXFn33SXnGk+VhQk3YRXy89EfxjglO/VaHUr3o4XQm7w75kashIKk2zrdDNEQpYIkAvz8tPr
6cPJrV9YL67yxlu9ccVzy0e/8tiGV/QXuz0zLpzbZSGe2J3WloZoB+XfbB81YxrXnGUgP+eZFzTG
chOXBRF0DvaTqGvqjzmfaLcVvbaNampdDTs6SLOxw84CIAfrDuYuTzPsfcuRVuLp881x1U1syTij
JgQVi7at9DYPCmKG2pXszRoJr1ZudEu5+8o1oUCx0hn3taecd1oZqR/AREcbqaXkehjtuYhUfGeY
9AVJcUDR7/TiJop6cjN5DgE/VBJBcTXv+MbBciymxdDVI0S4j/1DNfjPoybcp3jB65zNql5n3mLQ
mi3IEWfvvcJ7Im68occXwXHleTCc9ECIRbHmcFCTjTmM62RoUHz4/ngzjV5GJICuzaFPDAo1EPXV
yZ2pioGnDwcF7/9dKqA8dR6ptbCZYhGiUT4Wjp09SNkvZ02T7hPz+oqSiIQ5rHU9vl5P6tU6d1JC
34D0eE/eRY8s6ty8hxTgU88m0ZoSqN4bC+nktcAMq0YF7a3JhhJuDo+Kb10c8iNnyS3bNOrcBH3R
WstsEibJapUct+bhJ8to01H+Iubc+NXI0R59dAeMjNuyntumLjZt4vbnDun3Lud4jyCa9shI2WXi
APLtUTsl+Zwem6oC9dkUsAQqlQfjaDvXk4XpecyMcuM1SxrYQ0sN1OZOoKK0vkum6g6XsHg0pmhV
KvNnUjmvPpnw+NmcKcEPMjQwOQhxD8gFXXdzfuMQl7cjRUU/44QSa7xE3hXgkfwmabOHMvZN/BFD
/NUYpnHvKst66PEWkoklllBrwGGZY8Yi7YznsRjJmsrt7Dixk5Z9UYatTPszqGt5Dze82LbgCTZm
QZeZhq64GUsLPIEDBqxvq3LFMOSl95R+0GWubaeo2OPndbe9xWOUxt1XR7XyMS86NmRtWvcznOzJ
Rhg3MHjKEsB55E/mYaPKbAvQhN5Q5HYVT7iQABWW+KHr+83COFQ0Jd8xI9tQn9t3qy2WgxxHcev1
nQK2gNGyxr6LG4r+0xY5XL+pMl0js70zvZD454bAmxX5CjWWELvtN+nskhvZMVquQ73JD55CLVJr
oU/MJ5ER/Uvh2x8Aq+S21yZjD+GFv+3lzqnX1bpqnWtz6XYaGJsVrGvroBpsBhx4mR0U2ypOTxUG
uLcYBvnF7xOvzPECyZqG+UAD7DHzYXTVurtm8LC+AGBWcujrvVDJQV7SSzs15R+iA/yUCfVzWeS1
AUYIHWFSVcCSTFmsmO2bbAeavaltSqDFTvauObf4C/wGampXMsni6OHiCZkI710okCH4uaTQ2iXA
mALE36WcsA1/+lmS7HcoBrzeonIo2vtpI1lzA92V2RDkif1GyIJ1jz0Wg66MzVjB9zCdjTWn3S6f
59qi11LFV7YGu3orCgP61GBo8jXi/+D1VDVmVZKDHgRwWmot8hswjg1hxntbr6mlw8XzZmIf/JpW
BorqU6RZ0T0gIGCDvV/5W9cz9z5Ydunhe29sM2EOP4zjvCNoKXmN3Ihd0U15pFRiVOkDPLuUkSNx
Hv6rTCIWYkT77lpvYi06OAn1yVpmjjG++H6anXzp2oKgJA8J4NwzH2E+ml7n9rCsl2yaQBGa9EQJ
Ol/1kv3QAc53WU8B0hMInpzTccju+85itWXdwNFDRvayGqPSRgeSOO5LDb32da5M+yMj0Qczj98X
q9Hn3NxS163Naso3y4IK2Gtmo9sBWgKXj+CcsY4cqBajGnWJp6lnGsUqTE2SIFdT5165jk0PX8NS
b3V4oJf86OjVRP3b3IrUhH9Rv8Y6oRfMuW5t9ndZlbdCk4c27bR7yxhnfQXYSZ5sDiQ3PHHxCxSo
hoq4WY2t1K9hlH0oe+oDiYVklw+Eh9vR3IA9QS1f+D8HOZztZnpGrjihAIw4ZqQLML8JKIn0JJEL
paqO2HX8taN40IuEZqNEJYzIxujP7N2kr3sZXbI0r4uQMoBKtdMsDE/5MhSfC/z6tQJTiWM5Bp8T
o8J1I2oma9BRmThMpWq/HfGBlt2j7AmbmBJBkzq3m2OKfkDPsxsyQnFMT64RGF5Mk6KtouiZeqHQ
Q1RpTeBCC9wPleh+JkbaFmvlzNNh6VpwQgOOaw6+CWPhBmOsVvSSJS/G1VGt5lT6u1k3+kCn1DFZ
fwpiVvLSvm+I7OGgRf800TWGI3b60krtYvZixaW3Ot0kla0CM5qW59mlaivWjLLobDg8LLeOKp7H
0RAnuRiwMdpOzD9xA2W7ntPxjeXjLZubxaD5xViPI9ECECydff1myjW9WbkutwE9mIZhv5XRraA1
9E5tShWypBDiBlnSqOD+cSe12DXCyDbyR0o4WJ8KE+lsrsfC0A+WrzEvaIfssSAARvX1uLGL8alr
i4Y7KB8ZIG9rw3N3ObOksF9Uu9bnWcWBrcAnVal2KyQjRdaV5LGryB60vJrKZOBBQymqq69ySeDJ
uKTdJPPWNRUWkLwKYXWyZdPIXy9eQgceZi/mywE0kRf3K8usAU7OBeEoFWIUJ7Ds5M3sTbtG1FiP
O1LE1bMO+gx7m9Xs7dRsPsqMfmwwmTwgY4JTflWA/LrPbcOc1o3RZbssyi5ZUYt77cZeAcHEaYGr
0KzziSeWC9flIuItHXmKCUrpXPTf7VAnV0xOGDmYRb6blJ8XgdKhraysYlzOy5SQMe0aYxuYQMZ2
XqbneGbBinFaSdPnlFXxnSwoAx+MYd47JFDQJ57q5GAvFkuY7Q53XcbYbDAjCrnK1A4ENdWUTHD0
9socrHLt2GN2HDnHXA1zJDtGaLXFNA0ECpj1vOJl73TTCsaOW77WzP4paxdM+N7ihYkDPoZQUGBP
vrl3XBxzqzG2t3bLCWpFUWreUMEBCFVMFaFRNcuprD9a2JmfVQaWQbm9dp1dTrzjYiZn9HrVUfgD
GT6I2u/SZXF2vErizqcd9GTFpht6Ptkw3rCU1Ht2tzJBRYCzqaa1laasWzDirpEZwQRzB87OUTMe
WHGn9cBZbtOzSm8dVNiruYKCi1o4Is6UdsNVxBQoqDM/DmAhOud+8ZObzKjsdwPGCbSGpbqQalOy
MnsLqm9MivclJ30M6CGJQI+hd9SEbDwrsrbvDZ7PU1wbPEpSdPQdluoMnqZdoTB3CNoQLapsYDuF
HKy93ujgCctsTgIvswvM7XW27Vun+9GAw19XumCgP5Yo20ABpHziQutjsG8ltLdauh343yp+t9DR
vtiAa29nE1gT40RsyggVV+R4YQR0/WFNso/DncorcDNiPsQAURlHVAPfzlg13qs2ai9ErX3KwRU3
ti/ueKDo1tNNWoMGSu9izbiAelMilYIRrtV09BdG19uaqhcOEYtnDAipHXY81g3HR0HLdCy8eG+k
iXx0G72dLxvRoAeVn5O/o3FnkQws/jVI4Whnu4V6N+WId6E8A1jtbhutwLGnT+4aL+yg1t2YIp+J
O4LVJc2ie56u5EdW1sbzaAooU24rQ0hlchNV0XILTopYO7enviRUi7FzbujPqC67x2wxaUx58BpX
6WJ4+1jBd0a1JT99uXhBHcG98Z1lvm/8pr7GZV1s2C3y0HEBpkLFqalHQXowfjH+qJIJSBFlc9BS
qi9T5vmVTQL9Xuv8jhjIhInJknvzprWG5Uijpdsvcaa9ZlI6T6LloE36V7FrtZjILseNt1OSJhuj
gxFlTv2Hhl9kn4wmyHTXxMe+jo3kOlrG6Y4nMudIbamXyhnSd/yM9NJjudy7JIeNZC31NHVmxsco
GAK6xuRH4q8G/GAPD7OMiHVhuOFNa33o2ntjKtqjRXCffdS9criCYgOE0NbGPrSptXZNEjNBXzL9
bhYxHn/NKYydb8R5WDsdGhUDWobrp+5DNAjzGNcVBxHDpWmTmyPvM69eLVuGmN6SA1ErkJBoSKiW
trrRKu3RLbVPgbTzoai15lz1FtBJYJCXUy3yfysBtKCp4Xbupfsgpmw4a6RnBml6Gmm1bkwr7Z+B
K7Z3tiGmZw1SQJgiRDmIKvHWeGj6Z5aVZyfLxc2sXc4HY5EdRWaZhzJvYWbKuLiTHQlYkT1kH8MQ
kQ434stTxZBQquisDgisdtSGCdlKtdnFa+QfQPfcttkOylteCgxIM+ifxXwvhMZ5rK2xROeckw9p
YsugxC2GswdUZ+u4C8lovbnG6IM0ouxhewlZ74vaoe/jdFsl3P6qHgE8xY5hPNt+XrHWclU4muAc
nmi2JodhAVRGzzblp7rTpqr1bE8mobir3aYNC6xpAcQp79ATCAXx6wvLxwYKGzLMCJ87x2jAfDPZ
GitwpViJ27TcNQ5dY8eTL14cf6BS+vTotmK8cjdJBHDMRaLWtE66rRuwB05Wrcgt35aJylfFnLH4
zVYQF8O1VJJkgOpp6ll2psUNppzBEGnCOnPjOOSVXfeGFQyJa+zz4QJ+MHYohnBJDjHhcBB87DFB
gcBUqFuNE4MsD08x8BTI4qa2W/TmKhfWDjPvtdXQ/Z5JETrT6rJ2rTelG6sDas3EPaGY7Pv0pwsA
YqO5Mr3xyGa+N5l/PdglFWO1YBFyisrY/o+lAgitGN0ThtfJVy2OrRtKYB0CgMy25DK1j3+I8/5/
O0a2n9Ul2rf9n5cf/F5xpQkIhv/16x/bP/8sP6uLtfGXP4Rlx0znBBJqPn+2fc4/5Qf99Tf/X//j
XxnDv/WCIPexEBn+370g/7v8eC1ey/96LT/+65i8V2+v6r/2bc4f21/9IX/9pL8ScsS/MIHgwzAE
Gx02YLShf/pDfPNfZAMg/bskUri26yHX/MsfQmTxRRFI4gdxtK5uXvzVf/lDnH+5tsXbRr/VxlzP
z/3v+EOMb9pHz9ExhXBlFMyE8zKU/lVm2ba8EgDt1TYeC7FK7eKtrL0sFC4utZhQ3w1J3F+g0SFA
+9lbZbTgq4jHWzOkhAFToVbyyjZAsWivozF5Gmgd/UYI+j1K63KJxPjo9M1xoxIV/u0SxRDh6syk
2nq8UmRZ0fMgP4ASNPavBzillpiOTguxU5q4uJgNrP72Lf8nr8k3J+dfF2ARJcStcsnP+fUeAU6o
PUYv8K8lF0CC47CuDSY6IonCmOUUXHAUgZjtrvr4siUbXMc/X8I3MewfV+B4+GOJSrnIr7/5VlsL
OFpe5M1W9ZJoUcN96GP8cE35p836z5fmP3zU796Jv36Rw68BHOGb4ttHJQyz7Wg5IlupiHfuZOdv
3K5+rpqCLuDsJ+vZYV1vEE6v6DfAiYt0IBaTebLLi00CYQKiERG9tqk9hmoy9bOA276+vBfM8ye1
78tq3qrCyhBhMffPMssN6Z7RqeiHjuG/xAHcm3eNFnNQQrsKXc55gfSx1xUxxFbSRFeyxPmoAcbZ
tvYS38zR4zJaPK3F8lAZnr2xphF+cpt9GWLJwnbI30qNKNYcJvji+Z9DXJzF4v7452/omx+JG8cr
odO+J9ZPt8Ae/PqMuEtJyGjSYNYREUXFNL+kURR4aH7WkWlCLI+lv3Kbwf+Nsvx7BBu/2LLxRaDy
FeYfy8ivvxh1k1szuE63XsthBj5aunc9enGYjM1AirZlfLsw01Mmx3Xa2oy5acy7XskXClQIQhpl
vId31XZ5pwTEpcCPUJ5VzThvc6b/wBlNvMcktf0uVMU0uba/6dUv1w6I98Jg0CHju/q3x1rvfabz
YFG2mNfKAEaWjSzl4qAdgFWiewozl/jkLuqKI6Ij5DjGfszoxF/kJxE8/T8XIIvjg33tIPlaeS0O
Spr/beCiTKHDB6hlEsv7f/e7tmCEmRi4WZCQ87Nr/F2aTiKlplN85dtRU4JuE4uCB4L5zxutnBpN
a49XF46W+bv38z/cMNPC0K9f2Ov/lrfXmwRw9r6CHD609XqAPYZYu2t/I01nR/q3r0WYBpYPlFiC
BefXz1fSfRJak+fbeHbLraua7EpF8dtvbqL178sqjQffNaFwGBbWkm/fflUoZDbpQEKumX/Rs+Qg
5rRIGSQZ6Cuy2/hsGk2DaOhonRhLdlXY+ZchreUEUirk4Bn/H+bObLlu5rrCr5IXgAtoAA3g9syH
PJwpidINSpREDI15Bp4+Xx87jkipyHJVLlKpuJz4N8/U6N6991rf4tzBQGs5dCdwbhmEjKBwyxhp
7Yi7gN5oGuQwFf6jgYoPBrB3Laa54TLS+xiG0bwNCJl2hj122yRDtoE2b29O7G/k44h1UgfGtkz4
x9rYtU44/Zlw9mTXByH/faf2EVgvcAOgmfmIrybjcIYYVCIJdiAdi1UcVM5OiPbz1BEML6qRHnOX
PudL8oxg6y5n7H8R4rpbOVilG6Swh5ZJFFzF4mBMgcllygx26H5ekC2BcSnZc1HB6QsQCbvn9PMi
onUwVNmzHFiDjoo+1Uu17IYseIxZHGujU7xv+w6pO+QR4rW2tujgovK0j3r3hkqCuHjCi+0YjQ+W
BB2x0lOxLEid75Y5sy0LEia0tRmHlL+x61oQa5HVa/z23xjNAM/rc3FPPAbFQ7JwEC/SwEeRvoBl
BNMTEQsJV3EiVKdDj6l+ScXpOdrZiWnFwIiTjXvsq3arOEA2KXHC67wxnjwUqRsnbIJ1ENv+BsNL
uO4dYG7sZcVe0eiytYaQGUayNlpO4Gzu7FXu5Cc3qx5SK3isWyZzdY/OV4V+vKf4sTlYBgciMj9N
0Tb3MllwGCBvpMDYh17x3Jhtc2z7CjKBlwHZnyL0bzObJRw/iVRD7uo6e6GhJrSf8RJR4+WSqxcc
+cF+gn+3iRw+KLI4d4VzD54XHexi8DfC9K5xfWLNrzkDoLHiy+9rcxNWrPNSH5lzSX2lLF4K6eEL
8iJWLL/s7JFngFZ8jdHeJd4AimMBLniFnKLdTGH0UgasiSJmtyar1efCVJ4muKArVHwQk5b82aYJ
ddND81jLAWk22rzdAmhd2ib5KrPZXMrQezS7jM9IeXqSKYSF8w9DZXDdSgb3IHJovOi1O48sG7Ni
lAYGEux9nDz7KN6ImLLviEEL9szhnn1zAMrICrc6Ho3zwm2QfNLVmvCMIHywcrmfdRptQCFD2pD6
5yOQs8KY4N8xXGOqP1B8OnhGroqJH6tPdLVh8PfwFNgrH/UyjAV+/tbkcan60lwJMcSn0TSMLXaa
ZF35LNqyox2q3zhvlyqmL5ZdanCmBQGfW7h9+wXeRLDrO5P9upp41Ly4giEekMkz8Nt5M4KKhewr
Cy3xxs3xuiRdkK7TaTgR3RytU0VCuxYjrHI2MAO1yCrwwEUsfA6WrvrnD5yb7p3I6ick/ziYpvSl
lrxrJgu4Elhgvadeuok62h/YCYo04gVaMAadpj1UEgRPY9GF6Ue+RC4D1EO0u+nABYwMXetAQCuj
mdJXG9xSPpRlS23lUj25AtGwPp0g50JPJPFp51pOeCFk+jKbYXgrSLjDOAJilA7MtmkL+NOTQPsa
/CwyNhNbsHIhvqPzbJNPbctzTDP2yR3YaxXz+Y07uXvQ6M8d9ZXezmYSJwg5ktfnTal32V7irn3C
C8LB2EtCtSXa9cy9475DejlzNu7q6fNsJAA6bLAX3KX/dZuIdcEiE9sgvZbFWnrX509IWvyLfiTq
xL3TRwFW9Luu4o2df4NKBES+GCOA4xBw63hCfOhCw9DLpoBiHAqX2CyLlnjqAMNroFNUUbZtEErQ
rWYxnnc6H7Xk2o39x3J22VGhmmzZTcabFj/idjJ4flOezO0Ia3oDMc84ZDrIstO/zgSOc+0u5WmJ
CnNDFBb/r2qZLs47Mf5UCjEZMf9O4FNwxsMQWfxHL6tQWPDfkLwTf9rR2tdVDD9An/TVLin7ZWeo
PLkuA1NtfBcJW4Bod80a5s/rcwWDKkolXTwr6UIaCbdIWuc9fG0exJkvUq+waeGfjCvKdHaaHdh0
Qg1LFl0TsPFkNG5QVrH7+AM/jU3X7/zrtmnzlCAFIVmDXZ9bULGvI/5gjQVod95/Ge/reWUMWUVZ
9soIyvJQpy1yH3aAJuAFophV7fY8QN6iTpIcJry4bDdg+9TmXA73SZpt+xEtpBFm8ycEjuXB04pG
G7AtIkn1fF4rRZc/p37MpGR6hLY6c2A0TCIGvmp92oQB+6LqeATCplNXiNHURqLKI6o+Ezg6Ydwy
Je1XPSGPO29Y0G9K3EVjwrfK9IP6HMBhWtfxARgfB97c1dfskvVl4sTd0RlxgbRuLmGFxdOGnlSw
U/2o1WdBuMFvRIxNO6IQD2PXPEAoj55jD70n5bST7AYUY8zKk3YfeHT2kgkSeV0+hU3R7SZuVj8M
BlcPdpZWlwA7MdlV3UOKm27PPSdhMkYPzXQs9Eg5qlfl2ckm7q1wY9uE90RZvXMXrklDGenSoBrK
Y+PGtKX7nL79wgTLGUP4QXNdIjXmWFAxdXK9NNe2BVLYI+H+AjnOc2+Q/Jp6AoqrCu01qc7tTo3m
ckmUkrkiR+oZQLq4K71Kbejg8i8++hLXHeNDYOT1deJmCiV+mqyxWYO/cTAcEDYP1CmLHGqUGkNJ
DheomPnGBtH8SpHIbbsBv4xVk/tnopDbCs+B9lw/ZTrMLdATzIF4rKuBtDYManbLkA0pS5I6IS+P
P6ro+GOOBRc/XgrGG5bV75revYCj9C3KovGX6pqYWCM/3IzwV5knyB+Vp2lTM5JYimfDitm0gPkj
T8J2Z9TEMLIaGoLoigRKj4nHwCnppIYiQVlFyJSR4kKy29HEBYA+wJS3xkjuQsMG0CKyiGiBodHh
N43iK4OwpqRk/0Xy88kyx4tGEtHuMx9hKzd+VZLF541CIR6ySJTsje+oL3Hi1pZ97BbnDvgsoV2N
eWoMW22KiC3TTPt2w1Df0A1tGpJTzlOrbz6LgmNlLmxLSZ+8WFMZIHmnfrJQhBKCFs+f7M6p9S+8
ECfBCYQrIXwZU6Okz+1nn4u6dy6dxXwaBFuFYbVPRUiLI1d18yNa0GdwEvdbeLMdUUMUwfFUL7tR
UTGZWmG9Sg3BxqX3ccdQCC055+hZr2HNdVuDsNV9XzX8t/SN3g0o7hiPEGFHV5RDxrqzJ79ZZQUd
7AZnxBqVD24CsvuccXxmlubvVTHcxT4rJgzyBi4qXPWFo0C/zwH8kUX3Yd9qSDUZ8hO5Vulzb8XP
yi2fyDqiRnbNu5bxAWNAjxUat9PFGTGWmHpo5kW3RTaeMO994wJZ70zs05etKZpPkNm/ppxpUUdu
rJgD6BFsasTeqat05N34VFWoFjqqa72dAiRertB9K5hMQIpH138EP/RczfmJAoOJhzc1VIH2VdVQ
1+AYOTFZktwbEeR3YgTpPOUPyOK2g4CE1omMz5o0SFDGNL41G6v6mph89zgJ8KdCacocVliVsRp6
ErMosPhOGYzzPTue/7m0i+YyMpLxMa8NqMbYqTZCN6+SaF6PSkFf9NnXwpY6R9XxdG3A6+5XMtCb
dE7hNAwVtXfboa4cqTHFMlT0y1McHE15gOi7R1bUHq0ASpURv0Sc9igYu21buNeRzfs8n+go/BLO
iPS51ms1YplcYwzilkdNwOVabFN7NrYGb3jl6DOzmEsS4vWtZZloECHqIF8nap7KnKNnGPvxJqp4
pIRr8mMDzN93/RxezHQmqXUyVHSyU/d1PxDmiJLbiACBTV5MdceNfns+5Ro46qcEb886cGYfDU1g
naKKl8kEa3iK7eVbDqz1J8kxKDVo69MBYRaAlTmCMMNqCuYw/J6NLX+lyV/MxTSfcSMVp4xT77z6
uW9uOy8F7u4sLzQh+FSZvPenZC8DcVdAcDq0ISdXioBUN6pcZ6kPfRQMVy5t+9WMmfRwRp71pSDq
gBqKTSGq7pqgyDnMgoohGuNbHGDXhI35aNtsBVqb0axyuwujXxJ23OpyFsuydWpeXlOp16lDgZUY
4iZrBjJ9HETkRjxaaP7oSrHaOeJ6fqKhcO7OZ28w8ZzGTvj4/sXf/Vt7QfpSmJbwpGm+Tc0eUgay
BLSpPYpzLuI2DVu3657qiqZgapKLhEQf3hppPwzssmUXi7xnq6k+u/UXv64eTT+xeIa56Ooyo/dM
g8Gm96iG6NYU00I4E5xNkcHZjEeT0JJxuJW5gfrAhxEuuujTuZF5viNB7PmJ1yR+kRO6d7eTd5Za
is1odNZJIH25kNWUnybDoqBDO89q4A7UAdDjvqQE92tXq8RNlNH6EtZDZ7jv/Z/QfJrLAtn12ol0
FRhrVhx33o0b+eFRWdb0n7fImQjYDAqANdIVeAtLSIk6yCOelH3YcqfEHhBetHg+DhItgcwVtvHz
xqsjTklY1bckisb3f9Y/G6AOKS102RwL6Rr93NdNIzzAtZsI1e9Tr8VpJJb40DbUSbFEeUYuL6GR
Ep0S4nP7g3aVJmy97VdxfSfj3gYUI+glvX5pnmyLwJ+g3/v1NKxw4Hgb5BnWfTLKfOPgLfnWm2m4
DbWzCQHSbTnkw0NQif1sT9YHxJw/5ynkXaFmATvkeSzvN33gXvRmFZej2jt6E9ANA3AilNBIwraN
69wlEbvr+9+8/nhvuqj0RzEfMp4wkXy++fg2Ek+um4RktaHtb7N6JrE14t/hJXqcWmR1Q4zPrhgb
0pWjIT+8/+p/eZqZE/AGAp9fn1HW6y8/50u1O5B3+5qQpY2iobMuuFB8sML/8rXSZRauBHHylzEV
p6lwmZJ1+8VKHObuHdevdPqGgOy6DYi06rKP+CNvYTy6OR3YqEQgIAmL7v6bD1aTk05Zknf7KEnb
y7CjYZ4AzTyyJdDKGf1HpsvFqjLpnmnMYj5lpA9NGH+w/QKtHpKfS/b5/e/6DTDk/JaYI0oXEo9D
E/jN4qoMKImBWfGMqfRbWYH6+Wfxq1JqvGyqP+DJ6Cnjm5UFS8bzIKMIP9CDyNe/bQ+wWIaFavd+
4l03AHs2hYFctgzxdZtUzSA5YXtk6aeKxOPM9D41iTRWQzJe9UJhihsJawG68QFLTU9l/3hbgXBd
ljqPtjyPRH7DJNn+VM2RF7X7nCR2nI8Uz2CxaOWYBQ0VrF5oz04xTbIvdldVOveRijbOaekCkLSa
icYUdRxeZwH9vtQJt9K+Hi18ql2a/pDtwe3MabM4lCCdd0TicieocfoorlZ51Kdbo4u2MRP5tbdE
8RpnyibTU0cl8ToLU4cM5x26OFvfrU1TIAVF1WiSVMhXQytLj+3OB1u6mM3x/RXylh3OEtGTZOjW
NvheEHlvhqVgSaaOiyHplSHXBdzt0drromGVjTl9MZSbOF7thNZBjj1hQMqkPyatVXSGdUlB6NGq
DTnpFqxFF5XZG1vXZEo06Lp5UVSlLYi8K1oSCHd9OqFR/uF+Zun3+HpD8yDnAjSwXclQ2nwzX6GX
wT7fUGxSlLarlLzgDT01JM5e84S+ES2ezE8+PlcgLcgRjYyQ4xG9+/tf5Z+LH/ss0G7QZ/jCwBC9
Xvw52t1q8KJ6j6zhQox8MYKVAE1BfvBCb+F7+jfzmHEHJDiBA0Ld9PqVmIKEpA6pijxYuoIpdQ9g
wGVXe13xki2wXj2PrlSiu8v11APiU8SriZ5AtTCHiDRW8bPgCo+dUZy8nPue4gp4BrKW+s5YcHmn
v31qbGbzdkYbzgi5u7z/bf3tR2OAxwDU9UwX0fKbyXHBzVVYS1zt4xaQhMgIqGkw4a3zlqpzyifC
U8b+p74vnUGqfR2/zLn/wY715wbpIYtgngjnyPlTzZCJvvUqC9mi6ZS/7AD8A18DHeQMMC4hLB+8
mvhzguV52MUC5r62ZYJjeP3D2bBYfFOKivnlGO1URd6JHksi6ET7bkUuDVwK6qVjyAHxLbohS+up
nEp1JXMIJo4ZPVe+NV9lTr3AoBP+SjlA+Z1cWy4hsFzB5PoAevbnOco7dvWg2IO+QdH4+h0jXweo
N/FoecacEFVedRuDCJhtjxtoRSsbmrCZfTC0/EvBz6uxIsyAChX+2ZsnKaN0QJ8pyj1J8CxhrHdc
xCdxSktn0jHv9FMjgEaW6o9kY8lLHJB3554h/XZji3UQ3EpBCyFkUERAzkAiumtbF7RWrB3+721l
c8WMJddu2+2exEK9de6JFBYXJx0BsOs8vZslLv1aPX5xRJ/cKW5U67y0Y3JPsTpGCvVnEtqfMgC8
K8tgqFdZErMpQ4dd7OliPhwDZMG0JoF+3+HwAjasZxtlBqqCmRtK2/RFJh0vN+HvscJvtoFdoqra
ET8Dy/D9J+6v24a0HQQ8EoI7mo3Xv2XlL0ncOGwb0dzFtypnjGlxfdkJF5MXjeWSM5BLbhKIZ9rm
dLNdfuhirP3N2AuSNmVDuulMj+i81+f4KI7JnBAw67SVC+RIfD2PNkE+wI5iWgvuoLGv45Qf4f1P
ohfd6/0eTjrVBWomAcnJfbPfN5HDCBYE2R5OBQ5/AAU6c4dHwokHIGxBvg78Jf/q+KG3sb1BfXBm
On+WsL5w8LSgeUFrZL3V9wT+pALYrORiZ0zRStFMt5ai3+9ndMJt8rs+FxU2mMSO1bEn1GWjHE7I
yaCPneh/5yoSwXoTFFi0sEw5u5goeQyA5Ox8M60eO2H5ZLQ0X8/zB1obxJXTqZ5I5w4R6buVnga4
NNlTmpJ7M9c9vkm3c5cquWvq0flsZu6mMoNTM4gEUfri7matecmj4IX/ZeiB3+EXTPtsX+Bw3CuP
ceP7P9JfKgtfUH0TeRyA5XOl/hZ/q7oGZnVFOsblvmZIcR4Q5I4eCRO2va4SHsOly8YVGJUjsZvm
akmoGEgYY3iAUU2PYRYTwHrVQHbitL7L9P5Wy0fSWhLm4hUOdMKgoplZhGfm8/79d//nvge6koqC
597kmvr2jtR3RtVCRC/3hu9ophBzE7YKhdScBi/dqCzMP9j1/iiePdYU9SmXMmQOHOxvDsTYasO5
UdwEaW2jYa466Pd6cn+exbTnn7dnKDSwv6DkQDRC4Btzzq72V3Y59dumbtTWRcyyQqrx0ebx9qA8
vzmXupbnTauG9H/+248pZz9NDYXJMIlrzC8N72GmjOj1lDXT38r7X/9fXk4/4iiVYB1aUBZfvxxZ
nC4WolLtR1evWnjms0FB5bSsHe6OH92I/bc3BKCK2NM9FJ0I2Sxujq9fL24Gpo04GfZxHLvkiw4O
eyGxYJMT7Bg1BVg8FBVJohn5NmXoIXEhdliWUVw7peN9GZ08uE0H4o/t/qaV/rStZSdXzojxdOQZ
3dBdaS8zyAx7AoUkrsoiORU2voJQh1glS1fgjuWPJwNBeMyu7xLa4ce0LyzwtdgbjFLkm1RjW7nD
OPHaKJMR1AT4AdOOB+zrIz5GVYMUrkmtFJF9gZbDYKKibtrZdNZc22yMQjbfIeECJ1kb6SZMFTRi
7sm7ZTDwKRa+v+nJaiWxzXi2tNoO8Gh/N1Oo7UjsSsmR5qYWkjBK2xAUSE/NDcCHOfWmULl9gUDV
RQemgnQj87rYFZWT4IJu0ObnDuHAIwDdve3V/iFIeA9GFUb0dx+qzrmJYhDJBt3hS18aC+2fxfrW
jwGoCE+5Hzxo9ttC3RM+RZhARMuuZHJff/1jB0jXAyPjlEdB4R/O9x47QzVStCaTbWqpFAn8TVXX
Bc70EQ7FMjtbUekfsMTjSSaGZH7RU9d7jQftJIt/ZCK1dz7SQyI3wAW7LKDtbPh4hNggMV43xY4h
grPWXYmdby/GI2w55xToP5+W3U0Xi0d8Sw7gaYmSxO3tbd/kBTrx1v+g4fT28EL2xwPFE0wdw0Zj
vlnq7Jx4OWvl7+Jm2TcxdAEmse8/vW83z/NLeCgMQZdL648kE25hGGulzoLF078pB9qvA6iCjarw
r7edXfPdwDF4/0XfFgW8KHunQ3HDfYJt480OFWHuSWXceLu69Ootw69mTQpgzdiNLAnfZqRn2G57
LBszBFih2g/aWtbb2t6zOefQ+VHA00+l4/J6Vc2AUIdUOzB7WZELPEEmq4S9YNrQLxi6wbEKOn/P
bvdI20HtM0cOn97/Cs4KuN8Lo/N7oEUO2NNH9KsF4r/v0jw2jScaQ+5SqYzNMNftIXfshou42cLO
GZJgTSRx+30yl/CaL9K5LidUp0UnABkpb9nEg9esWxLRdn2++E9mK/gq65bqLq52uYqb+xHG8tEF
R3Akbt471bUjT1411p8FSd7kXRQWqICgu7U9jDjxYGQfFF+u4DO8+owUsLRMyRiyaVxzNr/+jHPS
4U7kCN31PFWn0W6mHVgRax3gir44f4gAUvGtCWn+RL66tWbwCH51MZdNRs79eqEE25BeCEQhhu4V
wDXbeFguea7N9jgt4qVCi3EwBomEDNfdJonsO6VBhlWTDBfLErfYNmWDAmDx93LyBqba7RbuAbRJ
SDPbTHYLCh/MbyS/Gru8EguYAhdrT0ysbVO31xj4sQfJAYlFHN3PhmuQIzJmt/NSfV4aQGVN3F+4
I17JxTGzVQQy6EokXvdklMXP95eM/cdJy9dJEx5NpUcrGEjU668TqkaYwGkIdpFq6J30RrMGoXlK
ovEhz50QCI9j7ZbOwl4oZ4JN6HitU0A6B+UTqQ5MgkAf5svrLOAxS4shvqxVZH6vdaixCfP0kr8i
TwN5oUyEneJAI6mHaRPLvTIHHccYXHLLM9dmh2TP7VpnV4u6QNQnmrUhy899Nve7YTIecxrSG7U0
H1U2zh+7FQAWbpu0jVyfB9h6s6BSHCWSdoq7A7DS3/h4FL6JaWQIxhsnIqn3xbYv/W7fjZOxA2lv
IMSp40sr7fzD7CQVmIawJ5GozD+Rooe8I+GxU0vrQohwU3Jzx4qFKSMQfIjjNmbDGpm7khTZxE/X
velb25nk7WmOwa4K52Ec7CfHsLLVHHgPYZz85K6D15L51GXeGd4hQrRxFRWJf9tRT27jzK+3wZBx
HS/iCrj21O0lvYG9w8hvx2CShT7wklOQ2R/0cP62dphcODS92fv+KArnKYmZUbJ2QL2/4Dbwb/Wz
gt0ZKJIVDR+0cc+RF2+efNu1UajRySVmLHhTIOc9vSqz79hhkVNtUubQTwjL4stqKay1ueTTzjbD
9DqWXXwp/IYNr6H8ska+9GmoqeB9HO9ME78MQQghU16FC/HxFiqfSV4QnFECh+O5HlIkr/yz64qa
cGMErMsm5fgQI08zZftL2eLpFSViPqtehl9WSSIAsUEWk8OpOKWtKbcqsqNdjCT+0wjO456Bf7ix
RDzcVUmyrB2BTkM5Fi0uCTMwIrznCjFXAIFC3nX4Yw6Bmtk5lqC/ymXhnRrcFVejybaMzZVQCf12
mJjqbNh8+IT50ti0A8eMEUNgXrvCS3clnvvvdWek18IsMQc3hfnNDnV48GAxzo7j0tgFTa7t2JGx
A8nJZuRZchvTC6IC5YFYPjig/7JaWCT0YrQeXZ+Sr3eaVspM5RGqWJ/QKvYQvr+mcjmcSqfEv88D
8f7W9ufrMVVEkU6JxUXdfXtLl6pAGbyU7i4j7Z75Nk8DsrngiObIP8QLCbHvv571Z2HJtY3UPG68
yNRJ19Xv6LdLko+8rRZR5OzQMdnbZEYZapFEc0pyBlHFAoB9gnC7jVpJHnXfHJqW7UIqKD1lzsPv
4Xlegz4I1xM353XQc1CZAz+1WTpQXzyrw4rIR4FI2NznLdu1W+jD3QUIRK5ydusW5fdZbyNRQbgb
iEL+upV9R79Y4w9FFZqWibGJ6E0+llDBjov0r6DcqB1Thpe6hPq1jO6L8rLvIua9G2Y37WY/XC7p
a4mt1U80VsrmsV1Y65bBzn8+WvGQN+uGfLAnFGX2FlzUcmch8kUjwtMUBJySMUvwsiTO9nLsnG5f
Sn2a5uRRRxV1iUo4Z/qcnHlTP6vAMlJkPf38DB4XmdPAOl9qlrhqmvaAQJezB/LNplVV/TlJlLHj
e7PBO/KGKo/gLTouyyYwYqYAcz396z/NWO8JIb67xgPdvSpRhmx6MdbrCWnBatanbhqL9ugkoK0a
ah7UYSP1QDctfIlTe4w707+yagb4fcb/GXQR0E2PJ7SI+UfMiAqiCElVaUvE32i+8bVGbQPZEBUR
YeO4d/XHNFwrvR6MZdlUg9US3FLKPR6l4CjyhO8uc/19tshPcvZ+EB5PCFrmiCNP53DCUwPNaeSp
idzZ3w81Jmc/oYw+P+6B5OtDacorGJwCVUClE+d8/3Fgd1za+TnOq/3/2tF5lfxoSMJ46V57OP9f
Wjotk/+RWl7yjqez6YvvP+Lv2X/dNt9//mrj352c//sH/mXl9P7hYLqk3W8LQED0mP9t5bT+gQ8I
spdrWR6OJvffTk4R/IPzVPJPk8jBfqkzO/4n6UsSwGkSpsmfoxODu/E/cXJysWA7+v08RQKBvhzH
KEYwn/SYN6VfHeUVIHG6B02SROkBc7q68VpS3jd22INOnaY+S8HFFlB0vaqJgcb5RV9vSi8WR/pi
6VZaosHcX7jyyjJxyKyGKeFf0ZQkX5ekCqAt+DhotgYAyYuFMPhd4TbC3NLPs6Pr0nXz5GA4c/WV
jE3456WVFM2K0zziHh3lLeApPsHndmRLtTpvJNy3GrYEXApkbr7zXC0zuQwhVxDmtUBssk0hwIyu
lzEY7wKrT5PDBPViWQtSuwUg9LTBSrgMKI8HjBa3tqgHMGlVhfVjdq3oCmS9c0edB21f1YMHASkd
K2DOYIMTyofcfIkTs1yQS0Da3jiO4dwXcejgRwvz6KnGv4WmxA/nH7Y0utsqzUKtuCz6tQ9gpV/Z
jTN8j9OWEA3fzelrVTL5iu6jPTQhdAaUsKbJnEA2mzEX8mhZHarmgpoVzHAh5MrGrPDYSTE/MT6C
zFgsAioi53tyED4MCjoVjaLrNKc5PMbWs69Ebo1X40TWpp1nSBIXJ1mu7STvrQfBGQVi15nraOcE
lR18GTpgrXMNRWybBSaahKWIhOb4WkaZrYhvb5Jj3baueQP9ZATfXy92G+xSfBD+Y4s9RNcjTHdD
7JlPzD7xUoKh4MuKjyTZFQy+q3HLn3EuCZCq4broMAULExGxM148WDeR5zN5NjzgUOmY1htijmHC
9OZ03yXmSzrX87ZQyKhG9rkjcSBAAyuiSRoobXh1gG0Mc7hcczTHKxLXXawPDukSyppRD2I/gKok
RzS4Qe890Fg9jpVh4Ww0wgAcTZ9vnTR8oLSKru1s+CIqm5uNZArK+kDQ5/608vxYDM1xnKJib2Rm
rmc7Yq01zFubBt5VJOziQrJs7nO7Mo5ygs5IIiVfXU2mOmYjbYWuLnqJ2CAynLX0sUkuoX/FBaW9
8p0SWdiQ16cshjEoTCf+6QxttvehKHxJOheumq3cQw8oFRxySQZkANUHFF50o/zK29pZX97Dqiuv
maMyn1fusl2YsGlBmRl+irLpQXVghOZORce5HwnN9Dx47aTarZKgDDfeRHqZU6a4tlP7oYb5S8EU
YcaNRLiTYeZsnQIIE3oqazWEtBKsrr+qmQ8DVYjptKSz2z9mcXU7VA3KFnOB7Ye/hOo57m7COIND
tcwdtQqKLheAWukKjrFmHc3DPbdUcoI846Eoql99n9wq9BUrN8SeknVdR/pl6wFT5imLfAOhHv8J
s21VPNHNrdiM7EdnYP3POVECefgzs+K91RfBLSet+auBsblqyuqykl5PU1MCNQ0M2LRqevGK7rJn
gLquR4NfvrJzSFVqMRAGR6CA+g55g4uT2ybcxk64fAB5bk9pDDasaPOMmBJAPKMHly2b3eXJ4H3v
0jRcuJc59Z5Q0/HKjxWKcN8YH9AXP8guTC9IkfHwZGQwzUcii3xncoiVmoq7BvbC1vIgmzAKXq7R
LfXOZs4n9xATaIaVzxj6jUyFba4dp4g2MzTzgTxRMX9OCFMBcRGO10GgKmBQHlAXMqR+dHXzUtU2
0J7ery9IrLF3sUXUKZd6AkzVkN+6ZIjhuGvFxYQy9LmsCiia3F358KNb3DodECi40jRLhSaVd0h5
tu5c+1/GQEQ/KzUgRf7tVL395yn0exyyPA/xXp1OQBC0osNkBqyvDW/6lGUJEhBUB8Bz0Q4doTlj
LjddUs43LR6TT1BfHfa4EmfBaNcQd4tmKB4LKCt0TzLrZx8R2Xiiy2pZW9W5aBgEaHrMUfz6iPct
jqnRHD2UsQCU6y0D3pzYed+Kjy6o3fFmwr8POh266ucWfhIpRWZhE3sTyMG9rJLFv4IerG5jP2aL
qquwRWpvgz7qRNc+o4vWhVksv6h2LlHIqhlJH7BBdwVz1cf34WFTCELVHsfRm/c9+/slscTTLoux
nyz2MB2YvAdkTNI89wW1nQ2Visc+7D4HcPo2EhwTFnga6ZSyMOo66hCG0C6JTxPnVueXdOKRMq7l
GCzzgURAWMRc/biO7hGxEo8yYb07NObs5ifPSXyyQCRs4n4Ag+J580XbCueYRTCt141jEq6jZLWd
ys69yefWvm3tOILVNm8Xu+H+kFQgAgtSMVdDapU3eZDDQkFjfoNE1v1CSJoNmlhD3kHy7+KuANdq
MjAlrBAqcOQ/xK4PXx+HaDpfDkH3Hfo7FDEcCoKe/HWVPg8Dt2jD8k+lxf3GpdG5YSLV3semwjdW
8sVRb4Df1MG5dNaNQ2H2Cbx8Fw13xiSj90D8GMW9GPvkmqSSGPG3LW+HJD54NGePHCuKHpTMPjde
BU+lpUd+XLyeu8dctcO2ijDFYCUontJZkx1F9UyilbtuoBGu3AULrsXavKm92noAQf/DQ6pwX8Y8
eahY+uu2c9sIaHLcGvDvCKU5aoBLdFEMBA//zGaneqIfTI/Mh2/v7LG5u9fVUg2CTdl1py/BMsHK
CyDzfJ8JTv7ahdyyHtzQEAXvz6vntWSs8dWyo/jarwiSJABCPo9p6GmLD9OECPr7M1e9Fpm7hDxb
WJ27DwwTDngM7krkqXywbaP7YaO+WCnw9w+imPp4C8Jy2buZD3+r7smynOLmqi976Foh07Bvbu5H
9yYA6CtSxqkIyINZd/0YbaQzJVspDf+xptMBp86W36lqlcdxQuzcYQQaepGA08Y+h6vGXLWZoe7H
oibMhzGXDXK6UYnJBUhr4xwKjnbLZlfVO5CS1SZix0I52Sx9vWZuGl0TGx3wdYqUY99Dxs4Eub6f
yzT/ovvJv/pS9gdKr06wRZbMdCqQ4Cv8MpBA/b44VHOwsPv5mO22IzP7z9LFs6FmZV+XTj6AaQuC
p77l5pzkDv2SJozuFwMyHQlmTfHA21CP1rLw69bAg1aLk5kX0h8JrK4dF4O4T8xGrAADrZuAeEyg
GO1WNOLrjFPqgsYL7glzVinxAYn3NIfjy1D1hrm2rGE4WGaxg9PL0TW6qbtXap6+oc0CuBpOyKJW
LXbF73hbhwerypyncPIk6dv5AAcsaoWfaDAc4gg/t78tCh8xh5LxFSxRek+KaPC9auvp0XJ064qm
u6KFL1rqksJyD04K/HtLD1pATS1Vv4N/K3/0/03emS1Hbpzb+omgAJAAEritQs0Di8W5bxDsbhHz
PCSApz8fWvbZlva2fXy540Q45FBIYpNFIPMf1vqWYyX7Sus75lfMy8eN3ac992rJ0Bi4djd9091G
u6KwwwtYBInwVmYRpCfNSuqL1UsF9NEcfup5g+9A71r3jY696RDumZo4lakZ0mnAbns3ezURtVqN
cb6utIbNaMdl8cH8KH+yASYfVID1zArRLOLDsRiCWQFMY9ujElupwWuPHHqAXvRpGDPC6Ot8Wtmj
Mr91sprS/Wip6PuUlDTNeZANlyqZu1VtBphoslS288mlxtZJXQpP08jxskV1In8CLDLOQez0xygx
G6i7wpxfsY2Z1cboDLSg4ai9FK0d3TqncL+Xo9E94ehjyLg8kjRP6QiV0wt5CYEpM3x0a56RdcNs
6oxhxjjEeJXpf8ZchauuC8nXY2wd3rAOzM+dHmsPpOty2Es9QjJH4o321fVWgZ0sN0kEa1vdvsLy
Y4jHUnO41BjdPuZIiO+MGSc8eolZ/z51YXowaidI1yWL5vdiZHK9JcAohLdiWV9mPAywrTALbvIu
xmhfx3LcBNqQDqsmSetX+LczCOhizDcISVySAQNXbbzUnaD8au3Iri+au1PbJN4Dw0rvzudTXFVn
UHU6bfNBgJixcQNRFD77OLNaj6BQPnLS4MCjul3frIE8kuEaEjjYWJpaoLiJ8hOb8ck6QawSrpJq
LB8wfccPfWyG+1oTLZHIVij2TRHb7TqT2YAtOUk7ss5ii7lQ0XTeK6YxMIJ2KV8MEF3f6WNEuUpA
r1mrupiciUchbq7NNE4M2jo8WFOj3k1dfxq0rn7OhxqKa4/25wGyg17ehnSM9sNs2p9YfyX/aMpI
swjN8VCDmNwg/W7f+1q0X4TaubmvqdJ9KnVcW7OVhK8Ap7mJ0gE8a97kESpa6UYgjI0i3VIIa5ew
RNe87SuNPB4mTKwMRPTSDI55nArRNWT8ZHqy83qN4IIQRvsVbHjzIF1sDSSFzDAL8hEgptUepDO4
H2B1xqeGcmv0DezHB1olJ9wao8gOaPDzZtvVU+7PPU8n3seplA+1wf7Fx0ZAur07TARhK/E5TEVz
gEgAspXcZ1C8csJm1FjKo5+sqMAihpMgvWttvGmNylcxUbA/pAi7n2GVkdHTJ27eYDwcloqVc+KT
dpb8JVp4uUbTT7ZLoZEWOtpKUhYl0yuZGpmx4iP2YqyQFclqoopgfQBdpvytebEh4w6z8DXp1odk
7rtny84SAybEyGRbzwQ5dSFufsKXrPriAsklqsJZ/OP9+F6VIkgfci13eIab5dwkuncSPue5ANvA
yupWsR0bNkCZy3g31hYZIrosZ7gXVEUIYZYkhLhSPMyZN6+qugt/zM0sTq0LvXSDzWTGZJiTYgCs
3sUrmGS1viL0ZZqOKhu08AD0pok2eEfh1XqUbXqf5C8jOMbf7VS5B13zijfbTqNXrxj6aTWYutop
ALnEDzJQdSDdgdiO3PWM6/IrNUj93AbIJjG/5kUGq7V1B38iZgipoa3tuJJqnx0DfZxOM5abS1xP
yDAFgZi0f1ho5RdfX2U/z56B8s+kiQw950iGtbWdMhZJIEHmp2Gc9GvGdMY3tQWPB8d4WsdjUt5b
xwt+lHOFXt4mnSvTx4k7u4Ub3pedRr/Yifg+M5RiUR5lb/Byh2uWWuNzWRE9ReuIDYrPWn+IJQo7
r6iCS5vp9nHghX+eOkr/RsumfShHCFPxWHyVriwebLOxn3nsqYQT62gw1SafIOjew26wTrljzOSv
GShIbdEfUOfDYehEsTNToLzSfqImbx6RbdcnQAvof3pR7lMA1B86v7nvgUhgCQ66vR0ImyN+1EjP
VV/Et1ZOa8ZU1godM9GdymTO0AZm+OVa0UuA6G9v2dUmbzKBys5T5NtpIYE/dnOGRfDhgXXd1Wmr
dl7kkQJY1rj2HfRGjM3fPA4sxsuVOtht/MMAy7pMK4CtNQmEcgE2xDb7oxkF8d4Ju+wUuInpswWM
16ExZt9QAxeX2aoJaCXBjG8ya/cIWLo9O1zpa52bbPl52q2MLQGhdAcH2vs3O5j/porQbQuROut4
y7DA3Dl/Wa5qHL+F4iA5mENsUnYuVZoryvBawcFXa5tHaFqjRDBWVS/A8Ey9PACWI67wX/eTmF7+
Ou1EvYa8a5mt8n/EHv95OdP0AYZSojwOU+OQU9J23xmNK9hAg+W1D65bGM4t1bHLbwChqPsAL7dZ
iBMd69mB9zuyhlc1mjZzsslswi0Ub+ZngqS8+tOByG/5VqvZbzUu3BtLdT55R2TvLvh+xhLLQC5X
g/FdEvgKKZSu8Y3xhwYOpBNP5qC0H00EshgvcPgiddFLWCdh/N7FYjHDDdbF02OGAgAX3twm5EGJ
o/GxLp0EigvWn8006+kJ9EDjE2kiKCRE+KCw3a475Ep3KfOJULFRXPos5DosbHKKx+zdFKX+2Jnh
kUwVd20uQ0u5jC+BITPJxBnCCamh9442jFzte/Vr7Bn+GoEi9tK/gJcyDjCtWv6UruPeRjtt7tDb
jTeEhHW9qgHRMP5aCvaxs3v4YqEb72MWKC9wenhOs1/VvfGr0vd+Vf3jrw4gHtLph100nJ1swB6S
X32C0ZViT/LYuOrwSppIyZZ2gmmS84mEIVsRxucetMB8YUHSH6qxCVHF88Gn5B+sSP8oF70CPQta
BNoXd+lkIOLaF0z2/O3S5wTR2EUbd+Z+TsoJdoeh6IiW3shduqQoUrHfVLm9M+uGGeUyEV1zmmjf
s19N1rj0W8nSeXlLD2Yu3dikMd6uoVRMa2Y5tGuVR+zdE+j59MM2s+qTvCG99wt4ROMbtiA+JLvM
7Gs301/ulOUwC2eQXr03QeUUP7XI6eNNZPfhVyewLd3+9Wti/jdbBuMWiIXYA032E4Zrsg35xx1m
XzjJALOiP8TUWhcyJ0LgNaSttY1ID+TauIfabXJFwHYZbMamfHCzMjhHY4lnVXMUDtgurJmmzVro
MwEgVLrIU3Wn6yG51WJO+s7KuhqIYhD1k6XAPFQmiQ3hFCtcueMDQkNiIxW2p1wZw9nAUNexUBiD
H+g+IcDGlXNwYIk/QlojiXZ0kqNwjKdKREgZgxuIOszZQYggQwRbQw+feMfFFZfwhcYMe7Zm6SRE
xjpIa+Z14Kyb2nX2UVzbMDccClTuDn0/VDK7OU6i3/BsoOUrLTt8RnpW7EKwO5tw7El0K0WpmL3B
xLpyuNQ3tyHDt6WS6Xyb2bIiKg6w98Yes/Q41zrhgb0B0YEGvCp+yr5FtpG6PYWk3d1Mgspe51AF
fikSCMD2nPke7tQcr7YMPiK2Ch+jPeXFWuVlsw26NNrF2PRTbl1LsrNIum0ip3BfuDavnOUoh5+v
gW0w5cnwMw88j+ur14MdnXAR+yPRCYvQE5HhSvaDt4cqHzxCUo++53B/0F2G8SYICu0+MhlhUhAT
pxTbwzFLUEaYemxcGS3OPJUUnVnijSdEsto3Dxbchi9H5KPmFvc0ThYgN1n2L/oU8AZgM10NqmNm
xiYn2jrE0WKKs4fthNPsYzCN+BkstPlaJ4gf8d/q0ZpMLo6mUSWPc9uRD4mg7WRzSq0tKbtNya4B
NwgAExkZyUuhtxhi0shD9Y691DrGQrcymhgnOGOR0nfwpnXeay8R5yovn4jeAW+TMaBwft1EiLus
R0drwosiXpc4g0bvg1WCZda9FWkALLBalkjGr32S0Y39vA5+7Zn0ZeXUMNVdWMfLJiognQbCQDwl
AJYK87vxa2vlsb8yf22yWqQuWxbQ8jX7tekqTE0jZy9WC8KB07vwOd2qD2jlWbwXyJbCK8ZkoqSW
e+yn1SvCk8RougQQL9u2ZFlor4hY4690BsK5QK1rDk0G+U4p2zigquqoq2uL5rr3QGmvYFOlyT5x
nZb9NwMMgqAJ/ziJXlBPkP7DTHdcxrupbbwT3Y20twufAYW9x83yghBQO40yPtbBjIJ/8OS2Msp+
+a7BvLApPY0RK6JWK+09qOT2818fVCxI/7y7BAHoYkyyLIi4CNeW3eY/SC1IjehTRqLy4IXAI7yH
Om3O1fD46w/5j3bc/3SB/SdC8XOZ87//JTtuKSRl2D/fcfufP5vPP6jFnyHM4v0nQa/xXxfdf3yV
PxbdUvxmCjQ9VFbSWngC3Bp/MIul+ZtnWMhhhKQS5Dphyfw3ZrGp/4ZOFtOpLWzDdkx+xX9fdOu/
6QJ1tm7pSLVN9Cj/yaL7L4Uf23RIjRJ3q853wr7rL4VfknTmKIIs2CjmyUlCcpgVbY3WBOlo7f7h
c/ofthZ/pSPzs+NAXTQ9i5rS42///FiGuVZhs24DaJPlFmzFfcrrfZvKbYEOafbqD+huUP3fPAGi
e34Ic4KdIvFOUbYy4/E0ZtWWw2L/b76rv7wsf3xXwlxeGL69XwqHf3xZgiouPRT5waaKpg0RyoeM
uLm1MuXWoJScmRZKLV87xFS5EJdo/n2ymCGghdBpu7VlVn+8V/+UGsx45M+v7/IduaZwUZpTk4O7
/kuVkUey0iDNBZt27qMdBcAByZJ1Z7MYPIwR0+DK1rKHKhtgYo3OjHUPR3Q328CSUxIkkBx805rC
fgw6I+PEcoOTZcUHesdtBUbLF4X6Jscf2VT4A+WDUxYXZyDNgvxL5gwTsTlmz3wC4IJo9TVip1UL
UacuZ79mpo8l4qLXms+cYVtZhZ9klN8MP8kXPTraXZnlfQ5ygg8o+WvcXO6EVKrHJAePTzePocMl
W5fn1jH3dN+runlnLXkgGm89D9+14sQSkhtaiWM1rTLT2qfe69APb0Ofgs+ccBVWozxY3SvoVhBc
DN6HcicAU+ZtRukbPs5cazK5EgW6RtW8du0JlktwtCPYlVZAQZCdJxv57lAchZDbsRV7BzkFEqtu
WycEM2iMZBAE+/hukAyypbWayxA5W1RgI9NZ8m0ozNWmKoetIKCutd8c1zvSw6xlwdwws5FAMe+N
B2KuMpR85b5p1TrMWj4e/hjP8qta3cvGRoTB7amJfd85+WpWS04PTuSk8Y0a4tmDWdRngh9XMbEF
im2jrnvHyuLNHNyNnrCJjZ9SVe615sqSg3j46JN44Y1lfa/H8lvb/mDnh8KEGClugBYRsTfd4qbY
uxAPcxeMP5lhYdD2V1jh1VPckVQvc+2C4oHAQ5wxWpWoO4SjsiNWqV+ZXeDdWKyUP0JRk3VTVXxo
FKtJxEw8+71lwPJozmH56YlYMl61l5cmcFZM0aODVNaTNHrzxUnN4YBkpf9Qw4IXEF64Y8nHaBaR
S/hK1gnpVKxpV6gb2JyDyWOMG7B0fHLpfreG00pyqZk8rQqFdobvwhk/7WbK9gVhiXC16iG8RGTo
nLmpH+ymdR6beZD3zszr7X9+//3PN9ufLr//tyvyfxHb3+BQwuG5WDj++S15jD6bNALm/6eL8b/+
yz9uRldC83cRIUBHR4vqLGajP25GV3D9Qf62lkuQ2/G/7kX7N9Q6DPw8S7gWvCoutL9fjMZvHvxj
ZGMS4IHt4Kn8e8LB324nwhH+6TGMfPevxzA3NcnyWO34Hm0kZX++rvRcT9hrTvOOmn9ulv6AEAnD
I/dt0/Y2QGDdDpy3NkTaQwOIVZmNe0qzDLUuNPxlRVyQrlYPT6zSPTbcdmdvu0zLL+7Yd1tDRd29
JAJ6VRgl7bKNoHlVTdSzEaPeE99Q7vO2qb3yetbhk+2q8eyUOogyotbiB7sHccUpzaDAz1gvRqRg
SmCaSVRmd6vo7GlBHDI/ooWG1TXWhFftEKfNggygWGHj562mD0hQjAJJtod9OgTJfejteo8NHI6n
MRbv3NRgu3rK+J/8cCguoWnyroaif5atY9PswJkMVorM8p2yK5msNeUoEoRQIWzhagwhec21LLfx
rBAyt2MQX+PO0BVtSG1h8ZXYkI4mkMR0FSDOxzrmpoHcJ1QQOlbypCg2QWPF6EEc5YxrNrfat7Kn
YcMoPsXnEjDnZ5338blFE4SCoSxlfBqxkc4+iuMOr4SQjfNLHUvIBxG976Eq+4/MTJW1cvqu/N3k
NPkC8aZpEKiqijSdeCJxFOXQiq1SW696ukFWY9WY7g3NVKhmtOExEU3O8AND4DpNItCnExKZ95bh
t+aTOUi4jUUWxE0z7aDyTSvMCNxpIWWucQhmzyUiKrxlnY7gx6LEKNdt5hpfTqV7Ga4/I/uYJZaP
ba/V5HQGck52Ma5AsY6qhnw+lskzG4FA805GDJPFqIrBN5u2vlWTVt2ioWn2oivre5S4+rWmNdWI
Nkpy5WcgaoB9Et6nt914hS8s+jXSMXPNbBlMWAM+wMEFT5okxvQ2dodqNU/FtOusugQMb0zbKEzH
N0nDetHDwtvj5Ghfx6qMmVMnFT6CmRbY1V33PQ+6+ckox/FWhHR7VjdijVzwr4lBJkYGd3ptVXV6
6RdueM/X2km0w4uWBfpgC4mWxZ3OXHwhGswNmbMEL15+gczKoAlADnbl3syB0RWC0YOtR/lrY1gV
+hXx4ghKNIwtEKS9agVfejB5DdgyxKBplUrv3kAqY7zg8RUmEz8GKHqqA6CKQRdPL1VYIA7p+/EI
jUmg/ceXXutLL+gsFn8DfQEMTTMIb4ZtzI+/8L7E+Y4PPOtiR/cnKz8iC/nLVVb3SOaU6SeovZ6Y
Ycyv6D2dfSbhh27R8clhJcaqeM2iwnxDX1a9pgTQffVRk7xC5zg4yu33FlFjD1jlYrVu0865TVxn
H7WZt49FbhmfygtYo9em9J7AshJfGGWIA5K8Z9rucaawtk4Era6YZkIMHPNTzQkS1kprrRfTrMMH
uK4goNSQf0fwLR/cRjjfUHG1myi3g9AfnHa4g+gK9lNF5nOcl9lP2QbetCprxB4sNe3pIZHFzDBd
Tyo2pLXxujwIz0RDzF+RVKryXaVnL0x65COKrZtEbD+gvetyLFW2ofg5iY71M3qkD8FoUCPkdSxs
38uy4Eqh1h8nzoh7wC729zxKRxhwzCTeUmYqTMA4mveC2oLFpwjEV9qUMytfTyz7/9R0nnuvMAgW
6bGXzJkd3ps8LD4d1IC/m0PPFK50K0xxMc6gdeWhsm0MdzzbrNpxC8zxvB2rjogwHWerFRP8js0R
Ja7DM9A0U70NLVPvVlZgNcdZt4nZarLGMfzC6Od9NjFy2hRT1N9cQ2DpL1NeksqxUZe5ndneQ3DW
u7gcQZgQqt0+JQk7VAx+9UFPCE4VThbcw8yyPiDcpkfE+8E3OP5PyAfGcxL2kOIrfUoeESil+R5U
Wrwa2hnhRiDC/pCODZtCQ5tM9LKTODup212yOo3ilUHBSNL46F1ZouqQUWeNdEfoG/OjctpQ7c24
654CBuvQ70P7mwnuezMMoTyRdakTLZmoYwxW65yZQ36M0z4P1yTRVZs0Hb2HvJiITy1H+5gmDa45
RY55vsp0FcNybDtH27ox5Om1crz6wqtAZRi15WNYJ0SodQOOI0TDnyOT7E8tE/2u9nS+ZyVE89Po
0BkyUTWfBzxim9kqkAjWkUvUVFP9YLqpPulN5nQVAiVw16mW1v1qHlSzd6Y4WbDjGZgjo/gK2hKQ
8VJt7PtlejrUQpt8027tQ8di9JyoVOAUWj7RScQR0ep2ue3IkD5E0ZA+ahJxMqkILkSTeEy5b11G
0Vcv4nhZ1YaNoDVSg/rUxEIAB5gV3KNu6r/EQKX6AJ4lSnnuLEQDKpfFJYgxMBU98bQNmHxu9qZt
HosSePO6hUy/QlQgrXXactWx5IQC6AxOem3bMdzKKC+Pkd0SBEn4gflT5grFnYZABNSuEPHJsyfY
7GDd9RdHZvErd3YKdDGuOnK9PfC+ha3ZpwwH/s5zbI/1Q+OsDYnaf+2WSVisU7NfciKDWT/EQ1s8
k28nWgKP2+Q0Q0O1TlExiTdix5zRH23IJ/iZyJpsi/I4tKo+dQSO30fdNY+Wh6MmaHW29S7pfXM5
q9tctHwgHofuIm/u3mzG4V8R7tI3XbGOyrq6OLSzmxEAy9jUQ9J+lo0wSVFxWuetMzGErjolKIfs
0LKDQ9JUTPiiKL5mQZ2+lWCpLhRseP+DGon+qgZyd/am3v3w5hiEROy8MwetdhNxCixrLR5nUKO+
11TWs5Yw2YeQRXPpiQoWYyFb+YJfqC82VebFu4gIxY8i1BUeX479FbKX6uRFhreJOlimUEfMcW+S
f3t04I8fJozvDDlrZxcEeG56wbRXSwA9M9wcvk3mhEQvTi2HZAWZfrgTWOsVy1YXEbzuXsXUR6Zf
G/rwe4C+Gq0FZiAKo41exYJE4vaziHGfKsXj33epfQKp9GxNAZmcJJMacqjeGqSbu4EknXAlB5cT
KxlsfTdqbcnZlIXZU8xj8laP+riKA5RRsdIGaELCiGkGvWE89poNt78k6DLcFMxV3r22m75XhCjH
xGjGNKoK4nTD9UNzuZ/bClQ0sqBmDTdftmt+zfNqDHoocqRDZB9x7Sg+RG9g9GByfYI1Mo31HCEf
TaaCNxUxN3N/PPE3orWe6RLlLcQs9BzridTWrBnEobfwKxkJdm0OwxIWtJ3rz12aiH0CfsNPyrDZ
hiiC1hnD42dlHQI+8u3MOABksn1pc10/57qyNsyXwWt5er6SRZQfcsRlazmN4a2FmehrjnGVOcN9
ZMEBkwtdPQZ1GZ/TOTO2qRZr4OsM7ljimU0mJbJW0h+C0tz2uZdc0fI357DOEb5oZKDk+zwNu0sz
UyyuGtqZV5tEYuStXRkJ35wKzUFdoXev4HodwDCjFb7WnHXcYBPLRkjXic8mlHNrIX5D1tZIQsXu
5PF0Qgq9YkWPbqHsFqltOKGwHZBpHV1Mn++tYzgvJHBMZ4f1SQW8enDQ8Zb2I4cdXuacjdwHL7C+
FZNiIZtrgghDLyue5DyGlwpYPCdqV5o+Ygz3SIBP9IXyNyfVF1957afUm4dC5SGy77nwUNvLrtX3
FWyqLfy/Foh4VomCU3MyNL9vbaTHYWbWjID0nN9SF4YI1/oWxRCQN5voGaJrPzXNap8KcHoCGfGs
+RVBnA+zzPqPUjoIKGqEN5felevaclExtwi0Gd2T5vzgtk720aaYcdlTJ0mORjrSUbfAE7V9O4IC
sfK0IED2M4yYYPUiYig0VoYF4JRHeR8MpvcWMJcKVoMEmb1KJY/qOu/rtsQcAaTYr4oJZJ7Dbrdt
NSvcdY7unrxJqXGdmGH8UmrYOR5ZTjHEsCB1fbWNBT8Hx2IzbQOdhRL6flKt/QwhWvTQCYuWI8tK
2F5uZMxcehlcItOd7rwzamULuGPrLpqpNTj9CTNGrdznxWl0hfXGsWTfnZLrIE4C71QMU/c0sogj
iyqb39QcStS6ESEKHL9Jt27I8Z5XHEnz36gT/9GK4P/LEQkwZhN48L+akFzZHixph38akPzf/+5v
FjmGHWgmQE3oDDaYdbDI+Vva4TIfgcAEEonxHJqHf9gcOL9RsREB5S0gM8h9eAP+PiGxfzOY90Oy
ZCFh8yXlfzIhMZewxT/vmYgKEkgXPJhzTPX/ig4lBsPUB+QbhykWuI/kZyhJ0aRTza8Rt845znob
yGn+Ulap49sw+Xe1Pmafo2XLS+KSfji27i6xobmh47mxmos4jNyXEGCQnzUeUKN+AV9N0NVVag2P
A0tEREQCD1jVZ09tBMUn8eh23cj6QLayNlvnMrUMTV0bIQDQcLCcwWMPh8lhIrHR04AYiSR4GaPA
3SIVpP7J7XMuJudTxka2G1Jv05a4yVLXmy9ZPjNYVx2VK+5l1PstlaKrtqqlLTYTlyvExQiDPUr4
dc4CZTTkglcnYJeFZx1Ze36DP1klrFSVn/GVbabWvGN4PpVNRWB3T/hpaX7ZRjwetShIMOWn7rwz
o+Yp5rN9KOm0yBfRqh27xJdRj1aOps69zYfpdZU4JxM/cizSK/OeXa0hrS6q+iLsvqUDL/NdPHY/
KnOar8ErzRDKq5pOm1DFo0VUL+KLDiH35CNd32T4aOrcqqnKiq+OaGLfc3DwC8MfXQeKfPJMrP0h
qnKTAwcB+wCES7cMNCRzstem/pFBx4B3ux1faLLsg5D5purN0Y/TEgkg1odR1uE+L8PoCef5PRLD
98CeJBpsK9uOI9GySZlbDzbqrVXGfn81BTjL8O4TxddhDcb7ax9M3BrPIi/vIq2tiHrH6v0kj6Yn
PQtmWr22q3aY+sOH0blgsnghOAHGceIUN9Uw3oHQegl16yFKRh/HxluYTWznKzbvPcuuRHE9N+1B
I85En8M3FRIHgEx/sqeYX1V7bZruKy2eEO1U/oAnZ2/LKltPVOuYhTYW0w0d3/Gq9oS2DkbisCqz
vk6Dfk5tlBCEvxGR7tJQTIex1V+C/NVEvE3yE8yM0Vn+7ORQExPcZJX+QmoG/eE02LTI2DwInC5a
pvbK2NVcloVtfFpogE+z4X2hL7iIdF5Zen6UQX0TND1DkfhIxe/NHBkfAyJiHTRvvLGIuHvyHOBT
BKHzdSdprwUcgAck0PbNUDOGQFKcdwWcCWROdX8i6iXmLp1s55bVojqKoCXD2Gpchu51hAu/CE8k
L7iHwmj6AwGH2VtCIY5iqG/jc2RG+iFKwmY/ySZ8biVSJx7V9oCyavrgRoKRW6vyFjliOEhZZN/S
KZCof+nTMz1N12hBnFPklN4Jz7azNRyltp1hIMTW5vGSD1b+PHfx+OxWeX9M6IlfuE+Jax7QoK2a
yms+u2CQFMzRQOyDZ1/ISKjOLFDUIwY4cWV40x87siA+jCTrsXPglSHsg8orc9JDE3n2w9yU0e/C
GlkutCQ+/sSZn1MpI3S5IJCJL0nlqbMdZN0pC1zDQJEx6DfXHfW7EkN9JTHEOOdpGb0QNeVdGOc1
Zx4VeRaaoui0yo5pANIC9k+V3BmZmV1ZoYZ+1BHlm2SRXvybfafQuRr+4dR2AcuDcBMAroBgkGz1
V6RLmnayFO2MrDYMs2tlNeVwSNqhvdaL4rwPoDVXhiIy3MRVY6h09hX2CJQ6SDOtrn9xhlbbZmJC
MCGTxfDWGqVvI3zbksXVrhHeh1hweppemKL2zSn05NTp+VUGDpyc2ptvlWMUzEvc7DIRLINFNXqx
6bjRR3v2HqBqvsb+b6+iyX5umiha9b3KH5w+BBmmpj54rpQyNRJQJ/xXrZzrwo8KvvDKVKQErh38
CwAl4M6sW1qYcafnBCdtBvTDH5hp6phSMSw39mwULyRTuB8AZo9t1pENZbr3Xi4x1gyOJ+EsZR0G
504WfqxnsAhy4lnJsd9POf7Lvhf3auzOzGSfgka6IFEYAw3MPGAoj/iDg5jAtzhdEQE+r6VKprVB
rdbO1nAKmvIsY17/OJ4QzWJ/UkUMsbJvWFfaebmqlRP+iAZbYdtR1lZD307r6djXEs0MZwxB5zJK
k3s1O6Ff9WF+7WclF6s1jxLDY2o73dHPGLTleeqT9kxN7tEF69FLpIfmOYyd+pqiDriXhqPfohQw
2hq0X3fidz2eEbzHF6WjsEW1yvPuAmj7KcNisFboJ6LfAfoU67EJxm2zvCnT8s64y9tjLu9Rv7xR
WeviAglGcU2xQjxWdVyfLb3gfo7aAYUrVyXQ1BYYUs6onb0o9ovlDfaWd1lf3upApsUzOIjxAj8g
PFSDUNt6OQdgfHinaVbOqbLKdD3UxfIc1O4TOufsW7ycJvNyrszLCWMtZ429nDrdcv7My0kUL2eS
p1X6IXUNBiqhw5E1wot5I769PyRpvhC8VHjKuj5aD53jfiaZOZ2qQKuOjAHlLcqJCl1Iqv2JAsT5
QaRstBuZC2xZPjo3/m3toa9DxiglfLw4hsu2nvqJiQrxAqSStbNHhZIiymi3rpei3zdtmSjEd4BM
fRL0nHxthKKZYJSRo34tZOKycKptZibSa2ff9Ebb2+NUxTBbzG1YvdH6Nayu7bTqYE2JtNvT9w7h
2aRnJratja2GoYA79JihC+K1mjqGhKmzbrBoMqIp9L1prEPixmympzjrkF80FoEXvAZJuXPrTjwI
bTAvbjjaj6MmjW3miXbTgFC5t3Njp1jsg1zfkcmXZRuNISpKyKRkVZNWwfeFs8T63EPGuWrkHGmb
Ps+ogAYMCdlacmy+zxl5FvT+hcHZMiWJxyNm1Aas7c68pyi0agLHHmUw0QQnidro7VTRDBYsIVwd
hV/30g1nZwahFwY6Y0WvulgEO7G71gKU8AI3SRPT4Mke5WCAhJXcxNHPy0qthCXVinXIN4Atajsl
6odRiHrNJBx7+2TeArwdV0IQzTUOne+x/I612DtOJil1Dt0gSgquAVEyl0ukvpNR+Yhc456U0iPx
3r0ZAUTMKJfOOszR7TKLkqfOGdkDlAEs3FgcSa68YyLjzosNcdb+D3tnshs31mXrV0nU4I4uDbaH
JApVQDH6UBeSJVnyhAg1Zt/zsHv6+1G2My2ns/vlwX+B8iCRbsSIYJA8++y91rdY/1fqVD6mTaHM
3xGd7bEkYi7sDyznN5NWRp8ssw93jaQN3afFdIKaHAkH1t9bzVHHZaxV4ye3ABexIPylNBZN3aox
KLKIzeb/jsLzFrTZ9Vg+/9d/HJ+yiCc8aZnRY/v7/Zr5p3qxxTwFj1CKhT/+yS8aMfGOQTM7rN9N
wm3xDgYKIiESy1+Pwg31nU3YKPNutEtzYMtvGz3+Sjg2dZeAAcjzm9n2d6PvPxuFa7Pg6Bu3ObtP
agbG4C7vgqH89/s8GQo7U7N43Ii+rm4yGJJ3lQ0RxNF9uCc8/4Z7XO8PfqLVz9wx+cd+5k2ILgzl
ymz6YmV3Rb2yWYHuaq2jJ5yVwVJzovTJSgP54X8vxr9zMUL3hD+MvpC9Pf+jMxT7s/7D6fHpmLy6
Jn94gC9CDdSIOheTYCr0IsngUvtVwgi5R0U25+IbQRn/q1LDsN+pNuEZUGGA+nM5/iZhNHS6FzbC
D5XrFtkd1MF/cHk61uvrU9FnYSXK/Bd44Tc6VzNti0RLWmImeztbS9688GDJBO6CDQHiecPNcTUp
ubORRt1QVFj2vsBeAopHtPF5X050q3MHl//SHtL61lJ83OiuM96WceaaCzCCJLnWxHPQSusr94o9
fnNpJ6o5wIHMHFxq9oRH1CuDgCFX2Wlo9sDsoQqbWWcPndMp5a4rCvOs0S1jj/y+P3b+mD+UYQIW
szbjclNkOcs2yS6zBr1rhLrtRyE+1mNCdIVRuMO4GVEKsIqlaVftWA98ZVGNdDKXstTiao9IOboc
StsilGyqq2uL5e09jdABeprs4KWNtbjXxyQ7DIM2Kouh05MO7girLc7pKpzFWqF6XxEixoTcUNh5
uuwRroY86gqPNNruMbaUYe/GGb4xGQRXTIvyVeVE+nvdiuUHKhrrkJEJc2VnidgorelumadMm04d
kG8owvZPO0sYy7FgFmoEDIl0xr3OGgEjvMtAl+EjyHi+RyVtQneV6qLDopD000mpCONTTxHPtjuY
nhGAZ7S6g7K6n/TEvHDlGGsYKmMgbxme0RvbnH2tEjHfISxd9ZwiYug9xAwTsjxQKpskjSiG4qDr
b1AEKbfUkyGClt5Wb4AOAPx1RTUmqwiEzcERof6Ay6Xa1BN4Bk2HDeMNatAcslxASIEEktmrrKTH
ypSoPY3zkBTVykBkZzPFBZeWVW7tEfXafszMRKmXFl3t5yDzh2uLkO/ea8yWpo3TKs7CJgf9rChr
wp7Q96TpsnVNfZMQAOteWK7EbNyOcT4smJTQ+hgVosyR4WPxI1W7KsxVjCvUWCNMsJ8BvvnmMkwr
OHdlnJfTSkAs1BaKm2Hrb626/IgFP7xT9ZIxeoZD8CKDANQxwMzGhpORZv3Wym1JHenXg1xEZgYw
SHY0vxYYMHLaOtYYXllspjBbNSK4yxrD/xTFJWyMOtX958QX7daJK6k9olNlnsJEUeswKvukhvFa
LfmKtRFiEU7ZH0s3zH3PZwC5Y3raPEoRDtSPOAiXapTx+0ZvlFNNiYpk1UnpfjSLaYoPdL2F9MwB
QkXcj9kNxlLzCd9KdD8E5JR7teujw8gjQDSaisQ4VpXEhJaQ97sypETzwpiynBA/pGRL1JYpFXaR
MPPv3ECuR3dObA+n0Xl2u1qgu2xcbNl2atEJHFr7EvNDs+vYDWMnzuTwHmp28+DWVvMhBs1ybg7T
tKYV1xbLLBzIvihrt7ucpxgf+tqyvNrqi5Np0iosFjZUzMGJS+SSnd8R0uG2EdCucCZr41AFEVYw
TGFUV35gt5Sc5FpihSuQzjiBYva1O6yDA8ZO35gQKuVs2Bi1F6EXMlOibWmLFYqk7tGdiLXCwiNt
cvfGCSlAko5Xwp1C+lI+mdqr1BqHDThBawMtQd3ZZYJSTOdrvCeCe3rCvR4Ixpcq4h9wq2fSDoMz
FwkQzSRI71d9Vkbvu06hvk47oe3Unnwcs/Hrq8jpu4sm0KEL6aBCl0Eh87uiCO1VN/XhuvF94F1Y
xyMaUgHZ4kmforlyy4h8KJVdE53W+GMe9cVFnNbWqqmY9mKsGXbSr6cnCbbCIYspLDQIEIVhMx0f
+e4RDcNvMvugvEd6nmDxDvR+jzXRgDox2DV2erW94dvBEq6OgXbBXpfMXibO414BhtB45JIY6OYc
+Kd+pFCeq43Rl1yrcfGQIuC+bk3JRVipkij3oK/ij1phlndW1feuV1U1bDBdmij/SL/W8esQLpYD
agDusNFLtbxtYi1OrnSnIKi1HQ0eOnQoq6WhIJY+CeNR7bGlSG1a2VE7d7FLaA3EMfaGuatVWDOQ
2Mv6DJEKktw+d0cycAOyu+vKTh+GMAg/hUpdLMtGja4DFGIIdFKUawSaJDTeKz8OF2Bs7JU/arRb
g9yOtoiuJH3dohr2ZlfRfjRGP93LvhPTwurSDHhA0WJuj3WiY7SgoRns+MOhB6IEEHZUkk0HMWqn
0QKiQSRTc4Gz1BrWMJbiU6PWFGuhF62xVXGl4aK8qOVAxzWEk4jAG4nc6RjjWpJZhhBdrUw1WVQi
ix/sKslXWNVP+gHzjkebgZ8qeIeXZWE3H4zU6WHYUHGgv2ytWffDbg7aDRCXgIbXntvGKj5kRDcT
qts2W1s4m7YBJ+mNyO1Sp3bZkGXUDwkRJV6Yu+k+NHq6+1pcYzuOGt9SPR47Oc8hTOK1hiBquNQ1
tre4MKenlNWAhTpqr9M8dU7ILhnoDfvOwsyb9ir3ZffJZPHZ4PM39obLvKHuxUwTSLcT2oUtZKTm
xhgsA/SbBaONLTTEOAc6C9t0v1sUaecepKYZ6yTtJe0l2yn3+LezFbIWufVdDb20weyF2UgUD6fs
glsaG6T9uJ2fnKUWD/JVDEKGiOghKMYFowsF3YTQ4FyEnaJtmnh0Y5JGqmQ3RU1xhfEgBXnVG6eg
PhB6uJF5IkOJojwqZXMHR8RdNlbuPIK+xropcrO6MLPUucIIiYKzbQEPm6Xve/qg6E8Iw3R8X1p+
WcUuHSyQROaKEbi5Va22vFFzFTS65Osv3Cq8Q+Jlz5MeSNEeQe+qp9mxfZ4DmHrUoL0BSXT7AlNG
W35saxepf1u115WO6h18TnkQ7K3P8jpmrNAncXDeWA0IONSvm95SI7QxzJ9bai7d/phNBo25Ynbd
CnNukVgMrp/9sAovMl9hxiJLO1uksC0gzJStxgJaSHnfmaPNtoaek2IancoDwA/ubRVVK+bNbvio
CAx/4MnqyIvbeLgt3VhsQkh0FwzojL079Mkn3m99gCYwPriTxCE6lSMEpCFiAuB1tdNeM0DOKi9u
INssjSDCLci8Zrx0gFmsbVwMt5MpxNqu8uzoYldADt8kMxel8fvWI7o9x9deGcGGr6o/1YKAnEf6
S/VlVBs0YYpSJERHTSlPKr0Y2pSJTVhHeztWZLGR0Ar9XUnPIKBpM4h0DTZOO2/K0vyg231HOF+j
JuM6Iv6TOR6IW0B5eu2cRIHN1AzCU9Muux5wA0wnlaG91CscFf7Y1/d9G9XxkkQRtVhEU+qfRQws
6SG3gn6GlrvTokB9dsS4yKLWE6NzlXQ255+OokkoThZLFDVZemuaYXVVVilEnpr90FU8mu6y0zqU
aLpqn0S0hUAoSvU50ioH+guCJH3FuosUzdYlc/TEqa33I12oECAxJYHX102Yr4KIqKClprCFOcCi
7Px131nm1k71omByZJYOy1vuwAVgqZjp84hcAKRkQbAYMFJvBLKbqzTVy2o5ub0zeYWbmp/iTHEZ
hwLqunEtZTxGjqI+OU4qJbq9iZUchG8L/n1A9OxVsiLuLY3jcpU2bUhXPQ0+6UERXbUTBODRLbVo
TY0J2810otVkF/WlBI7NeK7mEZU3jliPVG3xkkx6HdQdCVyOKhPHE6Lxj25f6VdqTomxoup1lUWd
uVa6GkoxIMQOwOYw1Jyo0bBJuogs0KV0CIAVPx9WtW1wm5isy0uubIaaVawWRwMbtk7KC1Jov8NZ
y++GQ6GmjNfysuh1Ty1rH/5NTXicn1XhAQ2auTMSB0CjmuHrRMxlQ8rv9IoxqNEjpLc5ZHATRybv
SauN8rbsbadZVnh4PhVpxHjLSAlLZ1Iklii95FKJQZ/bkoTFuiavt8UXBEzKYNTqq1SA3hgg8A3y
tl3JSeVaLKPE8iw1KI9hqtQnyTChIB0gVW2JLHY/jSatxg1Jk/ZwRrS4Qi+64yhwyqxdYMMuYWkn
8XCD19zf0xusH8fUpWieGIxesXKXgWfokXvi+EVOO1nFwTSQSrRRlUbStIZDbrOGrIKaHAmhI2r1
8tiedmYcxp5Ck3LlFmhk5dhIiPatuQdVq95RB8zWaDcnoCUyFG6aFMBQ7094mxg/wv8JMDDHibwq
TEncUYYRlFimKq28vFKjS5Tx6UrDZx94luNaJ2qmU05Zib8CAfhAnepuVO7JVSHbZgWjN/iIDbp9
GIkqBHeAm4dUKT35GDSFfQnLoGGEYWbxvi+UdDMpGazYoB2uh8E/jGHLXE1Nw0srqrkv9TmlyRfW
sHeqrt+aZRqcoDJKOO8i2jth6oZwvCNrUySq/qGqJ8RfGOfFXKHjJghVNUKzZpplhs8rppqFgPZg
8YjZRpSl9NKHuDnr83SOizXYHNeEB3m6AvkR0fOU7goixyNPzaLimjG0s6aEEwfgMOZ7c0JEZotG
ORSg7VY9vPfRC2LRXVdKGWBVd3R9R2SLs7KHLrzm1sN0LghlXjik6PF4DAAsNLKDv5PmTLpyoDeM
SkNx6Exd1F7lOCOIXKEmZ5ZigFqLQiB0eKscQtfj+KJOq2BcWiqT4FCF8QEvd0QIL+P2/ain0Q2G
su7gKoH1yL2rHbSwdp+rJmzWtRv7mSf0MVQ8pTe1DzqQqLNUS+KdVYn4DL9nO9DWppeRtTyvIil1
BldOFu/SXIZLmWfZBsIjkiZXGXZ6KcolKNPhREn5sInNQRCW5RUla1CIlYUU90PNUhfyalW6hnzE
MdU2fe/rqXPdhhLL/ShLnZlm2It1lcQgJA19OCsKhdnoXLlYqMHC/FoDWbUWYEkPhal/stkMsiqD
emmWA2Lc09Ec7Nt5+Vx1SYLoMx3M/hayAS6+YKoKZy27on2CiTMu/i+b87T04U9uDRirXpvWw7BU
RYyLexpDJrgsKXKZurH6JUf5Z+ub/v8yd+F5IiHoz1qH188Il4JjfnzV0Rba15/80jPU6BnqYjb6
cjz9RaL0pWdoY4i2bFxktK81VE2/NQ01F0e0oAlumdZsvXJ+s3dp1ru5A47xC5mEMfu7/knTkCN+
19QWBGXwdKZNjlbKMF/igr5pHkYJlg8AtMG6UdsrwfN9mxGjuWBkLdeukvXPmEERJGOd3soig8Mz
pM0aIyh+0YnHkVvEubrqhAn9KdV667LBNrzWJj/ftTU00TBNBkbegTgznMCGvOIiHnd866nW/WLN
RjwG9oiv4IEZNYDjGDUN9qVZiyzoq9y2Zd6cVTBqakD8beSDM0VRaBN3t4v6npt6CCy2DuQnzQbP
vsbcYLJYWHn/SGRNvRpz58RJ+u5OwDpcWAU5OxCyRUTCxWibWySllA/KVCaEyRDD3QPmv6GbhX0m
R5A70WwcqCcV01HyRe4G2QV+cLNYMOormbZTyJxJ34nyzcDY4AYUTXcP6H2CSsb6RJZT7F/PI1w2
v8g4Rqb+AthLUuMMQ4sFSrUlNvmipaF5i1E5SlbM5dQTyFY5AIzxXBu1bhtpTf9YUBp8REGPDatJ
m+aiTQYlXPKQ7xZjqlm3vsr2pIXNec2GQZ0jgGhFCGItQXV3/WXnB/mqNoLgyRnxyC1oPc5vPDXW
GE03EDxzYHdOvS2kXpyqaYT+jK85fxCytHZNqFLndJGq8ybJG/ZUGlYE88TahZ7BMFogAyWiFoE8
EEIFum1gCXb1wsEmOGr1zkRjtkT+vmd/qq50qQOlDfrwSg6R4vW0ICmbARCeZoBpCaRgfk/FW7GU
jjZYcutSxr4nnFLZCIQuK8TT9pIH/7IbGopQVetQ32Ikwpwe3ZZN0S6nQalO4IKlV4rCliVzhuoC
FUhAh5ntntL2xkXoAlxLnTjYCpmp2MILf6crTUWaSqJ+rKZp2odm4B8K7B1nY8yFWhe9/dAmOTlS
BsEOSaGj3s3hllb9guK+YMAriUtNBqyACOZvAAb660A65jHS5HgSqTX4GqMu1gKtHVa85oOqwjIM
8WGBm0IWVXVo0zoM57lsc3MFfid6nw39th7iQ4kmQYbWXpRrNhWU6zk1uxycjPK4lLQo8estGIUQ
SlE2AR0OcNFnjZaJKzdBVLhl8YMmHSr+XWOrCOHbuCDane6Ps+EfRZiYB7pNHhuu8b1eqdWWObx1
rnL6GjK9W3aujhvtMtcoFS8rBMmlsWOeQ3U1tlpdkfA0ZtBwfbsnILqDTlD3GXL9cfCbBzXNgvmm
dNxrOwekHrfo1UGsqzUbGEuMB2Qy4aVZUbraJDwx/p+c4FAyf9eXACijq4GaAXPaGGYrugXdfUl3
9TyKzH4/qrl1ToZOVGOI6SaOlFYAqKV25eqVvXWmCqaoX1rdNfs2/UZmdr+FPcQuM40y+HB6UW91
EZsPXN/Rp1B0Bgm/FjskdH56eNQoANJFBQuAai207YvYrPLVONeJSCczA8ZsEVebPqgA8GMPCzel
TPILxCjGdUe44p5pgP4+oSN8WiuVzpukW34II6lBBRCVtlLxHpgbSZfpYupjDVFnAHOsj9pTctSy
x5hLmG/VN/Tbpmja0zRpjJVPd2PrGCIiWSp1zvM8Q++X1uO8kzN89UT4pbZ1KxQbltbFgJGSpOFD
4Vf0aiqPa8USIHJtkSpY5zX73E7a7BJWmHpl6gMOthKZS7gvkdCAgs9oIslyrB977CkLfMDNwlbL
uFrUVoUr0NnH1YgOg55g1bJd62pmHGTWRVlfNaskcqj9qHox7uZ0yepWwYBloVc3yDoJ3VbbDo6W
XYoYkL/FjbtqKEk3Nf/xUODl75vOGNnCRw08S/eii6PgDNyp85gYLh3/wE/Wml5M+6puifMVmb61
6Yc8JBNOyq6z0JvnfrvBt2efgP7lO9QDceq7tLBSGcsFz6L8BHNWzB7bkv3KzrIHrUmLVaopmEbN
XHyAxbAWjvwQCzwx3PrhTkuIPqr0kA1W0j2ZRfQcNzD1KZjHBThxNByFQulrVPtIgetuSctEEBhd
4KWxl5ikFSJ6c3s7koG3CxR/rwa1JbxCDOoKQ/R4N3N+4fXC27jUfeaPkNCUkumYvpzy9Hpi/7XO
rI4edQgJmrCKXUojZinq6CFWuj7dE6pk44NzJbjzAJ2fp8ppWLe+2V3Bp4rPBsZw0DvK9rzW9RNm
lh/lUNLozOBvNVhlmoENWUaUw7lT6KcwIyf44KGjgmOt8SvB8CxM2LQyPiHEgI10Q7YG2ANUf4TH
qPyvBIO8qYx4X4NBihcoW6txObFjMRlzt/A/o6Ivt12dHrMxzfYiFfLeSMuGPWg4oiEc226Thxpo
sNyAzFxRw25QMNGzqAnhRRwzEG+G8TZb6xngtmbEyzpJxXgG7NxFK5Z4K1mZZA5SzChBStaWjOb8
h4Z1INKbAtCV3qAgndJYPOYFditbtP1FlIRU6rQrl3bPIuYyTsN3pFOtOxd8LOyOwOLiazAglbEg
voeWG0KW4db3wyeXy/1+sgSw9fbMCh25TpoqPvJArK5o50QeNPSMcOIBo0KOMAYCfKBfxl003Ssw
0FYBZt89LmpsDdgPiJbv23FhuHWPbiexHho84WwyqW4CSFIrkg6Fl2WKjZ28rG8Ku8u3gUjpjdhw
NZgiHsrYD25nZ/Mmm3OaiBBO7/rOLNcYf4kkdtKcOJW0RfdFm9yiwVbWtHEwTqueRVjAgTWg38g0
6c6ZP097nYLsNprwRA8Ns89Kd4KlUVXqDsBdy4JkW2AE80JfYHtiaoX7kmlFOz3qlaVuMXIQdW1N
/rphDA3WVANMHVobAgtuMJlhtrBAi1vkK5VI2XUSJG0V44kD3g/icYaArq/RnKIatgouRfbHK10V
ZNyjdMzaPluaQlmy67tUjMrYFwWOpqQcyd3N/OJo8TxbNMR1LKwmQ0Xk5Oq6BL/OCsPeL64d51JM
ysyBq/p1Vjb+Wd5rmM5o4q5L4mywLL2kUOjnQSdPAN1+0rQG8yVwEZXxI9X+k0xpDUwWvRedUuvc
TQpznTP8OGmnINwQK+apDV5Nz6217rqlEXkzmmi8hmjo1r2G7TwIa4yHbPbUUBC12w25BxSEUCyG
xXh2SneNS3IIF4Yx3PNDJC7CDntAmwdnOVbjtRkG+alaJsYHzreDg0nIPFmUZQRnK0zMlRWoQO4j
M0QRbduXZcdazk5dBTgOyxalHep3OiaXMJscnF95ctqFkBxxISTWgTuUYOmyDOtT9iHZJTkv1vOk
DsGCaW1+AVdMO7ekLvayTq1nFzLlmUBYjUIgjN4bdVWdWGQ39F5c5RGC06w947GZ7qop6ZdNZT8G
NAq2dh6ny8CM5Xlras69adKUymn8QZhgoacuMuLyrByrjMo/MqJdkSGuZ55Xjjw9GA4G05CvEYfJ
rVvbYqdY9njlw/yfQB3IfRHZBJeCxd0bQzLe9kaTXwxZeFcwij+QoJ3c96pTbQ2bNidTfwA61OCE
/FXoD4W2yuqB8IxQIyzFjlnpyCKGd2NoqxxBx1K6IiL/MbE+qGxlOM1OdkG7clxSPxZ3IXzpmXSX
7DXkoh4IFvPU0drS9qZA4jAmyDm8xPSs4J8SkvnmNDz6WNTRvbHu+Y7OK49Nt25s1vHBtoOTwq5u
RNsFHxzFp8rMhLqUFER1HeymINlkbkskeoarpCu6AyvqgCyDknepMnz1ElVZqgxyYRmQBuSU/WPE
+AhSW5nt4xrkcRd33c6wNG1vk+i0gu6uLocs8bc9wGBXnc3aVRrv7PSp71T3KYDDuYsLDkUJq3pq
n9L1U8LxhHlnAOQgShNSSwpl42c9fE5i49b51HP6zN68UKAhbaYwqQ+9xFeHsL18ULlgzmWiocHW
0e9FsANg5jSUE5VLC9Me27MM8/NiCKLxve8TgNKocXoEpDDxUUrwfUidH9mM6bvOqjWSHxXTgzFY
3SjK1NM4nzClVrmh3ed2oXzMbFfSN1bLrTWMzGEiNyUsHaYnmx6mTYcapOTCZ7LXOEmBDpu0lLVT
jiMAjp7ER3ZyXbQoG74vy3aTuzEfeq6sXmwKJe/h2cszAxukqObYWDjsQgoSPiLnE6w/D43k6ZCD
P/RRqA5djskEPSXlqbpPBKrIzM6eq37YIuC5dqTDYbQuOkQsiV6CYnXbOHawHs262nVG0e4SPiXw
0KI7Tp1Wr1z05bcKBsjTYiz8R4WaCReJJF8K15C74esxV27W2Wf0AstT0ZrZPaBESW1kWbtCpaSV
hqKwCo6DskKIH6lbd7KGGj6LMpxWec4jvooyd6ODtcXaXVT4XQdaUT4BmI8qkQum5zcWnsPUtz+6
AtkLXVwnuS0pkValO7rnbT+ld3Aro834giXWjeEoMJqydiS5dkjliInQzKfLQFG6PRFFw6XSNEyh
oaV3hAXa+soniHg30am4cjPsDcHoRxtR9+UdU39gs4wRdvZoMhRM+voMwIDKbLotxUoCXVnq2FUv
W8YsChVLVz9jc+mulRz1i9d0ZnMmLJp8/TxM95JRd5BwG9UGqMynKMndvRkSCeyN6GgZUoM871Mj
uuXBgYNQbWgmloolzwZ70ve1r+trZRyzO7xKVK4MEA45t7sX0qw+92vyO8iPweQzNdO4LEK8op6Z
6c0hsdvyguI6Lj2DGeW2jnUeNRWL6FVQVDXestBKd6XInA1psfX7uKSGRUsN+gDNhLl02cWc6oEW
LKo0b26EOqt0DNtejE0S3JqxE21Ah4DZdKcu3vW50D2r6ad9Rnm2r6qpvwOT3l27VKGXM35yXU6x
cZvpQ7R3Oy1+CGzJWuT307k1Wchxk1INyMCKtbO86Sov1HLctnFq7dSyQ2kxQdsuFkQeWsfOJHnQ
cxNDPcLaTiqaB9PwAfe/Ta8ldhsaD61JTBTZVfJEoWXJuNJht1v5yrQe7aQ8Yx0v78PBL2+ZhVmr
qTTZGDgI/UdHLy6AJTk3wk5sLL5QxDTZWUTK69m5VY2UWHHbAPLGD9fdaXaLF0+NwwvfHPRN3WgT
gVp9Iu4nDWWZ1SA1a0snPVESi6ozIlDAU6RZrWzkAocYtQ9frXMsezogYaxsJppWa3VkD87n0Bg4
EpCKO1bAPh29pFeSBrA1vQcN48xWa11tCZ08uzFStdoX8Ay6FZAz8aCY7C8GJC7I0BNBBI+tVFlL
z6oEXRbBIOBTU94qYngf+XF6FpkWb1YfcoQcJt62l4bmz+7s/iHca36hx4I9IqtZi9b2ywsvj+3x
1W9WL8rOS/lcj1fPjUzbP//bX1W784EORZS318XvDvG3/tFXveWPD/TL8zeK00ekOO38/gJAgq9a
vrN16BUD7OUtvXyaPztCekRbLZ9QVusIQenzCo2wxZdfKDtxjgRf/tp236FlNRzVhJI+//qsaP3m
ZP7ROfjzj/f1VH+Ggf2NU/DHCnCha9/LbP/gJHx3jN9Ogmai8FZNaK2ovOdfGLa+PQni3dwRhwb5
5SR9Pun/TifhxbZsgrH8OxfDH54H3Xkn2NyjfwBu+oPzYL/TNKTCtKI+Xyuf7dX/RudBt/HVvfUk
iHcvtDmhfbkYsHx/ezEY7wDWzx7uLyeBqQYn/d/oJLBb0b83vv/jO2KOedXVedzzwyuBO0Jlx69z
Jl5+/dudBMQ26luvBDwcjkmD2Z7xzd9eAtacm2vaKOc/f3qemf9elwDAbfPzm/ruAfv7leGPHwYz
xcCwhKZ9vgK+eyg66jsGgPPa8c8fin/jZvl1CV2EmFBeVtjouflmmf7Lf/B1Afr9Ab6sjLun//oP
1Hq/zjBf/uHsN/p86N8W4P9+dY5ebvVv/vLrrf/tj3/5gL9/6R++qa9/uI2e62P9COT4Ze3/8jbP
jxnr9P/kTyHU6x+lOsNM/loT/NAt9euS8KfHb5pj9vUw85mZLR1ff/+vH5btwLH+epj5sIarczP9
dvp+5+36W+92e6zH76ffhjWPqt985Cj74/xsUzVYYt/6Evtjlslf/s8xK//zl5NjE2bRqzNEmeHy
5Hrrq5wc65wSNflOIvBSLL352Fyn6XcHJo7j7W/69Jg04fGpf34uvx7s5S6d3Utf/+BfvxjPjk/h
+ON7aHZHvf0FLp4i3v7X47zcRSaOwa9/8K+/84N8ko/hc12PX4/1cnBhzPkob/02DzKPjw9fj/P5
wC+L51sPfHWMjygjj6+2LF9KtLce+32UJNGrB5ahOtZP+A6vj1mU/nJ+fJLfnhFIP4Ia563v+qZt
CSz4wUP8y4L91uN/eG7aX7xnpEHp1zc7f5+4BrWf8O7PjjzMeWC19atr/Eu9+db3vpExR3/l7rW5
DHXjJ6wXm+LVO56PK/Sf8ChnVT5mx/xzGEX0WDzw7e6aGSrVfHv+2Ttq2rwxees5+h+Aj3+8PKGg
1bCBvv1lzqKpqF+XAxxatXX3J6yw11At5esr6MvBf8Ld+4+yQb7psLyq8L7ZQP5ZyfQX/LA3Hv1s
BkXK15XBZzjZTzhNZ89ByAo+vror+BZmZtpPKCaXz2kYfb0M5wfQ50PP/Ym33gHLX+83pLJfD/fN
S/yE9fAveQFv/GbJYTu2bdT8jkjwBc7/E77fl3UGczkPolfn6Msr/IRHxF/GC7zxJP2lwvWNx/+7
5vs3vsyPn0e/sG788odXsk3NCGuCm5EuAztwbaY9/Pl986P95q89qd/vQr92X3/0Y6+32PO/eEyf
j/V//z8AAAD//w==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1.xml"/><Relationship Id="rId12"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hyperlink" Target="#'Kpi''s'!A1"/><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hyperlink" Target="#'Dashboard data '!A1"/></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0.xml"/><Relationship Id="rId2" Type="http://schemas.microsoft.com/office/2014/relationships/chartEx" Target="../charts/chartEx3.xml"/><Relationship Id="rId1" Type="http://schemas.openxmlformats.org/officeDocument/2006/relationships/chart" Target="../charts/chart6.xml"/><Relationship Id="rId6" Type="http://schemas.microsoft.com/office/2014/relationships/chartEx" Target="../charts/chartEx4.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44824</xdr:colOff>
      <xdr:row>0</xdr:row>
      <xdr:rowOff>11207</xdr:rowOff>
    </xdr:from>
    <xdr:to>
      <xdr:col>26</xdr:col>
      <xdr:colOff>56029</xdr:colOff>
      <xdr:row>33</xdr:row>
      <xdr:rowOff>1</xdr:rowOff>
    </xdr:to>
    <xdr:sp macro="" textlink="">
      <xdr:nvSpPr>
        <xdr:cNvPr id="33" name="Rectangle 32">
          <a:extLst>
            <a:ext uri="{FF2B5EF4-FFF2-40B4-BE49-F238E27FC236}">
              <a16:creationId xmlns:a16="http://schemas.microsoft.com/office/drawing/2014/main" id="{F84B0836-D15D-E9DC-2C1D-9527BE281C60}"/>
            </a:ext>
          </a:extLst>
        </xdr:cNvPr>
        <xdr:cNvSpPr/>
      </xdr:nvSpPr>
      <xdr:spPr>
        <a:xfrm>
          <a:off x="44824" y="11207"/>
          <a:ext cx="15744264" cy="5905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575930</xdr:colOff>
      <xdr:row>12</xdr:row>
      <xdr:rowOff>88605</xdr:rowOff>
    </xdr:from>
    <xdr:to>
      <xdr:col>26</xdr:col>
      <xdr:colOff>17721</xdr:colOff>
      <xdr:row>32</xdr:row>
      <xdr:rowOff>115186</xdr:rowOff>
    </xdr:to>
    <xdr:sp macro="" textlink="">
      <xdr:nvSpPr>
        <xdr:cNvPr id="32" name="Rectangle 31">
          <a:extLst>
            <a:ext uri="{FF2B5EF4-FFF2-40B4-BE49-F238E27FC236}">
              <a16:creationId xmlns:a16="http://schemas.microsoft.com/office/drawing/2014/main" id="{11CA4464-3FB5-641E-0AFF-2A672F852538}"/>
            </a:ext>
          </a:extLst>
        </xdr:cNvPr>
        <xdr:cNvSpPr/>
      </xdr:nvSpPr>
      <xdr:spPr>
        <a:xfrm>
          <a:off x="7301023" y="2321442"/>
          <a:ext cx="8612372" cy="3747977"/>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62022</xdr:colOff>
      <xdr:row>5</xdr:row>
      <xdr:rowOff>26581</xdr:rowOff>
    </xdr:from>
    <xdr:to>
      <xdr:col>5</xdr:col>
      <xdr:colOff>502023</xdr:colOff>
      <xdr:row>32</xdr:row>
      <xdr:rowOff>17929</xdr:rowOff>
    </xdr:to>
    <xdr:sp macro="" textlink="">
      <xdr:nvSpPr>
        <xdr:cNvPr id="31" name="Rectangle 30">
          <a:extLst>
            <a:ext uri="{FF2B5EF4-FFF2-40B4-BE49-F238E27FC236}">
              <a16:creationId xmlns:a16="http://schemas.microsoft.com/office/drawing/2014/main" id="{9075D467-8AD9-F9A5-E384-BAD4090C3935}"/>
            </a:ext>
          </a:extLst>
        </xdr:cNvPr>
        <xdr:cNvSpPr/>
      </xdr:nvSpPr>
      <xdr:spPr>
        <a:xfrm>
          <a:off x="62022" y="923052"/>
          <a:ext cx="3488001" cy="4832289"/>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13138</xdr:colOff>
      <xdr:row>0</xdr:row>
      <xdr:rowOff>17517</xdr:rowOff>
    </xdr:from>
    <xdr:to>
      <xdr:col>11</xdr:col>
      <xdr:colOff>598714</xdr:colOff>
      <xdr:row>5</xdr:row>
      <xdr:rowOff>0</xdr:rowOff>
    </xdr:to>
    <xdr:sp macro="" textlink="">
      <xdr:nvSpPr>
        <xdr:cNvPr id="3" name="Rectangle 2">
          <a:extLst>
            <a:ext uri="{FF2B5EF4-FFF2-40B4-BE49-F238E27FC236}">
              <a16:creationId xmlns:a16="http://schemas.microsoft.com/office/drawing/2014/main" id="{40639CF6-4F67-A1BB-8671-2181B89A04C6}"/>
            </a:ext>
          </a:extLst>
        </xdr:cNvPr>
        <xdr:cNvSpPr/>
      </xdr:nvSpPr>
      <xdr:spPr>
        <a:xfrm>
          <a:off x="13138" y="17517"/>
          <a:ext cx="7256964" cy="91554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90000"/>
                <a:lumOff val="10000"/>
              </a:schemeClr>
            </a:solidFill>
          </a:endParaRPr>
        </a:p>
      </xdr:txBody>
    </xdr:sp>
    <xdr:clientData/>
  </xdr:twoCellAnchor>
  <xdr:twoCellAnchor>
    <xdr:from>
      <xdr:col>12</xdr:col>
      <xdr:colOff>26328</xdr:colOff>
      <xdr:row>0</xdr:row>
      <xdr:rowOff>17124</xdr:rowOff>
    </xdr:from>
    <xdr:to>
      <xdr:col>25</xdr:col>
      <xdr:colOff>590762</xdr:colOff>
      <xdr:row>5</xdr:row>
      <xdr:rowOff>6421</xdr:rowOff>
    </xdr:to>
    <xdr:sp macro="" textlink="">
      <xdr:nvSpPr>
        <xdr:cNvPr id="4" name="Rectangle 3">
          <a:extLst>
            <a:ext uri="{FF2B5EF4-FFF2-40B4-BE49-F238E27FC236}">
              <a16:creationId xmlns:a16="http://schemas.microsoft.com/office/drawing/2014/main" id="{C3FDA6E7-ABEB-3270-A4E9-151D0477105E}"/>
            </a:ext>
          </a:extLst>
        </xdr:cNvPr>
        <xdr:cNvSpPr/>
      </xdr:nvSpPr>
      <xdr:spPr>
        <a:xfrm>
          <a:off x="7320980" y="17124"/>
          <a:ext cx="8466973" cy="888286"/>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69137</xdr:colOff>
      <xdr:row>2</xdr:row>
      <xdr:rowOff>145551</xdr:rowOff>
    </xdr:from>
    <xdr:to>
      <xdr:col>16</xdr:col>
      <xdr:colOff>123893</xdr:colOff>
      <xdr:row>4</xdr:row>
      <xdr:rowOff>112400</xdr:rowOff>
    </xdr:to>
    <xdr:sp macro="" textlink="'Kpi''s'!$AC$2">
      <xdr:nvSpPr>
        <xdr:cNvPr id="5" name="TextBox 4">
          <a:extLst>
            <a:ext uri="{FF2B5EF4-FFF2-40B4-BE49-F238E27FC236}">
              <a16:creationId xmlns:a16="http://schemas.microsoft.com/office/drawing/2014/main" id="{B485A51A-D5CC-44A5-BFDF-217FABF731BE}"/>
            </a:ext>
          </a:extLst>
        </xdr:cNvPr>
        <xdr:cNvSpPr txBox="1"/>
      </xdr:nvSpPr>
      <xdr:spPr>
        <a:xfrm>
          <a:off x="7971676" y="505147"/>
          <a:ext cx="1878419" cy="3264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1599A1-4467-4843-A10C-1A3B0810715D}" type="TxLink">
            <a:rPr lang="en-US" sz="2000" b="1" i="0" u="none" strike="noStrike">
              <a:solidFill>
                <a:schemeClr val="tx1"/>
              </a:solidFill>
              <a:latin typeface="Aptos Narrow"/>
            </a:rPr>
            <a:pPr algn="ctr"/>
            <a:t> 80,659,661 </a:t>
          </a:fld>
          <a:endParaRPr lang="en-US" sz="2000" b="1">
            <a:solidFill>
              <a:schemeClr val="tx1"/>
            </a:solidFill>
          </a:endParaRPr>
        </a:p>
      </xdr:txBody>
    </xdr:sp>
    <xdr:clientData/>
  </xdr:twoCellAnchor>
  <xdr:twoCellAnchor>
    <xdr:from>
      <xdr:col>22</xdr:col>
      <xdr:colOff>481002</xdr:colOff>
      <xdr:row>2</xdr:row>
      <xdr:rowOff>148495</xdr:rowOff>
    </xdr:from>
    <xdr:to>
      <xdr:col>25</xdr:col>
      <xdr:colOff>535758</xdr:colOff>
      <xdr:row>4</xdr:row>
      <xdr:rowOff>134044</xdr:rowOff>
    </xdr:to>
    <xdr:sp macro="" textlink="'Kpi''s'!$AI$2">
      <xdr:nvSpPr>
        <xdr:cNvPr id="6" name="TextBox 5">
          <a:extLst>
            <a:ext uri="{FF2B5EF4-FFF2-40B4-BE49-F238E27FC236}">
              <a16:creationId xmlns:a16="http://schemas.microsoft.com/office/drawing/2014/main" id="{48568AFA-2D8E-4F8F-8689-47B9DA1EAEEF}"/>
            </a:ext>
          </a:extLst>
        </xdr:cNvPr>
        <xdr:cNvSpPr txBox="1"/>
      </xdr:nvSpPr>
      <xdr:spPr>
        <a:xfrm>
          <a:off x="13854530" y="508091"/>
          <a:ext cx="1878419" cy="3451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53DE58-7CDE-4D47-B063-A1D08858687A}" type="TxLink">
            <a:rPr lang="en-US" sz="2000" b="1" i="0" u="none" strike="noStrike">
              <a:solidFill>
                <a:schemeClr val="tx1"/>
              </a:solidFill>
              <a:latin typeface="Aptos Narrow"/>
            </a:rPr>
            <a:pPr algn="ctr"/>
            <a:t> 3.00 </a:t>
          </a:fld>
          <a:endParaRPr lang="en-US" sz="2000" b="1">
            <a:solidFill>
              <a:schemeClr val="tx1"/>
            </a:solidFill>
          </a:endParaRPr>
        </a:p>
      </xdr:txBody>
    </xdr:sp>
    <xdr:clientData/>
  </xdr:twoCellAnchor>
  <xdr:twoCellAnchor>
    <xdr:from>
      <xdr:col>18</xdr:col>
      <xdr:colOff>44847</xdr:colOff>
      <xdr:row>2</xdr:row>
      <xdr:rowOff>119865</xdr:rowOff>
    </xdr:from>
    <xdr:to>
      <xdr:col>21</xdr:col>
      <xdr:colOff>99604</xdr:colOff>
      <xdr:row>4</xdr:row>
      <xdr:rowOff>86714</xdr:rowOff>
    </xdr:to>
    <xdr:sp macro="" textlink="'Kpi''s'!$AF$2">
      <xdr:nvSpPr>
        <xdr:cNvPr id="7" name="TextBox 6">
          <a:extLst>
            <a:ext uri="{FF2B5EF4-FFF2-40B4-BE49-F238E27FC236}">
              <a16:creationId xmlns:a16="http://schemas.microsoft.com/office/drawing/2014/main" id="{60E4EF65-6EE7-42A7-A433-B3F72E6F1F36}"/>
            </a:ext>
          </a:extLst>
        </xdr:cNvPr>
        <xdr:cNvSpPr txBox="1"/>
      </xdr:nvSpPr>
      <xdr:spPr>
        <a:xfrm>
          <a:off x="10986825" y="479461"/>
          <a:ext cx="1878419" cy="3264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1B1A91-2838-4AA9-94A6-9906C2B87D5C}" type="TxLink">
            <a:rPr lang="en-US" sz="2000" b="1" i="0" u="none" strike="noStrike">
              <a:solidFill>
                <a:schemeClr val="tx1"/>
              </a:solidFill>
              <a:latin typeface="Aptos Narrow"/>
            </a:rPr>
            <a:pPr algn="ctr"/>
            <a:t> 5.5 </a:t>
          </a:fld>
          <a:endParaRPr lang="en-US" sz="2000" b="1">
            <a:solidFill>
              <a:schemeClr val="tx1"/>
            </a:solidFill>
          </a:endParaRPr>
        </a:p>
      </xdr:txBody>
    </xdr:sp>
    <xdr:clientData/>
  </xdr:twoCellAnchor>
  <xdr:twoCellAnchor>
    <xdr:from>
      <xdr:col>13</xdr:col>
      <xdr:colOff>154111</xdr:colOff>
      <xdr:row>1</xdr:row>
      <xdr:rowOff>51373</xdr:rowOff>
    </xdr:from>
    <xdr:to>
      <xdr:col>16</xdr:col>
      <xdr:colOff>42807</xdr:colOff>
      <xdr:row>2</xdr:row>
      <xdr:rowOff>154115</xdr:rowOff>
    </xdr:to>
    <xdr:sp macro="" textlink="">
      <xdr:nvSpPr>
        <xdr:cNvPr id="8" name="Rectangle 7">
          <a:extLst>
            <a:ext uri="{FF2B5EF4-FFF2-40B4-BE49-F238E27FC236}">
              <a16:creationId xmlns:a16="http://schemas.microsoft.com/office/drawing/2014/main" id="{FB056474-90A5-1944-D7AA-D1B8F73590FC}"/>
            </a:ext>
          </a:extLst>
        </xdr:cNvPr>
        <xdr:cNvSpPr/>
      </xdr:nvSpPr>
      <xdr:spPr>
        <a:xfrm>
          <a:off x="8056650" y="231171"/>
          <a:ext cx="1712359" cy="28254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200" b="1">
              <a:solidFill>
                <a:schemeClr val="bg1"/>
              </a:solidFill>
            </a:rPr>
            <a:t>Total</a:t>
          </a:r>
          <a:r>
            <a:rPr lang="en-US" sz="1200" b="1" baseline="0">
              <a:solidFill>
                <a:schemeClr val="bg1"/>
              </a:solidFill>
            </a:rPr>
            <a:t> Sales</a:t>
          </a:r>
          <a:endParaRPr lang="en-US" sz="1200" b="1">
            <a:solidFill>
              <a:schemeClr val="bg1"/>
            </a:solidFill>
          </a:endParaRPr>
        </a:p>
      </xdr:txBody>
    </xdr:sp>
    <xdr:clientData/>
  </xdr:twoCellAnchor>
  <xdr:twoCellAnchor>
    <xdr:from>
      <xdr:col>18</xdr:col>
      <xdr:colOff>111301</xdr:colOff>
      <xdr:row>1</xdr:row>
      <xdr:rowOff>17124</xdr:rowOff>
    </xdr:from>
    <xdr:to>
      <xdr:col>21</xdr:col>
      <xdr:colOff>59932</xdr:colOff>
      <xdr:row>2</xdr:row>
      <xdr:rowOff>119866</xdr:rowOff>
    </xdr:to>
    <xdr:sp macro="" textlink="">
      <xdr:nvSpPr>
        <xdr:cNvPr id="9" name="Rectangle 8">
          <a:extLst>
            <a:ext uri="{FF2B5EF4-FFF2-40B4-BE49-F238E27FC236}">
              <a16:creationId xmlns:a16="http://schemas.microsoft.com/office/drawing/2014/main" id="{4F5B6347-8A6F-BA57-F0E6-60171EE7D645}"/>
            </a:ext>
          </a:extLst>
        </xdr:cNvPr>
        <xdr:cNvSpPr/>
      </xdr:nvSpPr>
      <xdr:spPr>
        <a:xfrm>
          <a:off x="11053279" y="196922"/>
          <a:ext cx="1772293" cy="28254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200" b="1" baseline="0">
              <a:solidFill>
                <a:schemeClr val="bg1"/>
              </a:solidFill>
            </a:rPr>
            <a:t>Average  Delivery days</a:t>
          </a:r>
          <a:endParaRPr lang="en-US" sz="1200" b="1">
            <a:solidFill>
              <a:schemeClr val="bg1"/>
            </a:solidFill>
          </a:endParaRPr>
        </a:p>
      </xdr:txBody>
    </xdr:sp>
    <xdr:clientData/>
  </xdr:twoCellAnchor>
  <xdr:twoCellAnchor>
    <xdr:from>
      <xdr:col>23</xdr:col>
      <xdr:colOff>42809</xdr:colOff>
      <xdr:row>1</xdr:row>
      <xdr:rowOff>34248</xdr:rowOff>
    </xdr:from>
    <xdr:to>
      <xdr:col>25</xdr:col>
      <xdr:colOff>376720</xdr:colOff>
      <xdr:row>2</xdr:row>
      <xdr:rowOff>136990</xdr:rowOff>
    </xdr:to>
    <xdr:sp macro="" textlink="">
      <xdr:nvSpPr>
        <xdr:cNvPr id="10" name="Rectangle 9">
          <a:extLst>
            <a:ext uri="{FF2B5EF4-FFF2-40B4-BE49-F238E27FC236}">
              <a16:creationId xmlns:a16="http://schemas.microsoft.com/office/drawing/2014/main" id="{FDC1CD54-4DBB-507B-0709-AA0B00F0F703}"/>
            </a:ext>
          </a:extLst>
        </xdr:cNvPr>
        <xdr:cNvSpPr/>
      </xdr:nvSpPr>
      <xdr:spPr>
        <a:xfrm>
          <a:off x="14024225" y="214046"/>
          <a:ext cx="1549686" cy="28254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200" b="1">
              <a:solidFill>
                <a:schemeClr val="bg1"/>
              </a:solidFill>
            </a:rPr>
            <a:t>Average</a:t>
          </a:r>
          <a:r>
            <a:rPr lang="en-US" sz="1200" b="1" baseline="0">
              <a:solidFill>
                <a:schemeClr val="bg1"/>
              </a:solidFill>
            </a:rPr>
            <a:t> Rating</a:t>
          </a:r>
          <a:endParaRPr lang="en-US" sz="1200" b="1">
            <a:solidFill>
              <a:schemeClr val="bg1"/>
            </a:solidFill>
          </a:endParaRPr>
        </a:p>
      </xdr:txBody>
    </xdr:sp>
    <xdr:clientData/>
  </xdr:twoCellAnchor>
  <xdr:twoCellAnchor editAs="oneCell">
    <xdr:from>
      <xdr:col>12</xdr:col>
      <xdr:colOff>34249</xdr:colOff>
      <xdr:row>1</xdr:row>
      <xdr:rowOff>25687</xdr:rowOff>
    </xdr:from>
    <xdr:to>
      <xdr:col>13</xdr:col>
      <xdr:colOff>102744</xdr:colOff>
      <xdr:row>4</xdr:row>
      <xdr:rowOff>162676</xdr:rowOff>
    </xdr:to>
    <xdr:pic>
      <xdr:nvPicPr>
        <xdr:cNvPr id="12" name="Graphic 11" descr="Bar graph with upward trend with solid fill">
          <a:extLst>
            <a:ext uri="{FF2B5EF4-FFF2-40B4-BE49-F238E27FC236}">
              <a16:creationId xmlns:a16="http://schemas.microsoft.com/office/drawing/2014/main" id="{91E01927-5ACA-5E21-A9D1-FE25A7B216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28901" y="205485"/>
          <a:ext cx="676382" cy="676382"/>
        </a:xfrm>
        <a:prstGeom prst="rect">
          <a:avLst/>
        </a:prstGeom>
      </xdr:spPr>
    </xdr:pic>
    <xdr:clientData/>
  </xdr:twoCellAnchor>
  <xdr:twoCellAnchor editAs="oneCell">
    <xdr:from>
      <xdr:col>16</xdr:col>
      <xdr:colOff>462338</xdr:colOff>
      <xdr:row>0</xdr:row>
      <xdr:rowOff>171235</xdr:rowOff>
    </xdr:from>
    <xdr:to>
      <xdr:col>18</xdr:col>
      <xdr:colOff>0</xdr:colOff>
      <xdr:row>5</xdr:row>
      <xdr:rowOff>25684</xdr:rowOff>
    </xdr:to>
    <xdr:pic>
      <xdr:nvPicPr>
        <xdr:cNvPr id="14" name="Graphic 13" descr="Truck with solid fill">
          <a:extLst>
            <a:ext uri="{FF2B5EF4-FFF2-40B4-BE49-F238E27FC236}">
              <a16:creationId xmlns:a16="http://schemas.microsoft.com/office/drawing/2014/main" id="{E1797516-082A-6810-3127-73D3F651A12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188540" y="171235"/>
          <a:ext cx="753438" cy="753438"/>
        </a:xfrm>
        <a:prstGeom prst="rect">
          <a:avLst/>
        </a:prstGeom>
      </xdr:spPr>
    </xdr:pic>
    <xdr:clientData/>
  </xdr:twoCellAnchor>
  <xdr:twoCellAnchor editAs="oneCell">
    <xdr:from>
      <xdr:col>21</xdr:col>
      <xdr:colOff>410968</xdr:colOff>
      <xdr:row>1</xdr:row>
      <xdr:rowOff>94180</xdr:rowOff>
    </xdr:from>
    <xdr:to>
      <xdr:col>22</xdr:col>
      <xdr:colOff>376720</xdr:colOff>
      <xdr:row>4</xdr:row>
      <xdr:rowOff>128427</xdr:rowOff>
    </xdr:to>
    <xdr:pic>
      <xdr:nvPicPr>
        <xdr:cNvPr id="18" name="Graphic 17" descr="Angel face outline with solid fill">
          <a:extLst>
            <a:ext uri="{FF2B5EF4-FFF2-40B4-BE49-F238E27FC236}">
              <a16:creationId xmlns:a16="http://schemas.microsoft.com/office/drawing/2014/main" id="{FFE71A15-AEB8-8FE9-215B-D52D2E9966E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176608" y="273978"/>
          <a:ext cx="573640" cy="573640"/>
        </a:xfrm>
        <a:prstGeom prst="rect">
          <a:avLst/>
        </a:prstGeom>
      </xdr:spPr>
    </xdr:pic>
    <xdr:clientData/>
  </xdr:twoCellAnchor>
  <xdr:twoCellAnchor editAs="oneCell">
    <xdr:from>
      <xdr:col>12</xdr:col>
      <xdr:colOff>21676</xdr:colOff>
      <xdr:row>5</xdr:row>
      <xdr:rowOff>25685</xdr:rowOff>
    </xdr:from>
    <xdr:to>
      <xdr:col>14</xdr:col>
      <xdr:colOff>239731</xdr:colOff>
      <xdr:row>12</xdr:row>
      <xdr:rowOff>51371</xdr:rowOff>
    </xdr:to>
    <mc:AlternateContent xmlns:mc="http://schemas.openxmlformats.org/markup-compatibility/2006" xmlns:a14="http://schemas.microsoft.com/office/drawing/2010/main">
      <mc:Choice Requires="a14">
        <xdr:graphicFrame macro="">
          <xdr:nvGraphicFramePr>
            <xdr:cNvPr id="19" name="Gender 1">
              <a:extLst>
                <a:ext uri="{FF2B5EF4-FFF2-40B4-BE49-F238E27FC236}">
                  <a16:creationId xmlns:a16="http://schemas.microsoft.com/office/drawing/2014/main" id="{354DED96-AE27-4222-BC8B-FDEFBEED5FD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315105" y="932828"/>
              <a:ext cx="1433626" cy="1295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325487</xdr:colOff>
      <xdr:row>5</xdr:row>
      <xdr:rowOff>8563</xdr:rowOff>
    </xdr:from>
    <xdr:to>
      <xdr:col>16</xdr:col>
      <xdr:colOff>541944</xdr:colOff>
      <xdr:row>12</xdr:row>
      <xdr:rowOff>51371</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4D95A9FB-0511-4A86-B0F7-4ACDCF53733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834487" y="915706"/>
              <a:ext cx="1432028" cy="1312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31019</xdr:colOff>
      <xdr:row>5</xdr:row>
      <xdr:rowOff>17123</xdr:rowOff>
    </xdr:from>
    <xdr:to>
      <xdr:col>19</xdr:col>
      <xdr:colOff>249074</xdr:colOff>
      <xdr:row>12</xdr:row>
      <xdr:rowOff>51371</xdr:rowOff>
    </xdr:to>
    <mc:AlternateContent xmlns:mc="http://schemas.openxmlformats.org/markup-compatibility/2006" xmlns:a14="http://schemas.microsoft.com/office/drawing/2010/main">
      <mc:Choice Requires="a14">
        <xdr:graphicFrame macro="">
          <xdr:nvGraphicFramePr>
            <xdr:cNvPr id="21" name="OrderChannel 1">
              <a:extLst>
                <a:ext uri="{FF2B5EF4-FFF2-40B4-BE49-F238E27FC236}">
                  <a16:creationId xmlns:a16="http://schemas.microsoft.com/office/drawing/2014/main" id="{8D88A04B-B122-4D95-8134-65FD78592CCD}"/>
                </a:ext>
              </a:extLst>
            </xdr:cNvPr>
            <xdr:cNvGraphicFramePr/>
          </xdr:nvGraphicFramePr>
          <xdr:xfrm>
            <a:off x="0" y="0"/>
            <a:ext cx="0" cy="0"/>
          </xdr:xfrm>
          <a:graphic>
            <a:graphicData uri="http://schemas.microsoft.com/office/drawing/2010/slicer">
              <sle:slicer xmlns:sle="http://schemas.microsoft.com/office/drawing/2010/slicer" name="OrderChannel 1"/>
            </a:graphicData>
          </a:graphic>
        </xdr:graphicFrame>
      </mc:Choice>
      <mc:Fallback xmlns="">
        <xdr:sp macro="" textlink="">
          <xdr:nvSpPr>
            <xdr:cNvPr id="0" name=""/>
            <xdr:cNvSpPr>
              <a:spLocks noTextEdit="1"/>
            </xdr:cNvSpPr>
          </xdr:nvSpPr>
          <xdr:spPr>
            <a:xfrm>
              <a:off x="10363376" y="924266"/>
              <a:ext cx="1433627" cy="1304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359000</xdr:colOff>
      <xdr:row>5</xdr:row>
      <xdr:rowOff>0</xdr:rowOff>
    </xdr:from>
    <xdr:to>
      <xdr:col>21</xdr:col>
      <xdr:colOff>577055</xdr:colOff>
      <xdr:row>12</xdr:row>
      <xdr:rowOff>68379</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9B03D5FC-08A6-45FD-91D2-267A22F3393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906929" y="907143"/>
              <a:ext cx="1433626" cy="1338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25685</xdr:colOff>
      <xdr:row>5</xdr:row>
      <xdr:rowOff>0</xdr:rowOff>
    </xdr:from>
    <xdr:to>
      <xdr:col>25</xdr:col>
      <xdr:colOff>605117</xdr:colOff>
      <xdr:row>12</xdr:row>
      <xdr:rowOff>51371</xdr:rowOff>
    </xdr:to>
    <mc:AlternateContent xmlns:mc="http://schemas.openxmlformats.org/markup-compatibility/2006" xmlns:tsle="http://schemas.microsoft.com/office/drawing/2012/timeslicer">
      <mc:Choice Requires="tsle">
        <xdr:graphicFrame macro="">
          <xdr:nvGraphicFramePr>
            <xdr:cNvPr id="23" name="OrderDate 1">
              <a:extLst>
                <a:ext uri="{FF2B5EF4-FFF2-40B4-BE49-F238E27FC236}">
                  <a16:creationId xmlns:a16="http://schemas.microsoft.com/office/drawing/2014/main" id="{3D51B154-0098-4C26-9ACB-449FD8A6F341}"/>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13396971" y="907143"/>
              <a:ext cx="2402789" cy="13213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97466</xdr:colOff>
      <xdr:row>5</xdr:row>
      <xdr:rowOff>81064</xdr:rowOff>
    </xdr:from>
    <xdr:to>
      <xdr:col>5</xdr:col>
      <xdr:colOff>389862</xdr:colOff>
      <xdr:row>20</xdr:row>
      <xdr:rowOff>0</xdr:rowOff>
    </xdr:to>
    <xdr:graphicFrame macro="">
      <xdr:nvGraphicFramePr>
        <xdr:cNvPr id="24" name="Chart 23">
          <a:extLst>
            <a:ext uri="{FF2B5EF4-FFF2-40B4-BE49-F238E27FC236}">
              <a16:creationId xmlns:a16="http://schemas.microsoft.com/office/drawing/2014/main" id="{9BEA4753-B284-40AF-8622-7B252A2DD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601005</xdr:colOff>
      <xdr:row>23</xdr:row>
      <xdr:rowOff>60380</xdr:rowOff>
    </xdr:from>
    <xdr:to>
      <xdr:col>25</xdr:col>
      <xdr:colOff>573290</xdr:colOff>
      <xdr:row>32</xdr:row>
      <xdr:rowOff>68621</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D38D6181-4D02-4B57-ACF2-042AC446FD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354605" y="4266620"/>
              <a:ext cx="5458685" cy="16541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548971</xdr:colOff>
      <xdr:row>12</xdr:row>
      <xdr:rowOff>139486</xdr:rowOff>
    </xdr:from>
    <xdr:to>
      <xdr:col>25</xdr:col>
      <xdr:colOff>548971</xdr:colOff>
      <xdr:row>22</xdr:row>
      <xdr:rowOff>177209</xdr:rowOff>
    </xdr:to>
    <xdr:graphicFrame macro="">
      <xdr:nvGraphicFramePr>
        <xdr:cNvPr id="26" name="Chart 25">
          <a:extLst>
            <a:ext uri="{FF2B5EF4-FFF2-40B4-BE49-F238E27FC236}">
              <a16:creationId xmlns:a16="http://schemas.microsoft.com/office/drawing/2014/main" id="{2F814644-56E2-424A-AA8D-73B38ACB5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17720</xdr:colOff>
      <xdr:row>12</xdr:row>
      <xdr:rowOff>151191</xdr:rowOff>
    </xdr:from>
    <xdr:to>
      <xdr:col>16</xdr:col>
      <xdr:colOff>516467</xdr:colOff>
      <xdr:row>32</xdr:row>
      <xdr:rowOff>71404</xdr:rowOff>
    </xdr:to>
    <xdr:graphicFrame macro="">
      <xdr:nvGraphicFramePr>
        <xdr:cNvPr id="27" name="Chart 26">
          <a:extLst>
            <a:ext uri="{FF2B5EF4-FFF2-40B4-BE49-F238E27FC236}">
              <a16:creationId xmlns:a16="http://schemas.microsoft.com/office/drawing/2014/main" id="{E98EA527-A8A4-4919-B652-C9BBC511B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7728</xdr:colOff>
      <xdr:row>12</xdr:row>
      <xdr:rowOff>150644</xdr:rowOff>
    </xdr:from>
    <xdr:to>
      <xdr:col>21</xdr:col>
      <xdr:colOff>502596</xdr:colOff>
      <xdr:row>23</xdr:row>
      <xdr:rowOff>8860</xdr:rowOff>
    </xdr:to>
    <xdr:graphicFrame macro="">
      <xdr:nvGraphicFramePr>
        <xdr:cNvPr id="28" name="Chart 27">
          <a:extLst>
            <a:ext uri="{FF2B5EF4-FFF2-40B4-BE49-F238E27FC236}">
              <a16:creationId xmlns:a16="http://schemas.microsoft.com/office/drawing/2014/main" id="{B36507AD-C76C-46FE-BEE1-E1BE35C44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479651</xdr:colOff>
      <xdr:row>5</xdr:row>
      <xdr:rowOff>49473</xdr:rowOff>
    </xdr:from>
    <xdr:to>
      <xdr:col>11</xdr:col>
      <xdr:colOff>549349</xdr:colOff>
      <xdr:row>20</xdr:row>
      <xdr:rowOff>88605</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DBD3B3ED-D80D-4C36-86DB-5B62CAB353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527651" y="963873"/>
              <a:ext cx="3727298" cy="27823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98612</xdr:colOff>
      <xdr:row>20</xdr:row>
      <xdr:rowOff>107576</xdr:rowOff>
    </xdr:from>
    <xdr:to>
      <xdr:col>5</xdr:col>
      <xdr:colOff>412377</xdr:colOff>
      <xdr:row>31</xdr:row>
      <xdr:rowOff>80683</xdr:rowOff>
    </xdr:to>
    <xdr:graphicFrame macro="">
      <xdr:nvGraphicFramePr>
        <xdr:cNvPr id="30" name="Chart 29">
          <a:extLst>
            <a:ext uri="{FF2B5EF4-FFF2-40B4-BE49-F238E27FC236}">
              <a16:creationId xmlns:a16="http://schemas.microsoft.com/office/drawing/2014/main" id="{E448D5E5-B0A2-4486-B99E-016D16E28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403412</xdr:colOff>
      <xdr:row>21</xdr:row>
      <xdr:rowOff>134471</xdr:rowOff>
    </xdr:from>
    <xdr:to>
      <xdr:col>11</xdr:col>
      <xdr:colOff>11206</xdr:colOff>
      <xdr:row>25</xdr:row>
      <xdr:rowOff>100853</xdr:rowOff>
    </xdr:to>
    <xdr:sp macro="" textlink="">
      <xdr:nvSpPr>
        <xdr:cNvPr id="35" name="Rectangle: Beveled 34">
          <a:hlinkClick xmlns:r="http://schemas.openxmlformats.org/officeDocument/2006/relationships" r:id="rId14"/>
          <a:extLst>
            <a:ext uri="{FF2B5EF4-FFF2-40B4-BE49-F238E27FC236}">
              <a16:creationId xmlns:a16="http://schemas.microsoft.com/office/drawing/2014/main" id="{12CE5D61-9936-3430-9EE7-36EDDDED3D64}"/>
            </a:ext>
          </a:extLst>
        </xdr:cNvPr>
        <xdr:cNvSpPr/>
      </xdr:nvSpPr>
      <xdr:spPr>
        <a:xfrm>
          <a:off x="4034118" y="3899647"/>
          <a:ext cx="2633382" cy="683559"/>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Data</a:t>
          </a:r>
          <a:r>
            <a:rPr lang="en-US" sz="2000" b="1" baseline="0"/>
            <a:t> </a:t>
          </a:r>
          <a:endParaRPr lang="en-US" sz="2000" b="1"/>
        </a:p>
      </xdr:txBody>
    </xdr:sp>
    <xdr:clientData/>
  </xdr:twoCellAnchor>
  <xdr:twoCellAnchor>
    <xdr:from>
      <xdr:col>6</xdr:col>
      <xdr:colOff>403412</xdr:colOff>
      <xdr:row>26</xdr:row>
      <xdr:rowOff>145676</xdr:rowOff>
    </xdr:from>
    <xdr:to>
      <xdr:col>11</xdr:col>
      <xdr:colOff>11206</xdr:colOff>
      <xdr:row>30</xdr:row>
      <xdr:rowOff>112058</xdr:rowOff>
    </xdr:to>
    <xdr:sp macro="" textlink="">
      <xdr:nvSpPr>
        <xdr:cNvPr id="36" name="Rectangle: Beveled 35">
          <a:hlinkClick xmlns:r="http://schemas.openxmlformats.org/officeDocument/2006/relationships" r:id="rId15"/>
          <a:extLst>
            <a:ext uri="{FF2B5EF4-FFF2-40B4-BE49-F238E27FC236}">
              <a16:creationId xmlns:a16="http://schemas.microsoft.com/office/drawing/2014/main" id="{A0EF7DDE-4DAD-DEB7-7F7B-C74344150678}"/>
            </a:ext>
          </a:extLst>
        </xdr:cNvPr>
        <xdr:cNvSpPr/>
      </xdr:nvSpPr>
      <xdr:spPr>
        <a:xfrm>
          <a:off x="4034118" y="4807323"/>
          <a:ext cx="2633382" cy="683559"/>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2"/>
              </a:solidFill>
            </a:rPr>
            <a:t>KPI,s</a:t>
          </a:r>
        </a:p>
      </xdr:txBody>
    </xdr:sp>
    <xdr:clientData/>
  </xdr:twoCellAnchor>
  <xdr:twoCellAnchor>
    <xdr:from>
      <xdr:col>0</xdr:col>
      <xdr:colOff>67236</xdr:colOff>
      <xdr:row>0</xdr:row>
      <xdr:rowOff>56029</xdr:rowOff>
    </xdr:from>
    <xdr:to>
      <xdr:col>11</xdr:col>
      <xdr:colOff>571500</xdr:colOff>
      <xdr:row>4</xdr:row>
      <xdr:rowOff>156883</xdr:rowOff>
    </xdr:to>
    <xdr:sp macro="" textlink="">
      <xdr:nvSpPr>
        <xdr:cNvPr id="37" name="Rectangle 36">
          <a:extLst>
            <a:ext uri="{FF2B5EF4-FFF2-40B4-BE49-F238E27FC236}">
              <a16:creationId xmlns:a16="http://schemas.microsoft.com/office/drawing/2014/main" id="{6BA1268C-782E-D7AA-0A81-75A535ECBCA4}"/>
            </a:ext>
          </a:extLst>
        </xdr:cNvPr>
        <xdr:cNvSpPr/>
      </xdr:nvSpPr>
      <xdr:spPr>
        <a:xfrm>
          <a:off x="67236" y="56029"/>
          <a:ext cx="7160558" cy="81803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291101</xdr:colOff>
      <xdr:row>0</xdr:row>
      <xdr:rowOff>145551</xdr:rowOff>
    </xdr:from>
    <xdr:to>
      <xdr:col>11</xdr:col>
      <xdr:colOff>299663</xdr:colOff>
      <xdr:row>4</xdr:row>
      <xdr:rowOff>42809</xdr:rowOff>
    </xdr:to>
    <xdr:sp macro="" textlink="">
      <xdr:nvSpPr>
        <xdr:cNvPr id="38" name="TextBox 37">
          <a:extLst>
            <a:ext uri="{FF2B5EF4-FFF2-40B4-BE49-F238E27FC236}">
              <a16:creationId xmlns:a16="http://schemas.microsoft.com/office/drawing/2014/main" id="{661A9EBC-FCFB-FA04-718B-E37A52B0C1DF}"/>
            </a:ext>
          </a:extLst>
        </xdr:cNvPr>
        <xdr:cNvSpPr txBox="1"/>
      </xdr:nvSpPr>
      <xdr:spPr>
        <a:xfrm>
          <a:off x="291101" y="145551"/>
          <a:ext cx="6695326" cy="61644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t>Sales</a:t>
          </a:r>
          <a:r>
            <a:rPr lang="en-US" sz="3600" b="1" baseline="0"/>
            <a:t> Dashboard 2026</a:t>
          </a:r>
          <a:endParaRPr lang="en-US" sz="36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224296</xdr:colOff>
      <xdr:row>31</xdr:row>
      <xdr:rowOff>6436</xdr:rowOff>
    </xdr:from>
    <xdr:to>
      <xdr:col>9</xdr:col>
      <xdr:colOff>558502</xdr:colOff>
      <xdr:row>44</xdr:row>
      <xdr:rowOff>145433</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D2FCCA2-57C0-91F8-9586-62752427CCD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329156" y="5774599"/>
              <a:ext cx="1831625" cy="2557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680342</xdr:colOff>
      <xdr:row>31</xdr:row>
      <xdr:rowOff>9701</xdr:rowOff>
    </xdr:from>
    <xdr:to>
      <xdr:col>12</xdr:col>
      <xdr:colOff>25899</xdr:colOff>
      <xdr:row>44</xdr:row>
      <xdr:rowOff>148698</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98C5E1C9-E03D-30E9-6565-36719106B4D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82621" y="5777864"/>
              <a:ext cx="1817627" cy="2557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150309</xdr:colOff>
      <xdr:row>31</xdr:row>
      <xdr:rowOff>14763</xdr:rowOff>
    </xdr:from>
    <xdr:to>
      <xdr:col>13</xdr:col>
      <xdr:colOff>959257</xdr:colOff>
      <xdr:row>44</xdr:row>
      <xdr:rowOff>153760</xdr:rowOff>
    </xdr:to>
    <mc:AlternateContent xmlns:mc="http://schemas.openxmlformats.org/markup-compatibility/2006" xmlns:a14="http://schemas.microsoft.com/office/drawing/2010/main">
      <mc:Choice Requires="a14">
        <xdr:graphicFrame macro="">
          <xdr:nvGraphicFramePr>
            <xdr:cNvPr id="4" name="OrderChannel">
              <a:extLst>
                <a:ext uri="{FF2B5EF4-FFF2-40B4-BE49-F238E27FC236}">
                  <a16:creationId xmlns:a16="http://schemas.microsoft.com/office/drawing/2014/main" id="{6AA65588-A2B8-F4C2-4770-1A2AC41EEF66}"/>
                </a:ext>
              </a:extLst>
            </xdr:cNvPr>
            <xdr:cNvGraphicFramePr/>
          </xdr:nvGraphicFramePr>
          <xdr:xfrm>
            <a:off x="0" y="0"/>
            <a:ext cx="0" cy="0"/>
          </xdr:xfrm>
          <a:graphic>
            <a:graphicData uri="http://schemas.microsoft.com/office/drawing/2010/slicer">
              <sle:slicer xmlns:sle="http://schemas.microsoft.com/office/drawing/2010/slicer" name="OrderChannel"/>
            </a:graphicData>
          </a:graphic>
        </xdr:graphicFrame>
      </mc:Choice>
      <mc:Fallback xmlns="">
        <xdr:sp macro="" textlink="">
          <xdr:nvSpPr>
            <xdr:cNvPr id="0" name=""/>
            <xdr:cNvSpPr>
              <a:spLocks noTextEdit="1"/>
            </xdr:cNvSpPr>
          </xdr:nvSpPr>
          <xdr:spPr>
            <a:xfrm>
              <a:off x="10224658" y="5782926"/>
              <a:ext cx="1836762" cy="2557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1130281</xdr:colOff>
      <xdr:row>30</xdr:row>
      <xdr:rowOff>170710</xdr:rowOff>
    </xdr:from>
    <xdr:to>
      <xdr:col>16</xdr:col>
      <xdr:colOff>485856</xdr:colOff>
      <xdr:row>44</xdr:row>
      <xdr:rowOff>123637</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CF8BCF1-ACCC-9C85-1CE0-445B99F554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32444" y="5752803"/>
              <a:ext cx="1827645" cy="2557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499052</xdr:colOff>
      <xdr:row>45</xdr:row>
      <xdr:rowOff>95777</xdr:rowOff>
    </xdr:from>
    <xdr:to>
      <xdr:col>13</xdr:col>
      <xdr:colOff>333518</xdr:colOff>
      <xdr:row>52</xdr:row>
      <xdr:rowOff>153203</xdr:rowOff>
    </xdr:to>
    <mc:AlternateContent xmlns:mc="http://schemas.openxmlformats.org/markup-compatibility/2006" xmlns:tsle="http://schemas.microsoft.com/office/drawing/2012/timeslicer">
      <mc:Choice Requires="tsle">
        <xdr:graphicFrame macro="">
          <xdr:nvGraphicFramePr>
            <xdr:cNvPr id="6" name="OrderDate">
              <a:extLst>
                <a:ext uri="{FF2B5EF4-FFF2-40B4-BE49-F238E27FC236}">
                  <a16:creationId xmlns:a16="http://schemas.microsoft.com/office/drawing/2014/main" id="{C7DFF8D2-B5D4-11B5-54B4-78838F547BB7}"/>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8101331" y="8468917"/>
              <a:ext cx="3334350" cy="13599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16</xdr:row>
      <xdr:rowOff>121389</xdr:rowOff>
    </xdr:from>
    <xdr:to>
      <xdr:col>2</xdr:col>
      <xdr:colOff>208221</xdr:colOff>
      <xdr:row>31</xdr:row>
      <xdr:rowOff>73542</xdr:rowOff>
    </xdr:to>
    <xdr:graphicFrame macro="">
      <xdr:nvGraphicFramePr>
        <xdr:cNvPr id="8" name="Chart 7">
          <a:extLst>
            <a:ext uri="{FF2B5EF4-FFF2-40B4-BE49-F238E27FC236}">
              <a16:creationId xmlns:a16="http://schemas.microsoft.com/office/drawing/2014/main" id="{FC41347E-EB70-3DC9-30B7-464986932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407582</xdr:colOff>
      <xdr:row>28</xdr:row>
      <xdr:rowOff>37215</xdr:rowOff>
    </xdr:from>
    <xdr:to>
      <xdr:col>6</xdr:col>
      <xdr:colOff>558210</xdr:colOff>
      <xdr:row>39</xdr:row>
      <xdr:rowOff>53164</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ED97E664-EFCE-52B3-411B-1C97FC3C98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541182" y="5157855"/>
              <a:ext cx="3503428" cy="20276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571500</xdr:colOff>
      <xdr:row>14</xdr:row>
      <xdr:rowOff>112528</xdr:rowOff>
    </xdr:from>
    <xdr:to>
      <xdr:col>11</xdr:col>
      <xdr:colOff>106325</xdr:colOff>
      <xdr:row>29</xdr:row>
      <xdr:rowOff>64682</xdr:rowOff>
    </xdr:to>
    <xdr:graphicFrame macro="">
      <xdr:nvGraphicFramePr>
        <xdr:cNvPr id="10" name="Chart 9">
          <a:extLst>
            <a:ext uri="{FF2B5EF4-FFF2-40B4-BE49-F238E27FC236}">
              <a16:creationId xmlns:a16="http://schemas.microsoft.com/office/drawing/2014/main" id="{EE0E55B7-6B05-72F2-CA21-CB97163DD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208221</xdr:colOff>
      <xdr:row>8</xdr:row>
      <xdr:rowOff>156831</xdr:rowOff>
    </xdr:from>
    <xdr:to>
      <xdr:col>14</xdr:col>
      <xdr:colOff>336699</xdr:colOff>
      <xdr:row>23</xdr:row>
      <xdr:rowOff>108984</xdr:rowOff>
    </xdr:to>
    <xdr:graphicFrame macro="">
      <xdr:nvGraphicFramePr>
        <xdr:cNvPr id="11" name="Chart 10">
          <a:extLst>
            <a:ext uri="{FF2B5EF4-FFF2-40B4-BE49-F238E27FC236}">
              <a16:creationId xmlns:a16="http://schemas.microsoft.com/office/drawing/2014/main" id="{5CF6F13C-6BFE-7D07-4C2C-060540AD3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598081</xdr:colOff>
      <xdr:row>6</xdr:row>
      <xdr:rowOff>94807</xdr:rowOff>
    </xdr:from>
    <xdr:to>
      <xdr:col>18</xdr:col>
      <xdr:colOff>97465</xdr:colOff>
      <xdr:row>19</xdr:row>
      <xdr:rowOff>17721</xdr:rowOff>
    </xdr:to>
    <xdr:graphicFrame macro="">
      <xdr:nvGraphicFramePr>
        <xdr:cNvPr id="12" name="Chart 11">
          <a:extLst>
            <a:ext uri="{FF2B5EF4-FFF2-40B4-BE49-F238E27FC236}">
              <a16:creationId xmlns:a16="http://schemas.microsoft.com/office/drawing/2014/main" id="{E2FC5834-8488-0E23-9A72-4B1772B53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425303</xdr:colOff>
      <xdr:row>20</xdr:row>
      <xdr:rowOff>10634</xdr:rowOff>
    </xdr:from>
    <xdr:to>
      <xdr:col>22</xdr:col>
      <xdr:colOff>505047</xdr:colOff>
      <xdr:row>31</xdr:row>
      <xdr:rowOff>168349</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19624A5E-C068-1BF4-5624-A95A6D1919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114883" y="3668234"/>
              <a:ext cx="3432544" cy="21693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314547</xdr:colOff>
      <xdr:row>6</xdr:row>
      <xdr:rowOff>183411</xdr:rowOff>
    </xdr:from>
    <xdr:to>
      <xdr:col>26</xdr:col>
      <xdr:colOff>416442</xdr:colOff>
      <xdr:row>20</xdr:row>
      <xdr:rowOff>53164</xdr:rowOff>
    </xdr:to>
    <xdr:graphicFrame macro="">
      <xdr:nvGraphicFramePr>
        <xdr:cNvPr id="14" name="Chart 13">
          <a:extLst>
            <a:ext uri="{FF2B5EF4-FFF2-40B4-BE49-F238E27FC236}">
              <a16:creationId xmlns:a16="http://schemas.microsoft.com/office/drawing/2014/main" id="{76B346E2-1AB7-449B-0148-27D1FBA8A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88605</xdr:colOff>
      <xdr:row>5</xdr:row>
      <xdr:rowOff>8860</xdr:rowOff>
    </xdr:from>
    <xdr:to>
      <xdr:col>30</xdr:col>
      <xdr:colOff>106326</xdr:colOff>
      <xdr:row>7</xdr:row>
      <xdr:rowOff>177210</xdr:rowOff>
    </xdr:to>
    <xdr:sp macro="" textlink="$AC$2">
      <xdr:nvSpPr>
        <xdr:cNvPr id="15" name="TextBox 14">
          <a:extLst>
            <a:ext uri="{FF2B5EF4-FFF2-40B4-BE49-F238E27FC236}">
              <a16:creationId xmlns:a16="http://schemas.microsoft.com/office/drawing/2014/main" id="{7F04665A-A63D-6291-7377-8BB0E656AB7B}"/>
            </a:ext>
          </a:extLst>
        </xdr:cNvPr>
        <xdr:cNvSpPr txBox="1"/>
      </xdr:nvSpPr>
      <xdr:spPr>
        <a:xfrm>
          <a:off x="23737186" y="939209"/>
          <a:ext cx="1878419" cy="5404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E1CAD6-ED5E-4B42-8014-0B175ACC4FF8}" type="TxLink">
            <a:rPr lang="en-US" sz="1100" b="0" i="0" u="none" strike="noStrike">
              <a:solidFill>
                <a:srgbClr val="000000"/>
              </a:solidFill>
              <a:latin typeface="Aptos Narrow"/>
            </a:rPr>
            <a:pPr/>
            <a:t> 80,659,661 </a:t>
          </a:fld>
          <a:endParaRPr lang="en-US" sz="1100"/>
        </a:p>
      </xdr:txBody>
    </xdr:sp>
    <xdr:clientData/>
  </xdr:twoCellAnchor>
  <xdr:twoCellAnchor>
    <xdr:from>
      <xdr:col>33</xdr:col>
      <xdr:colOff>141768</xdr:colOff>
      <xdr:row>5</xdr:row>
      <xdr:rowOff>8860</xdr:rowOff>
    </xdr:from>
    <xdr:to>
      <xdr:col>35</xdr:col>
      <xdr:colOff>345559</xdr:colOff>
      <xdr:row>7</xdr:row>
      <xdr:rowOff>177210</xdr:rowOff>
    </xdr:to>
    <xdr:sp macro="" textlink="$AI$2">
      <xdr:nvSpPr>
        <xdr:cNvPr id="17" name="TextBox 16">
          <a:extLst>
            <a:ext uri="{FF2B5EF4-FFF2-40B4-BE49-F238E27FC236}">
              <a16:creationId xmlns:a16="http://schemas.microsoft.com/office/drawing/2014/main" id="{2844081C-E14C-7DAB-1196-130CFF1C317F}"/>
            </a:ext>
          </a:extLst>
        </xdr:cNvPr>
        <xdr:cNvSpPr txBox="1"/>
      </xdr:nvSpPr>
      <xdr:spPr>
        <a:xfrm>
          <a:off x="28335768" y="939209"/>
          <a:ext cx="1878419" cy="5404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84A432-3C14-4612-B758-0A2693AFC75D}" type="TxLink">
            <a:rPr lang="en-US" sz="1100" b="0" i="0" u="none" strike="noStrike">
              <a:solidFill>
                <a:srgbClr val="000000"/>
              </a:solidFill>
              <a:latin typeface="Aptos Narrow"/>
            </a:rPr>
            <a:pPr/>
            <a:t> 3.00 </a:t>
          </a:fld>
          <a:endParaRPr lang="en-US" sz="1100"/>
        </a:p>
      </xdr:txBody>
    </xdr:sp>
    <xdr:clientData/>
  </xdr:twoCellAnchor>
  <xdr:twoCellAnchor>
    <xdr:from>
      <xdr:col>30</xdr:col>
      <xdr:colOff>301256</xdr:colOff>
      <xdr:row>5</xdr:row>
      <xdr:rowOff>8860</xdr:rowOff>
    </xdr:from>
    <xdr:to>
      <xdr:col>32</xdr:col>
      <xdr:colOff>106326</xdr:colOff>
      <xdr:row>7</xdr:row>
      <xdr:rowOff>177210</xdr:rowOff>
    </xdr:to>
    <xdr:sp macro="" textlink="$AF$2">
      <xdr:nvSpPr>
        <xdr:cNvPr id="18" name="TextBox 17">
          <a:extLst>
            <a:ext uri="{FF2B5EF4-FFF2-40B4-BE49-F238E27FC236}">
              <a16:creationId xmlns:a16="http://schemas.microsoft.com/office/drawing/2014/main" id="{1AB94198-F31F-3921-FF3F-2FBE0A2B67B8}"/>
            </a:ext>
          </a:extLst>
        </xdr:cNvPr>
        <xdr:cNvSpPr txBox="1"/>
      </xdr:nvSpPr>
      <xdr:spPr>
        <a:xfrm>
          <a:off x="25810535" y="939209"/>
          <a:ext cx="1878419" cy="5404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7DF390-AE14-4273-9CA1-0988DB66059A}" type="TxLink">
            <a:rPr lang="en-US" sz="1100" b="0" i="0" u="none" strike="noStrike">
              <a:solidFill>
                <a:srgbClr val="000000"/>
              </a:solidFill>
              <a:latin typeface="Aptos Narrow"/>
            </a:rPr>
            <a:pPr/>
            <a:t> 5.5 </a:t>
          </a:fld>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76.559379861108" createdVersion="8" refreshedVersion="8" minRefreshableVersion="3" recordCount="1000" xr:uid="{F242CB9D-A1A2-40BA-A1FB-5F042BA68CBF}">
  <cacheSource type="worksheet">
    <worksheetSource ref="A1:Z1001" sheet="Dashboard data "/>
  </cacheSource>
  <cacheFields count="29">
    <cacheField name="OrderID" numFmtId="0">
      <sharedItems/>
    </cacheField>
    <cacheField name="OrderDate" numFmtId="15">
      <sharedItems containsSemiMixedTypes="0" containsNonDate="0" containsDate="1" containsString="0" minDate="2025-04-10T00:00:00" maxDate="2026-04-10T00:00:00" count="339">
        <d v="2025-07-16T00:00:00"/>
        <d v="2025-05-14T00:00:00"/>
        <d v="2025-08-28T00:00:00"/>
        <d v="2025-07-12T00:00:00"/>
        <d v="2025-09-29T00:00:00"/>
        <d v="2026-02-05T00:00:00"/>
        <d v="2025-12-18T00:00:00"/>
        <d v="2025-05-04T00:00:00"/>
        <d v="2025-05-01T00:00:00"/>
        <d v="2025-07-25T00:00:00"/>
        <d v="2025-06-24T00:00:00"/>
        <d v="2026-01-11T00:00:00"/>
        <d v="2025-11-09T00:00:00"/>
        <d v="2025-10-30T00:00:00"/>
        <d v="2026-03-13T00:00:00"/>
        <d v="2025-12-10T00:00:00"/>
        <d v="2025-05-31T00:00:00"/>
        <d v="2025-05-07T00:00:00"/>
        <d v="2025-11-26T00:00:00"/>
        <d v="2025-08-26T00:00:00"/>
        <d v="2025-12-28T00:00:00"/>
        <d v="2025-12-23T00:00:00"/>
        <d v="2026-02-26T00:00:00"/>
        <d v="2025-09-30T00:00:00"/>
        <d v="2026-03-26T00:00:00"/>
        <d v="2026-01-27T00:00:00"/>
        <d v="2026-04-04T00:00:00"/>
        <d v="2025-08-12T00:00:00"/>
        <d v="2025-06-14T00:00:00"/>
        <d v="2025-12-13T00:00:00"/>
        <d v="2025-10-10T00:00:00"/>
        <d v="2026-02-15T00:00:00"/>
        <d v="2025-05-30T00:00:00"/>
        <d v="2025-08-05T00:00:00"/>
        <d v="2025-11-21T00:00:00"/>
        <d v="2026-01-04T00:00:00"/>
        <d v="2025-06-13T00:00:00"/>
        <d v="2025-09-11T00:00:00"/>
        <d v="2025-09-13T00:00:00"/>
        <d v="2026-04-08T00:00:00"/>
        <d v="2025-04-29T00:00:00"/>
        <d v="2026-02-08T00:00:00"/>
        <d v="2025-11-19T00:00:00"/>
        <d v="2025-06-18T00:00:00"/>
        <d v="2025-09-04T00:00:00"/>
        <d v="2025-09-20T00:00:00"/>
        <d v="2025-06-22T00:00:00"/>
        <d v="2025-08-31T00:00:00"/>
        <d v="2025-09-22T00:00:00"/>
        <d v="2026-03-06T00:00:00"/>
        <d v="2025-06-11T00:00:00"/>
        <d v="2025-07-22T00:00:00"/>
        <d v="2025-06-09T00:00:00"/>
        <d v="2026-01-15T00:00:00"/>
        <d v="2026-01-10T00:00:00"/>
        <d v="2025-12-06T00:00:00"/>
        <d v="2025-09-27T00:00:00"/>
        <d v="2025-05-24T00:00:00"/>
        <d v="2025-08-17T00:00:00"/>
        <d v="2025-09-18T00:00:00"/>
        <d v="2025-09-09T00:00:00"/>
        <d v="2025-09-05T00:00:00"/>
        <d v="2025-07-08T00:00:00"/>
        <d v="2025-11-14T00:00:00"/>
        <d v="2025-10-23T00:00:00"/>
        <d v="2026-01-12T00:00:00"/>
        <d v="2025-08-04T00:00:00"/>
        <d v="2025-10-13T00:00:00"/>
        <d v="2025-08-10T00:00:00"/>
        <d v="2025-07-09T00:00:00"/>
        <d v="2025-05-27T00:00:00"/>
        <d v="2025-11-04T00:00:00"/>
        <d v="2025-07-19T00:00:00"/>
        <d v="2026-04-02T00:00:00"/>
        <d v="2025-09-08T00:00:00"/>
        <d v="2025-06-01T00:00:00"/>
        <d v="2025-04-14T00:00:00"/>
        <d v="2026-01-31T00:00:00"/>
        <d v="2025-11-07T00:00:00"/>
        <d v="2025-07-29T00:00:00"/>
        <d v="2025-07-27T00:00:00"/>
        <d v="2026-01-09T00:00:00"/>
        <d v="2025-04-15T00:00:00"/>
        <d v="2025-06-04T00:00:00"/>
        <d v="2025-08-22T00:00:00"/>
        <d v="2026-03-27T00:00:00"/>
        <d v="2025-05-16T00:00:00"/>
        <d v="2026-01-01T00:00:00"/>
        <d v="2025-04-18T00:00:00"/>
        <d v="2025-07-18T00:00:00"/>
        <d v="2025-10-18T00:00:00"/>
        <d v="2025-10-20T00:00:00"/>
        <d v="2025-10-05T00:00:00"/>
        <d v="2026-01-17T00:00:00"/>
        <d v="2025-07-07T00:00:00"/>
        <d v="2025-12-02T00:00:00"/>
        <d v="2025-11-22T00:00:00"/>
        <d v="2026-03-14T00:00:00"/>
        <d v="2025-06-26T00:00:00"/>
        <d v="2026-02-27T00:00:00"/>
        <d v="2025-11-24T00:00:00"/>
        <d v="2025-12-11T00:00:00"/>
        <d v="2025-08-29T00:00:00"/>
        <d v="2025-09-07T00:00:00"/>
        <d v="2025-08-01T00:00:00"/>
        <d v="2025-12-26T00:00:00"/>
        <d v="2025-08-30T00:00:00"/>
        <d v="2026-03-31T00:00:00"/>
        <d v="2025-05-23T00:00:00"/>
        <d v="2025-07-14T00:00:00"/>
        <d v="2025-04-24T00:00:00"/>
        <d v="2025-09-10T00:00:00"/>
        <d v="2025-07-06T00:00:00"/>
        <d v="2025-12-30T00:00:00"/>
        <d v="2025-07-31T00:00:00"/>
        <d v="2025-10-11T00:00:00"/>
        <d v="2025-06-23T00:00:00"/>
        <d v="2025-05-09T00:00:00"/>
        <d v="2025-10-09T00:00:00"/>
        <d v="2025-10-17T00:00:00"/>
        <d v="2025-06-02T00:00:00"/>
        <d v="2025-09-03T00:00:00"/>
        <d v="2025-08-21T00:00:00"/>
        <d v="2025-04-25T00:00:00"/>
        <d v="2025-06-20T00:00:00"/>
        <d v="2025-11-13T00:00:00"/>
        <d v="2026-02-11T00:00:00"/>
        <d v="2025-07-15T00:00:00"/>
        <d v="2026-01-21T00:00:00"/>
        <d v="2025-10-19T00:00:00"/>
        <d v="2025-09-23T00:00:00"/>
        <d v="2026-02-06T00:00:00"/>
        <d v="2025-06-29T00:00:00"/>
        <d v="2026-03-04T00:00:00"/>
        <d v="2025-10-26T00:00:00"/>
        <d v="2025-10-01T00:00:00"/>
        <d v="2025-10-08T00:00:00"/>
        <d v="2025-07-30T00:00:00"/>
        <d v="2025-09-25T00:00:00"/>
        <d v="2025-07-04T00:00:00"/>
        <d v="2025-12-20T00:00:00"/>
        <d v="2026-03-20T00:00:00"/>
        <d v="2026-01-06T00:00:00"/>
        <d v="2025-10-24T00:00:00"/>
        <d v="2025-11-29T00:00:00"/>
        <d v="2026-02-22T00:00:00"/>
        <d v="2025-07-11T00:00:00"/>
        <d v="2025-07-02T00:00:00"/>
        <d v="2025-12-03T00:00:00"/>
        <d v="2025-06-06T00:00:00"/>
        <d v="2025-05-25T00:00:00"/>
        <d v="2025-12-16T00:00:00"/>
        <d v="2025-12-14T00:00:00"/>
        <d v="2026-03-18T00:00:00"/>
        <d v="2025-07-24T00:00:00"/>
        <d v="2026-02-19T00:00:00"/>
        <d v="2025-05-29T00:00:00"/>
        <d v="2025-09-26T00:00:00"/>
        <d v="2025-05-20T00:00:00"/>
        <d v="2025-09-12T00:00:00"/>
        <d v="2025-12-29T00:00:00"/>
        <d v="2025-06-28T00:00:00"/>
        <d v="2025-12-22T00:00:00"/>
        <d v="2026-03-05T00:00:00"/>
        <d v="2026-02-03T00:00:00"/>
        <d v="2025-12-15T00:00:00"/>
        <d v="2025-05-03T00:00:00"/>
        <d v="2025-11-12T00:00:00"/>
        <d v="2025-12-12T00:00:00"/>
        <d v="2025-10-15T00:00:00"/>
        <d v="2026-04-05T00:00:00"/>
        <d v="2026-01-05T00:00:00"/>
        <d v="2026-03-11T00:00:00"/>
        <d v="2026-02-17T00:00:00"/>
        <d v="2026-03-03T00:00:00"/>
        <d v="2025-08-16T00:00:00"/>
        <d v="2026-02-12T00:00:00"/>
        <d v="2025-05-13T00:00:00"/>
        <d v="2026-04-09T00:00:00"/>
        <d v="2025-08-07T00:00:00"/>
        <d v="2025-10-04T00:00:00"/>
        <d v="2025-10-07T00:00:00"/>
        <d v="2025-12-24T00:00:00"/>
        <d v="2025-08-02T00:00:00"/>
        <d v="2025-08-08T00:00:00"/>
        <d v="2025-11-17T00:00:00"/>
        <d v="2025-08-03T00:00:00"/>
        <d v="2025-04-26T00:00:00"/>
        <d v="2026-01-20T00:00:00"/>
        <d v="2026-04-03T00:00:00"/>
        <d v="2026-03-12T00:00:00"/>
        <d v="2026-03-10T00:00:00"/>
        <d v="2025-06-08T00:00:00"/>
        <d v="2026-03-22T00:00:00"/>
        <d v="2025-05-10T00:00:00"/>
        <d v="2025-04-12T00:00:00"/>
        <d v="2026-01-14T00:00:00"/>
        <d v="2025-12-31T00:00:00"/>
        <d v="2026-01-02T00:00:00"/>
        <d v="2025-06-16T00:00:00"/>
        <d v="2026-03-23T00:00:00"/>
        <d v="2025-06-03T00:00:00"/>
        <d v="2025-06-27T00:00:00"/>
        <d v="2025-08-27T00:00:00"/>
        <d v="2025-11-02T00:00:00"/>
        <d v="2025-05-17T00:00:00"/>
        <d v="2025-08-23T00:00:00"/>
        <d v="2025-05-19T00:00:00"/>
        <d v="2025-12-27T00:00:00"/>
        <d v="2026-01-22T00:00:00"/>
        <d v="2025-04-16T00:00:00"/>
        <d v="2026-03-30T00:00:00"/>
        <d v="2025-07-10T00:00:00"/>
        <d v="2025-06-12T00:00:00"/>
        <d v="2026-04-06T00:00:00"/>
        <d v="2026-01-16T00:00:00"/>
        <d v="2026-01-23T00:00:00"/>
        <d v="2025-04-19T00:00:00"/>
        <d v="2026-01-03T00:00:00"/>
        <d v="2025-11-25T00:00:00"/>
        <d v="2025-12-19T00:00:00"/>
        <d v="2026-01-29T00:00:00"/>
        <d v="2026-02-28T00:00:00"/>
        <d v="2026-01-07T00:00:00"/>
        <d v="2025-10-27T00:00:00"/>
        <d v="2025-05-12T00:00:00"/>
        <d v="2025-08-11T00:00:00"/>
        <d v="2025-08-09T00:00:00"/>
        <d v="2025-09-17T00:00:00"/>
        <d v="2025-10-29T00:00:00"/>
        <d v="2025-05-28T00:00:00"/>
        <d v="2026-02-04T00:00:00"/>
        <d v="2025-12-17T00:00:00"/>
        <d v="2025-05-26T00:00:00"/>
        <d v="2025-09-16T00:00:00"/>
        <d v="2025-05-22T00:00:00"/>
        <d v="2025-05-15T00:00:00"/>
        <d v="2026-03-07T00:00:00"/>
        <d v="2026-03-01T00:00:00"/>
        <d v="2025-08-24T00:00:00"/>
        <d v="2026-02-18T00:00:00"/>
        <d v="2025-12-08T00:00:00"/>
        <d v="2025-09-14T00:00:00"/>
        <d v="2025-05-21T00:00:00"/>
        <d v="2025-11-08T00:00:00"/>
        <d v="2025-11-01T00:00:00"/>
        <d v="2025-10-06T00:00:00"/>
        <d v="2025-04-22T00:00:00"/>
        <d v="2025-07-05T00:00:00"/>
        <d v="2025-04-21T00:00:00"/>
        <d v="2025-10-25T00:00:00"/>
        <d v="2025-08-20T00:00:00"/>
        <d v="2025-12-21T00:00:00"/>
        <d v="2025-04-11T00:00:00"/>
        <d v="2025-09-28T00:00:00"/>
        <d v="2025-11-27T00:00:00"/>
        <d v="2026-02-14T00:00:00"/>
        <d v="2026-03-02T00:00:00"/>
        <d v="2025-12-04T00:00:00"/>
        <d v="2025-11-03T00:00:00"/>
        <d v="2025-10-31T00:00:00"/>
        <d v="2025-12-07T00:00:00"/>
        <d v="2026-01-25T00:00:00"/>
        <d v="2025-09-24T00:00:00"/>
        <d v="2025-05-18T00:00:00"/>
        <d v="2025-07-26T00:00:00"/>
        <d v="2026-03-28T00:00:00"/>
        <d v="2025-12-09T00:00:00"/>
        <d v="2026-02-09T00:00:00"/>
        <d v="2026-03-08T00:00:00"/>
        <d v="2025-09-21T00:00:00"/>
        <d v="2025-04-23T00:00:00"/>
        <d v="2026-03-25T00:00:00"/>
        <d v="2025-12-25T00:00:00"/>
        <d v="2025-11-05T00:00:00"/>
        <d v="2026-02-21T00:00:00"/>
        <d v="2025-10-22T00:00:00"/>
        <d v="2025-08-13T00:00:00"/>
        <d v="2026-03-15T00:00:00"/>
        <d v="2025-11-28T00:00:00"/>
        <d v="2026-04-01T00:00:00"/>
        <d v="2025-06-05T00:00:00"/>
        <d v="2025-06-21T00:00:00"/>
        <d v="2025-09-01T00:00:00"/>
        <d v="2025-10-21T00:00:00"/>
        <d v="2026-02-13T00:00:00"/>
        <d v="2025-09-02T00:00:00"/>
        <d v="2026-01-19T00:00:00"/>
        <d v="2025-04-17T00:00:00"/>
        <d v="2025-08-06T00:00:00"/>
        <d v="2026-03-24T00:00:00"/>
        <d v="2025-08-18T00:00:00"/>
        <d v="2025-07-03T00:00:00"/>
        <d v="2025-06-19T00:00:00"/>
        <d v="2026-02-10T00:00:00"/>
        <d v="2025-11-06T00:00:00"/>
        <d v="2025-11-11T00:00:00"/>
        <d v="2025-08-15T00:00:00"/>
        <d v="2025-09-06T00:00:00"/>
        <d v="2025-04-20T00:00:00"/>
        <d v="2025-12-05T00:00:00"/>
        <d v="2026-03-09T00:00:00"/>
        <d v="2025-06-30T00:00:00"/>
        <d v="2025-10-03T00:00:00"/>
        <d v="2026-04-07T00:00:00"/>
        <d v="2025-07-01T00:00:00"/>
        <d v="2025-07-20T00:00:00"/>
        <d v="2025-05-06T00:00:00"/>
        <d v="2025-11-20T00:00:00"/>
        <d v="2025-07-21T00:00:00"/>
        <d v="2025-04-27T00:00:00"/>
        <d v="2025-04-30T00:00:00"/>
        <d v="2026-01-24T00:00:00"/>
        <d v="2025-06-10T00:00:00"/>
        <d v="2025-05-11T00:00:00"/>
        <d v="2026-01-08T00:00:00"/>
        <d v="2026-02-24T00:00:00"/>
        <d v="2026-02-25T00:00:00"/>
        <d v="2025-04-28T00:00:00"/>
        <d v="2025-05-05T00:00:00"/>
        <d v="2025-07-28T00:00:00"/>
        <d v="2026-02-01T00:00:00"/>
        <d v="2025-04-10T00:00:00"/>
        <d v="2026-01-30T00:00:00"/>
        <d v="2025-08-19T00:00:00"/>
        <d v="2026-01-13T00:00:00"/>
        <d v="2025-11-16T00:00:00"/>
        <d v="2025-06-17T00:00:00"/>
        <d v="2025-10-12T00:00:00"/>
        <d v="2025-08-25T00:00:00"/>
        <d v="2025-10-28T00:00:00"/>
        <d v="2026-02-02T00:00:00"/>
        <d v="2025-11-23T00:00:00"/>
        <d v="2025-06-15T00:00:00"/>
        <d v="2025-10-16T00:00:00"/>
        <d v="2026-02-20T00:00:00"/>
        <d v="2025-11-15T00:00:00"/>
        <d v="2025-11-10T00:00:00"/>
        <d v="2025-07-17T00:00:00"/>
      </sharedItems>
      <fieldGroup par="28"/>
    </cacheField>
    <cacheField name="CustomerID" numFmtId="0">
      <sharedItems/>
    </cacheField>
    <cacheField name="CustomerName" numFmtId="0">
      <sharedItems/>
    </cacheField>
    <cacheField name="Gender" numFmtId="0">
      <sharedItems count="2">
        <s v="Female"/>
        <s v="Male"/>
      </sharedItems>
    </cacheField>
    <cacheField name="Age" numFmtId="0">
      <sharedItems containsSemiMixedTypes="0" containsString="0" containsNumber="1" containsInteger="1" minValue="18" maxValue="60"/>
    </cacheField>
    <cacheField name="Product" numFmtId="0">
      <sharedItems count="10">
        <s v="Headphones"/>
        <s v="Keyboard"/>
        <s v="Shoes"/>
        <s v="Backpack"/>
        <s v="Laptop"/>
        <s v="Camera"/>
        <s v="Phone"/>
        <s v="Watch"/>
        <s v="Tablet"/>
        <s v="Mouse"/>
      </sharedItems>
    </cacheField>
    <cacheField name="Category" numFmtId="0">
      <sharedItems count="3">
        <s v="Electronics"/>
        <s v="Fashion"/>
        <s v="Accessories"/>
      </sharedItems>
    </cacheField>
    <cacheField name="SubCategory" numFmtId="0">
      <sharedItems count="10">
        <s v="Headphones"/>
        <s v="Keyboard"/>
        <s v="Shoes"/>
        <s v="Backpack"/>
        <s v="Laptop"/>
        <s v="Camera"/>
        <s v="Phone"/>
        <s v="Watch"/>
        <s v="Tablet"/>
        <s v="Mouse"/>
      </sharedItems>
    </cacheField>
    <cacheField name="Brand" numFmtId="0">
      <sharedItems count="10">
        <s v="Sony"/>
        <s v="Boat"/>
        <s v="Dell"/>
        <s v="HP"/>
        <s v="Lenovo"/>
        <s v="Samsung"/>
        <s v="Nike"/>
        <s v="Apple"/>
        <s v="Noise"/>
        <s v="Adidas"/>
      </sharedItems>
    </cacheField>
    <cacheField name="Quantity" numFmtId="0">
      <sharedItems containsSemiMixedTypes="0" containsString="0" containsNumber="1" containsInteger="1" minValue="1" maxValue="5"/>
    </cacheField>
    <cacheField name="UnitPrice" numFmtId="0">
      <sharedItems containsSemiMixedTypes="0" containsString="0" containsNumber="1" containsInteger="1" minValue="528" maxValue="49982"/>
    </cacheField>
    <cacheField name="Discount" numFmtId="0">
      <sharedItems containsSemiMixedTypes="0" containsString="0" containsNumber="1" containsInteger="1" minValue="0" maxValue="20"/>
    </cacheField>
    <cacheField name="DiscountAmount" numFmtId="0">
      <sharedItems containsSemiMixedTypes="0" containsString="0" containsNumber="1" minValue="0" maxValue="49241"/>
    </cacheField>
    <cacheField name="Tax" numFmtId="0">
      <sharedItems containsSemiMixedTypes="0" containsString="0" containsNumber="1" minValue="104.58" maxValue="44473.5"/>
    </cacheField>
    <cacheField name="ShippingCost" numFmtId="0">
      <sharedItems containsSemiMixedTypes="0" containsString="0" containsNumber="1" containsInteger="1" minValue="0" maxValue="499"/>
    </cacheField>
    <cacheField name="TotalAmount" numFmtId="0">
      <sharedItems containsSemiMixedTypes="0" containsString="0" containsNumber="1" minValue="704.58" maxValue="291645.5"/>
    </cacheField>
    <cacheField name="PaymentMethod" numFmtId="0">
      <sharedItems count="4">
        <s v="Net Banking"/>
        <s v="Cash on Delivery"/>
        <s v="UPI"/>
        <s v="Card"/>
      </sharedItems>
    </cacheField>
    <cacheField name="OrderChannel" numFmtId="0">
      <sharedItems count="2">
        <s v="Website"/>
        <s v="Mobile App"/>
      </sharedItems>
    </cacheField>
    <cacheField name="City" numFmtId="0">
      <sharedItems/>
    </cacheField>
    <cacheField name="State" numFmtId="0">
      <sharedItems count="6">
        <s v="Maharashtra"/>
        <s v="Punjab"/>
        <s v="Rajasthan"/>
        <s v="Karnataka"/>
        <s v="Uttar Pradesh"/>
        <s v="Delhi"/>
      </sharedItems>
    </cacheField>
    <cacheField name="Region" numFmtId="0">
      <sharedItems count="3">
        <s v="West"/>
        <s v="North"/>
        <s v="South"/>
      </sharedItems>
    </cacheField>
    <cacheField name="DeliveryDays" numFmtId="0">
      <sharedItems containsSemiMixedTypes="0" containsString="0" containsNumber="1" containsInteger="1" minValue="1" maxValue="10"/>
    </cacheField>
    <cacheField name="ReturnStatus" numFmtId="0">
      <sharedItems count="2">
        <s v="No Return"/>
        <s v="Returned"/>
      </sharedItems>
    </cacheField>
    <cacheField name="Rating" numFmtId="0">
      <sharedItems containsSemiMixedTypes="0" containsString="0" containsNumber="1" containsInteger="1" minValue="1" maxValue="5"/>
    </cacheField>
    <cacheField name="Status" numFmtId="0">
      <sharedItems/>
    </cacheField>
    <cacheField name="Months (OrderDate)" numFmtId="0" databaseField="0">
      <fieldGroup base="1">
        <rangePr groupBy="months" startDate="2025-04-10T00:00:00" endDate="2026-04-10T00:00:00"/>
        <groupItems count="14">
          <s v="&lt;4/10/2025"/>
          <s v="Jan"/>
          <s v="Feb"/>
          <s v="Mar"/>
          <s v="Apr"/>
          <s v="May"/>
          <s v="Jun"/>
          <s v="Jul"/>
          <s v="Aug"/>
          <s v="Sep"/>
          <s v="Oct"/>
          <s v="Nov"/>
          <s v="Dec"/>
          <s v="&gt;4/10/2026"/>
        </groupItems>
      </fieldGroup>
    </cacheField>
    <cacheField name="Quarters (OrderDate)" numFmtId="0" databaseField="0">
      <fieldGroup base="1">
        <rangePr groupBy="quarters" startDate="2025-04-10T00:00:00" endDate="2026-04-10T00:00:00"/>
        <groupItems count="6">
          <s v="&lt;4/10/2025"/>
          <s v="Qtr1"/>
          <s v="Qtr2"/>
          <s v="Qtr3"/>
          <s v="Qtr4"/>
          <s v="&gt;4/10/2026"/>
        </groupItems>
      </fieldGroup>
    </cacheField>
    <cacheField name="Years (OrderDate)" numFmtId="0" databaseField="0">
      <fieldGroup base="1">
        <rangePr groupBy="years" startDate="2025-04-10T00:00:00" endDate="2026-04-10T00:00:00"/>
        <groupItems count="4">
          <s v="&lt;4/10/2025"/>
          <s v="2025"/>
          <s v="2026"/>
          <s v="&gt;4/10/2026"/>
        </groupItems>
      </fieldGroup>
    </cacheField>
  </cacheFields>
  <extLst>
    <ext xmlns:x14="http://schemas.microsoft.com/office/spreadsheetml/2009/9/main" uri="{725AE2AE-9491-48be-B2B4-4EB974FC3084}">
      <x14:pivotCacheDefinition pivotCacheId="19706057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x v="0"/>
    <s v="CUST883"/>
    <s v="Rahul"/>
    <x v="0"/>
    <n v="35"/>
    <x v="0"/>
    <x v="0"/>
    <x v="0"/>
    <x v="0"/>
    <n v="2"/>
    <n v="24446"/>
    <n v="5"/>
    <n v="2444.6"/>
    <n v="8360.5300000000007"/>
    <n v="310"/>
    <n v="55117.93"/>
    <x v="0"/>
    <x v="0"/>
    <s v="Mumbai"/>
    <x v="0"/>
    <x v="0"/>
    <n v="1"/>
    <x v="0"/>
    <n v="1"/>
    <s v="Delivered"/>
  </r>
  <r>
    <s v="ORD00002"/>
    <x v="1"/>
    <s v="CUST657"/>
    <s v="Neha"/>
    <x v="1"/>
    <n v="45"/>
    <x v="1"/>
    <x v="0"/>
    <x v="1"/>
    <x v="0"/>
    <n v="2"/>
    <n v="18047"/>
    <n v="20"/>
    <n v="7218.8"/>
    <n v="5197.54"/>
    <n v="363"/>
    <n v="34435.74"/>
    <x v="1"/>
    <x v="0"/>
    <s v="Pune"/>
    <x v="0"/>
    <x v="0"/>
    <n v="4"/>
    <x v="0"/>
    <n v="1"/>
    <s v="Returned"/>
  </r>
  <r>
    <s v="ORD00003"/>
    <x v="2"/>
    <s v="CUST546"/>
    <s v="Arjun"/>
    <x v="0"/>
    <n v="29"/>
    <x v="2"/>
    <x v="1"/>
    <x v="2"/>
    <x v="1"/>
    <n v="2"/>
    <n v="15876"/>
    <n v="5"/>
    <n v="1587.6"/>
    <n v="5429.59"/>
    <n v="156"/>
    <n v="35749.99"/>
    <x v="2"/>
    <x v="0"/>
    <s v="Chandigarh"/>
    <x v="1"/>
    <x v="1"/>
    <n v="3"/>
    <x v="0"/>
    <n v="4"/>
    <s v="Cancelled"/>
  </r>
  <r>
    <s v="ORD00004"/>
    <x v="3"/>
    <s v="CUST355"/>
    <s v="Priya"/>
    <x v="0"/>
    <n v="18"/>
    <x v="1"/>
    <x v="0"/>
    <x v="1"/>
    <x v="2"/>
    <n v="4"/>
    <n v="22930"/>
    <n v="15"/>
    <n v="13758"/>
    <n v="14033.16"/>
    <n v="264"/>
    <n v="92259.16"/>
    <x v="1"/>
    <x v="1"/>
    <s v="Chandigarh"/>
    <x v="1"/>
    <x v="1"/>
    <n v="10"/>
    <x v="0"/>
    <n v="2"/>
    <s v="Delivered"/>
  </r>
  <r>
    <s v="ORD00005"/>
    <x v="4"/>
    <s v="CUST595"/>
    <s v="Vikas"/>
    <x v="1"/>
    <n v="22"/>
    <x v="3"/>
    <x v="2"/>
    <x v="3"/>
    <x v="3"/>
    <n v="3"/>
    <n v="28947"/>
    <n v="10"/>
    <n v="8684.1"/>
    <n v="14068.24"/>
    <n v="398"/>
    <n v="92623.14"/>
    <x v="0"/>
    <x v="1"/>
    <s v="Patiala"/>
    <x v="1"/>
    <x v="1"/>
    <n v="6"/>
    <x v="0"/>
    <n v="2"/>
    <s v="Delivered"/>
  </r>
  <r>
    <s v="ORD00006"/>
    <x v="5"/>
    <s v="CUST587"/>
    <s v="Sneha"/>
    <x v="1"/>
    <n v="45"/>
    <x v="4"/>
    <x v="0"/>
    <x v="4"/>
    <x v="4"/>
    <n v="5"/>
    <n v="5222"/>
    <n v="10"/>
    <n v="2611"/>
    <n v="4229.82"/>
    <n v="392"/>
    <n v="28120.82"/>
    <x v="0"/>
    <x v="1"/>
    <s v="Jaipur"/>
    <x v="2"/>
    <x v="1"/>
    <n v="6"/>
    <x v="0"/>
    <n v="3"/>
    <s v="Delivered"/>
  </r>
  <r>
    <s v="ORD00007"/>
    <x v="6"/>
    <s v="CUST842"/>
    <s v="Amit"/>
    <x v="0"/>
    <n v="42"/>
    <x v="0"/>
    <x v="0"/>
    <x v="0"/>
    <x v="2"/>
    <n v="3"/>
    <n v="47976"/>
    <n v="10"/>
    <n v="14392.8"/>
    <n v="23316.34"/>
    <n v="272"/>
    <n v="153123.54"/>
    <x v="1"/>
    <x v="1"/>
    <s v="Mumbai"/>
    <x v="0"/>
    <x v="0"/>
    <n v="7"/>
    <x v="1"/>
    <n v="1"/>
    <s v="Returned"/>
  </r>
  <r>
    <s v="ORD00008"/>
    <x v="7"/>
    <s v="CUST666"/>
    <s v="Arjun"/>
    <x v="1"/>
    <n v="28"/>
    <x v="1"/>
    <x v="0"/>
    <x v="1"/>
    <x v="3"/>
    <n v="1"/>
    <n v="15216"/>
    <n v="10"/>
    <n v="1521.6"/>
    <n v="2464.9899999999998"/>
    <n v="366"/>
    <n v="16525.39"/>
    <x v="3"/>
    <x v="0"/>
    <s v="Bangalore"/>
    <x v="3"/>
    <x v="2"/>
    <n v="3"/>
    <x v="0"/>
    <n v="4"/>
    <s v="Returned"/>
  </r>
  <r>
    <s v="ORD00009"/>
    <x v="8"/>
    <s v="CUST794"/>
    <s v="Karan"/>
    <x v="1"/>
    <n v="52"/>
    <x v="5"/>
    <x v="0"/>
    <x v="5"/>
    <x v="4"/>
    <n v="3"/>
    <n v="39902"/>
    <n v="0"/>
    <n v="0"/>
    <n v="21547.08"/>
    <n v="82"/>
    <n v="141335.07999999999"/>
    <x v="2"/>
    <x v="0"/>
    <s v="Bangalore"/>
    <x v="3"/>
    <x v="2"/>
    <n v="8"/>
    <x v="0"/>
    <n v="4"/>
    <s v="Shipped"/>
  </r>
  <r>
    <s v="ORD00010"/>
    <x v="9"/>
    <s v="CUST126"/>
    <s v="Karan"/>
    <x v="0"/>
    <n v="32"/>
    <x v="6"/>
    <x v="0"/>
    <x v="6"/>
    <x v="0"/>
    <n v="5"/>
    <n v="20474"/>
    <n v="5"/>
    <n v="5118.5"/>
    <n v="17505.27"/>
    <n v="217"/>
    <n v="114973.77"/>
    <x v="3"/>
    <x v="1"/>
    <s v="Lucknow"/>
    <x v="4"/>
    <x v="1"/>
    <n v="7"/>
    <x v="0"/>
    <n v="5"/>
    <s v="Shipped"/>
  </r>
  <r>
    <s v="ORD00011"/>
    <x v="10"/>
    <s v="CUST244"/>
    <s v="Amit"/>
    <x v="1"/>
    <n v="22"/>
    <x v="7"/>
    <x v="1"/>
    <x v="7"/>
    <x v="2"/>
    <n v="5"/>
    <n v="33495"/>
    <n v="0"/>
    <n v="0"/>
    <n v="30145.5"/>
    <n v="336"/>
    <n v="197956.5"/>
    <x v="3"/>
    <x v="0"/>
    <s v="Bangalore"/>
    <x v="3"/>
    <x v="2"/>
    <n v="10"/>
    <x v="0"/>
    <n v="4"/>
    <s v="Returned"/>
  </r>
  <r>
    <s v="ORD00012"/>
    <x v="11"/>
    <s v="CUST221"/>
    <s v="Arjun"/>
    <x v="0"/>
    <n v="58"/>
    <x v="0"/>
    <x v="0"/>
    <x v="0"/>
    <x v="5"/>
    <n v="5"/>
    <n v="28508"/>
    <n v="0"/>
    <n v="0"/>
    <n v="25657.200000000001"/>
    <n v="8"/>
    <n v="168205.2"/>
    <x v="0"/>
    <x v="0"/>
    <s v="Delhi"/>
    <x v="5"/>
    <x v="1"/>
    <n v="4"/>
    <x v="1"/>
    <n v="1"/>
    <s v="Returned"/>
  </r>
  <r>
    <s v="ORD00013"/>
    <x v="12"/>
    <s v="CUST100"/>
    <s v="Vikas"/>
    <x v="0"/>
    <n v="25"/>
    <x v="6"/>
    <x v="0"/>
    <x v="6"/>
    <x v="3"/>
    <n v="3"/>
    <n v="25199"/>
    <n v="10"/>
    <n v="7559.7"/>
    <n v="12246.71"/>
    <n v="373"/>
    <n v="80657.009999999995"/>
    <x v="2"/>
    <x v="1"/>
    <s v="Lucknow"/>
    <x v="4"/>
    <x v="1"/>
    <n v="6"/>
    <x v="0"/>
    <n v="4"/>
    <s v="Returned"/>
  </r>
  <r>
    <s v="ORD00014"/>
    <x v="13"/>
    <s v="CUST256"/>
    <s v="Anjali"/>
    <x v="0"/>
    <n v="22"/>
    <x v="2"/>
    <x v="1"/>
    <x v="2"/>
    <x v="2"/>
    <n v="3"/>
    <n v="528"/>
    <n v="5"/>
    <n v="79.2"/>
    <n v="270.86"/>
    <n v="489"/>
    <n v="2264.66"/>
    <x v="3"/>
    <x v="1"/>
    <s v="Jaipur"/>
    <x v="2"/>
    <x v="1"/>
    <n v="7"/>
    <x v="1"/>
    <n v="5"/>
    <s v="Delivered"/>
  </r>
  <r>
    <s v="ORD00015"/>
    <x v="14"/>
    <s v="CUST217"/>
    <s v="Riya"/>
    <x v="1"/>
    <n v="19"/>
    <x v="0"/>
    <x v="0"/>
    <x v="0"/>
    <x v="6"/>
    <n v="2"/>
    <n v="4978"/>
    <n v="10"/>
    <n v="995.6"/>
    <n v="1612.87"/>
    <n v="228"/>
    <n v="10801.27"/>
    <x v="0"/>
    <x v="1"/>
    <s v="Jaipur"/>
    <x v="2"/>
    <x v="1"/>
    <n v="8"/>
    <x v="1"/>
    <n v="3"/>
    <s v="Shipped"/>
  </r>
  <r>
    <s v="ORD00016"/>
    <x v="15"/>
    <s v="CUST814"/>
    <s v="Anjali"/>
    <x v="1"/>
    <n v="51"/>
    <x v="4"/>
    <x v="0"/>
    <x v="4"/>
    <x v="5"/>
    <n v="5"/>
    <n v="46989"/>
    <n v="10"/>
    <n v="23494.5"/>
    <n v="38061.089999999997"/>
    <n v="201"/>
    <n v="249712.59"/>
    <x v="2"/>
    <x v="0"/>
    <s v="Bangalore"/>
    <x v="3"/>
    <x v="2"/>
    <n v="9"/>
    <x v="1"/>
    <n v="4"/>
    <s v="Delivered"/>
  </r>
  <r>
    <s v="ORD00017"/>
    <x v="16"/>
    <s v="CUST829"/>
    <s v="Riya"/>
    <x v="0"/>
    <n v="31"/>
    <x v="3"/>
    <x v="2"/>
    <x v="3"/>
    <x v="3"/>
    <n v="1"/>
    <n v="48667"/>
    <n v="5"/>
    <n v="2433.35"/>
    <n v="8322.06"/>
    <n v="58"/>
    <n v="54613.71"/>
    <x v="3"/>
    <x v="1"/>
    <s v="Bangalore"/>
    <x v="3"/>
    <x v="2"/>
    <n v="1"/>
    <x v="1"/>
    <n v="2"/>
    <s v="Shipped"/>
  </r>
  <r>
    <s v="ORD00018"/>
    <x v="17"/>
    <s v="CUST196"/>
    <s v="Vikas"/>
    <x v="0"/>
    <n v="31"/>
    <x v="6"/>
    <x v="0"/>
    <x v="6"/>
    <x v="1"/>
    <n v="3"/>
    <n v="33636"/>
    <n v="10"/>
    <n v="10090.799999999999"/>
    <n v="16347.1"/>
    <n v="272"/>
    <n v="107436.3"/>
    <x v="3"/>
    <x v="0"/>
    <s v="Jaipur"/>
    <x v="2"/>
    <x v="1"/>
    <n v="1"/>
    <x v="0"/>
    <n v="3"/>
    <s v="Delivered"/>
  </r>
  <r>
    <s v="ORD00019"/>
    <x v="18"/>
    <s v="CUST776"/>
    <s v="Vikas"/>
    <x v="1"/>
    <n v="55"/>
    <x v="2"/>
    <x v="1"/>
    <x v="2"/>
    <x v="1"/>
    <n v="3"/>
    <n v="40213"/>
    <n v="15"/>
    <n v="18095.849999999999"/>
    <n v="18457.77"/>
    <n v="371"/>
    <n v="121371.92"/>
    <x v="0"/>
    <x v="0"/>
    <s v="Chandigarh"/>
    <x v="1"/>
    <x v="1"/>
    <n v="6"/>
    <x v="1"/>
    <n v="4"/>
    <s v="Returned"/>
  </r>
  <r>
    <s v="ORD00020"/>
    <x v="19"/>
    <s v="CUST822"/>
    <s v="Riya"/>
    <x v="0"/>
    <n v="36"/>
    <x v="2"/>
    <x v="1"/>
    <x v="2"/>
    <x v="5"/>
    <n v="4"/>
    <n v="7214"/>
    <n v="5"/>
    <n v="1442.8"/>
    <n v="4934.38"/>
    <n v="443"/>
    <n v="32790.58"/>
    <x v="0"/>
    <x v="1"/>
    <s v="Lucknow"/>
    <x v="4"/>
    <x v="1"/>
    <n v="9"/>
    <x v="0"/>
    <n v="5"/>
    <s v="Returned"/>
  </r>
  <r>
    <s v="ORD00021"/>
    <x v="20"/>
    <s v="CUST383"/>
    <s v="Riya"/>
    <x v="1"/>
    <n v="54"/>
    <x v="0"/>
    <x v="0"/>
    <x v="0"/>
    <x v="7"/>
    <n v="2"/>
    <n v="33517"/>
    <n v="0"/>
    <n v="0"/>
    <n v="12066.12"/>
    <n v="341"/>
    <n v="79441.119999999995"/>
    <x v="3"/>
    <x v="1"/>
    <s v="Jaipur"/>
    <x v="2"/>
    <x v="1"/>
    <n v="5"/>
    <x v="1"/>
    <n v="3"/>
    <s v="Cancelled"/>
  </r>
  <r>
    <s v="ORD00022"/>
    <x v="21"/>
    <s v="CUST330"/>
    <s v="Priya"/>
    <x v="0"/>
    <n v="45"/>
    <x v="3"/>
    <x v="2"/>
    <x v="3"/>
    <x v="5"/>
    <n v="1"/>
    <n v="29256"/>
    <n v="15"/>
    <n v="4388.3999999999996"/>
    <n v="4476.17"/>
    <n v="37"/>
    <n v="29380.77"/>
    <x v="3"/>
    <x v="1"/>
    <s v="Lucknow"/>
    <x v="4"/>
    <x v="1"/>
    <n v="9"/>
    <x v="0"/>
    <n v="4"/>
    <s v="Cancelled"/>
  </r>
  <r>
    <s v="ORD00023"/>
    <x v="22"/>
    <s v="CUST478"/>
    <s v="Vikas"/>
    <x v="0"/>
    <n v="31"/>
    <x v="1"/>
    <x v="0"/>
    <x v="1"/>
    <x v="3"/>
    <n v="1"/>
    <n v="36299"/>
    <n v="10"/>
    <n v="3629.9"/>
    <n v="5880.44"/>
    <n v="385"/>
    <n v="38934.54"/>
    <x v="2"/>
    <x v="0"/>
    <s v="Pune"/>
    <x v="0"/>
    <x v="0"/>
    <n v="1"/>
    <x v="0"/>
    <n v="1"/>
    <s v="Cancelled"/>
  </r>
  <r>
    <s v="ORD00024"/>
    <x v="23"/>
    <s v="CUST158"/>
    <s v="Amit"/>
    <x v="1"/>
    <n v="56"/>
    <x v="4"/>
    <x v="0"/>
    <x v="4"/>
    <x v="1"/>
    <n v="3"/>
    <n v="24675"/>
    <n v="15"/>
    <n v="11103.75"/>
    <n v="11325.82"/>
    <n v="294"/>
    <n v="74541.070000000007"/>
    <x v="3"/>
    <x v="1"/>
    <s v="Lucknow"/>
    <x v="4"/>
    <x v="1"/>
    <n v="4"/>
    <x v="0"/>
    <n v="4"/>
    <s v="Delivered"/>
  </r>
  <r>
    <s v="ORD00025"/>
    <x v="24"/>
    <s v="CUST442"/>
    <s v="Anjali"/>
    <x v="0"/>
    <n v="30"/>
    <x v="8"/>
    <x v="0"/>
    <x v="8"/>
    <x v="7"/>
    <n v="5"/>
    <n v="1082"/>
    <n v="20"/>
    <n v="1082"/>
    <n v="779.04"/>
    <n v="274"/>
    <n v="5381.04"/>
    <x v="1"/>
    <x v="0"/>
    <s v="Mumbai"/>
    <x v="0"/>
    <x v="0"/>
    <n v="2"/>
    <x v="0"/>
    <n v="2"/>
    <s v="Shipped"/>
  </r>
  <r>
    <s v="ORD00026"/>
    <x v="25"/>
    <s v="CUST924"/>
    <s v="Sneha"/>
    <x v="1"/>
    <n v="48"/>
    <x v="0"/>
    <x v="0"/>
    <x v="0"/>
    <x v="5"/>
    <n v="2"/>
    <n v="971"/>
    <n v="20"/>
    <n v="388.4"/>
    <n v="279.64999999999998"/>
    <n v="249"/>
    <n v="2082.25"/>
    <x v="3"/>
    <x v="1"/>
    <s v="Mumbai"/>
    <x v="0"/>
    <x v="0"/>
    <n v="7"/>
    <x v="0"/>
    <n v="2"/>
    <s v="Delivered"/>
  </r>
  <r>
    <s v="ORD00027"/>
    <x v="26"/>
    <s v="CUST380"/>
    <s v="Riya"/>
    <x v="0"/>
    <n v="43"/>
    <x v="9"/>
    <x v="0"/>
    <x v="9"/>
    <x v="1"/>
    <n v="2"/>
    <n v="12340"/>
    <n v="10"/>
    <n v="2468"/>
    <n v="3998.16"/>
    <n v="380"/>
    <n v="26590.16"/>
    <x v="2"/>
    <x v="1"/>
    <s v="Jaipur"/>
    <x v="2"/>
    <x v="1"/>
    <n v="3"/>
    <x v="0"/>
    <n v="1"/>
    <s v="Delivered"/>
  </r>
  <r>
    <s v="ORD00028"/>
    <x v="27"/>
    <s v="CUST512"/>
    <s v="Arjun"/>
    <x v="0"/>
    <n v="44"/>
    <x v="6"/>
    <x v="0"/>
    <x v="6"/>
    <x v="7"/>
    <n v="4"/>
    <n v="3291"/>
    <n v="5"/>
    <n v="658.2"/>
    <n v="2251.04"/>
    <n v="242"/>
    <n v="14998.84"/>
    <x v="0"/>
    <x v="1"/>
    <s v="Jaipur"/>
    <x v="2"/>
    <x v="1"/>
    <n v="1"/>
    <x v="0"/>
    <n v="3"/>
    <s v="Returned"/>
  </r>
  <r>
    <s v="ORD00029"/>
    <x v="28"/>
    <s v="CUST349"/>
    <s v="Rahul"/>
    <x v="1"/>
    <n v="19"/>
    <x v="8"/>
    <x v="0"/>
    <x v="8"/>
    <x v="7"/>
    <n v="3"/>
    <n v="44392"/>
    <n v="0"/>
    <n v="0"/>
    <n v="23971.68"/>
    <n v="464"/>
    <n v="157611.68"/>
    <x v="0"/>
    <x v="0"/>
    <s v="Pune"/>
    <x v="0"/>
    <x v="0"/>
    <n v="9"/>
    <x v="1"/>
    <n v="2"/>
    <s v="Cancelled"/>
  </r>
  <r>
    <s v="ORD00030"/>
    <x v="29"/>
    <s v="CUST583"/>
    <s v="Riya"/>
    <x v="1"/>
    <n v="59"/>
    <x v="6"/>
    <x v="0"/>
    <x v="6"/>
    <x v="3"/>
    <n v="2"/>
    <n v="40547"/>
    <n v="20"/>
    <n v="16218.8"/>
    <n v="11677.54"/>
    <n v="177"/>
    <n v="76729.740000000005"/>
    <x v="1"/>
    <x v="0"/>
    <s v="Lucknow"/>
    <x v="4"/>
    <x v="1"/>
    <n v="2"/>
    <x v="1"/>
    <n v="3"/>
    <s v="Cancelled"/>
  </r>
  <r>
    <s v="ORD00031"/>
    <x v="30"/>
    <s v="CUST279"/>
    <s v="Karan"/>
    <x v="0"/>
    <n v="60"/>
    <x v="0"/>
    <x v="0"/>
    <x v="0"/>
    <x v="1"/>
    <n v="5"/>
    <n v="31394"/>
    <n v="0"/>
    <n v="0"/>
    <n v="28254.6"/>
    <n v="446"/>
    <n v="185670.6"/>
    <x v="1"/>
    <x v="0"/>
    <s v="Bangalore"/>
    <x v="3"/>
    <x v="2"/>
    <n v="3"/>
    <x v="0"/>
    <n v="2"/>
    <s v="Cancelled"/>
  </r>
  <r>
    <s v="ORD00032"/>
    <x v="31"/>
    <s v="CUST354"/>
    <s v="Karan"/>
    <x v="0"/>
    <n v="57"/>
    <x v="5"/>
    <x v="0"/>
    <x v="5"/>
    <x v="8"/>
    <n v="2"/>
    <n v="35379"/>
    <n v="0"/>
    <n v="0"/>
    <n v="12736.44"/>
    <n v="53"/>
    <n v="83547.44"/>
    <x v="2"/>
    <x v="1"/>
    <s v="Pune"/>
    <x v="0"/>
    <x v="0"/>
    <n v="4"/>
    <x v="0"/>
    <n v="4"/>
    <s v="Cancelled"/>
  </r>
  <r>
    <s v="ORD00033"/>
    <x v="32"/>
    <s v="CUST837"/>
    <s v="Karan"/>
    <x v="0"/>
    <n v="54"/>
    <x v="2"/>
    <x v="1"/>
    <x v="2"/>
    <x v="2"/>
    <n v="1"/>
    <n v="35566"/>
    <n v="20"/>
    <n v="7113.2"/>
    <n v="5121.5"/>
    <n v="467"/>
    <n v="34041.300000000003"/>
    <x v="1"/>
    <x v="0"/>
    <s v="Bangalore"/>
    <x v="3"/>
    <x v="2"/>
    <n v="5"/>
    <x v="0"/>
    <n v="2"/>
    <s v="Delivered"/>
  </r>
  <r>
    <s v="ORD00034"/>
    <x v="33"/>
    <s v="CUST450"/>
    <s v="Vikas"/>
    <x v="1"/>
    <n v="47"/>
    <x v="5"/>
    <x v="0"/>
    <x v="5"/>
    <x v="8"/>
    <n v="1"/>
    <n v="20264"/>
    <n v="15"/>
    <n v="3039.6"/>
    <n v="3100.39"/>
    <n v="365"/>
    <n v="20689.79"/>
    <x v="0"/>
    <x v="0"/>
    <s v="Delhi"/>
    <x v="5"/>
    <x v="1"/>
    <n v="10"/>
    <x v="1"/>
    <n v="2"/>
    <s v="Shipped"/>
  </r>
  <r>
    <s v="ORD00035"/>
    <x v="34"/>
    <s v="CUST697"/>
    <s v="Priya"/>
    <x v="1"/>
    <n v="37"/>
    <x v="1"/>
    <x v="0"/>
    <x v="1"/>
    <x v="7"/>
    <n v="3"/>
    <n v="32124"/>
    <n v="5"/>
    <n v="4818.6000000000004"/>
    <n v="16479.61"/>
    <n v="285"/>
    <n v="108318.01"/>
    <x v="0"/>
    <x v="0"/>
    <s v="Delhi"/>
    <x v="5"/>
    <x v="1"/>
    <n v="9"/>
    <x v="0"/>
    <n v="2"/>
    <s v="Shipped"/>
  </r>
  <r>
    <s v="ORD00036"/>
    <x v="35"/>
    <s v="CUST292"/>
    <s v="Karan"/>
    <x v="0"/>
    <n v="53"/>
    <x v="2"/>
    <x v="1"/>
    <x v="2"/>
    <x v="8"/>
    <n v="5"/>
    <n v="18427"/>
    <n v="5"/>
    <n v="4606.75"/>
    <n v="15755.08"/>
    <n v="210"/>
    <n v="103493.33"/>
    <x v="2"/>
    <x v="0"/>
    <s v="Bangalore"/>
    <x v="3"/>
    <x v="2"/>
    <n v="9"/>
    <x v="1"/>
    <n v="2"/>
    <s v="Returned"/>
  </r>
  <r>
    <s v="ORD00037"/>
    <x v="36"/>
    <s v="CUST537"/>
    <s v="Rahul"/>
    <x v="1"/>
    <n v="57"/>
    <x v="7"/>
    <x v="1"/>
    <x v="7"/>
    <x v="6"/>
    <n v="5"/>
    <n v="43320"/>
    <n v="10"/>
    <n v="21660"/>
    <n v="35089.199999999997"/>
    <n v="103"/>
    <n v="230132.2"/>
    <x v="2"/>
    <x v="1"/>
    <s v="Jaipur"/>
    <x v="2"/>
    <x v="1"/>
    <n v="5"/>
    <x v="0"/>
    <n v="5"/>
    <s v="Returned"/>
  </r>
  <r>
    <s v="ORD00038"/>
    <x v="37"/>
    <s v="CUST800"/>
    <s v="Riya"/>
    <x v="0"/>
    <n v="52"/>
    <x v="0"/>
    <x v="0"/>
    <x v="0"/>
    <x v="8"/>
    <n v="2"/>
    <n v="2134"/>
    <n v="0"/>
    <n v="0"/>
    <n v="768.24"/>
    <n v="266"/>
    <n v="5302.24"/>
    <x v="3"/>
    <x v="1"/>
    <s v="Mumbai"/>
    <x v="0"/>
    <x v="0"/>
    <n v="10"/>
    <x v="0"/>
    <n v="2"/>
    <s v="Cancelled"/>
  </r>
  <r>
    <s v="ORD00039"/>
    <x v="38"/>
    <s v="CUST563"/>
    <s v="Amit"/>
    <x v="0"/>
    <n v="50"/>
    <x v="2"/>
    <x v="1"/>
    <x v="2"/>
    <x v="5"/>
    <n v="2"/>
    <n v="46564"/>
    <n v="0"/>
    <n v="0"/>
    <n v="16763.04"/>
    <n v="299"/>
    <n v="110190.04"/>
    <x v="2"/>
    <x v="0"/>
    <s v="Pune"/>
    <x v="0"/>
    <x v="0"/>
    <n v="10"/>
    <x v="0"/>
    <n v="3"/>
    <s v="Cancelled"/>
  </r>
  <r>
    <s v="ORD00040"/>
    <x v="39"/>
    <s v="CUST723"/>
    <s v="Vikas"/>
    <x v="0"/>
    <n v="50"/>
    <x v="1"/>
    <x v="0"/>
    <x v="1"/>
    <x v="3"/>
    <n v="1"/>
    <n v="18376"/>
    <n v="15"/>
    <n v="2756.4"/>
    <n v="2811.53"/>
    <n v="486"/>
    <n v="18917.13"/>
    <x v="0"/>
    <x v="0"/>
    <s v="Patiala"/>
    <x v="1"/>
    <x v="1"/>
    <n v="4"/>
    <x v="0"/>
    <n v="2"/>
    <s v="Shipped"/>
  </r>
  <r>
    <s v="ORD00041"/>
    <x v="40"/>
    <s v="CUST427"/>
    <s v="Priya"/>
    <x v="0"/>
    <n v="31"/>
    <x v="4"/>
    <x v="0"/>
    <x v="4"/>
    <x v="7"/>
    <n v="4"/>
    <n v="27754"/>
    <n v="20"/>
    <n v="22203.200000000001"/>
    <n v="15986.3"/>
    <n v="275"/>
    <n v="105074.1"/>
    <x v="1"/>
    <x v="0"/>
    <s v="Jaipur"/>
    <x v="2"/>
    <x v="1"/>
    <n v="9"/>
    <x v="0"/>
    <n v="3"/>
    <s v="Cancelled"/>
  </r>
  <r>
    <s v="ORD00042"/>
    <x v="41"/>
    <s v="CUST496"/>
    <s v="Anjali"/>
    <x v="0"/>
    <n v="48"/>
    <x v="2"/>
    <x v="1"/>
    <x v="2"/>
    <x v="2"/>
    <n v="1"/>
    <n v="13832"/>
    <n v="5"/>
    <n v="691.6"/>
    <n v="2365.27"/>
    <n v="391"/>
    <n v="15896.67"/>
    <x v="2"/>
    <x v="0"/>
    <s v="Chandigarh"/>
    <x v="1"/>
    <x v="1"/>
    <n v="7"/>
    <x v="0"/>
    <n v="2"/>
    <s v="Delivered"/>
  </r>
  <r>
    <s v="ORD00043"/>
    <x v="42"/>
    <s v="CUST930"/>
    <s v="Priya"/>
    <x v="1"/>
    <n v="57"/>
    <x v="9"/>
    <x v="0"/>
    <x v="9"/>
    <x v="6"/>
    <n v="2"/>
    <n v="48320"/>
    <n v="0"/>
    <n v="0"/>
    <n v="17395.2"/>
    <n v="415"/>
    <n v="114450.2"/>
    <x v="3"/>
    <x v="0"/>
    <s v="Chandigarh"/>
    <x v="1"/>
    <x v="1"/>
    <n v="1"/>
    <x v="1"/>
    <n v="4"/>
    <s v="Delivered"/>
  </r>
  <r>
    <s v="ORD00044"/>
    <x v="20"/>
    <s v="CUST320"/>
    <s v="Arjun"/>
    <x v="1"/>
    <n v="35"/>
    <x v="5"/>
    <x v="0"/>
    <x v="5"/>
    <x v="5"/>
    <n v="1"/>
    <n v="2598"/>
    <n v="5"/>
    <n v="129.9"/>
    <n v="444.26"/>
    <n v="414"/>
    <n v="3326.36"/>
    <x v="1"/>
    <x v="0"/>
    <s v="Lucknow"/>
    <x v="4"/>
    <x v="1"/>
    <n v="7"/>
    <x v="1"/>
    <n v="2"/>
    <s v="Shipped"/>
  </r>
  <r>
    <s v="ORD00045"/>
    <x v="16"/>
    <s v="CUST558"/>
    <s v="Rahul"/>
    <x v="0"/>
    <n v="27"/>
    <x v="1"/>
    <x v="0"/>
    <x v="1"/>
    <x v="1"/>
    <n v="4"/>
    <n v="46065"/>
    <n v="10"/>
    <n v="18426"/>
    <n v="29850.12"/>
    <n v="96"/>
    <n v="195780.12"/>
    <x v="2"/>
    <x v="1"/>
    <s v="Chandigarh"/>
    <x v="1"/>
    <x v="1"/>
    <n v="5"/>
    <x v="1"/>
    <n v="1"/>
    <s v="Shipped"/>
  </r>
  <r>
    <s v="ORD00046"/>
    <x v="43"/>
    <s v="CUST991"/>
    <s v="Vikas"/>
    <x v="1"/>
    <n v="57"/>
    <x v="7"/>
    <x v="1"/>
    <x v="7"/>
    <x v="0"/>
    <n v="2"/>
    <n v="33957"/>
    <n v="15"/>
    <n v="10187.1"/>
    <n v="10390.84"/>
    <n v="493"/>
    <n v="68610.740000000005"/>
    <x v="3"/>
    <x v="1"/>
    <s v="Mumbai"/>
    <x v="0"/>
    <x v="0"/>
    <n v="9"/>
    <x v="0"/>
    <n v="1"/>
    <s v="Delivered"/>
  </r>
  <r>
    <s v="ORD00047"/>
    <x v="44"/>
    <s v="CUST863"/>
    <s v="Anjali"/>
    <x v="1"/>
    <n v="31"/>
    <x v="6"/>
    <x v="0"/>
    <x v="6"/>
    <x v="1"/>
    <n v="4"/>
    <n v="34160"/>
    <n v="10"/>
    <n v="13664"/>
    <n v="22135.68"/>
    <n v="174"/>
    <n v="145285.68"/>
    <x v="2"/>
    <x v="1"/>
    <s v="Pune"/>
    <x v="0"/>
    <x v="0"/>
    <n v="6"/>
    <x v="0"/>
    <n v="3"/>
    <s v="Returned"/>
  </r>
  <r>
    <s v="ORD00048"/>
    <x v="2"/>
    <s v="CUST846"/>
    <s v="Priya"/>
    <x v="1"/>
    <n v="37"/>
    <x v="6"/>
    <x v="0"/>
    <x v="6"/>
    <x v="3"/>
    <n v="2"/>
    <n v="18482"/>
    <n v="15"/>
    <n v="5544.6"/>
    <n v="5655.49"/>
    <n v="78"/>
    <n v="37152.89"/>
    <x v="0"/>
    <x v="0"/>
    <s v="Lucknow"/>
    <x v="4"/>
    <x v="1"/>
    <n v="5"/>
    <x v="0"/>
    <n v="3"/>
    <s v="Shipped"/>
  </r>
  <r>
    <s v="ORD00049"/>
    <x v="45"/>
    <s v="CUST434"/>
    <s v="Neha"/>
    <x v="1"/>
    <n v="55"/>
    <x v="1"/>
    <x v="0"/>
    <x v="1"/>
    <x v="5"/>
    <n v="2"/>
    <n v="40666"/>
    <n v="10"/>
    <n v="8133.2"/>
    <n v="13175.78"/>
    <n v="334"/>
    <n v="86708.58"/>
    <x v="1"/>
    <x v="1"/>
    <s v="Patiala"/>
    <x v="1"/>
    <x v="1"/>
    <n v="8"/>
    <x v="1"/>
    <n v="5"/>
    <s v="Returned"/>
  </r>
  <r>
    <s v="ORD00050"/>
    <x v="46"/>
    <s v="CUST837"/>
    <s v="Amit"/>
    <x v="1"/>
    <n v="42"/>
    <x v="4"/>
    <x v="0"/>
    <x v="4"/>
    <x v="7"/>
    <n v="4"/>
    <n v="2535"/>
    <n v="5"/>
    <n v="507"/>
    <n v="1733.94"/>
    <n v="49"/>
    <n v="11415.94"/>
    <x v="2"/>
    <x v="0"/>
    <s v="Jaipur"/>
    <x v="2"/>
    <x v="1"/>
    <n v="3"/>
    <x v="1"/>
    <n v="1"/>
    <s v="Delivered"/>
  </r>
  <r>
    <s v="ORD00051"/>
    <x v="47"/>
    <s v="CUST678"/>
    <s v="Vikas"/>
    <x v="0"/>
    <n v="35"/>
    <x v="5"/>
    <x v="0"/>
    <x v="5"/>
    <x v="8"/>
    <n v="3"/>
    <n v="41574"/>
    <n v="20"/>
    <n v="24944.400000000001"/>
    <n v="17959.97"/>
    <n v="206"/>
    <n v="117943.57"/>
    <x v="1"/>
    <x v="0"/>
    <s v="Mumbai"/>
    <x v="0"/>
    <x v="0"/>
    <n v="10"/>
    <x v="0"/>
    <n v="3"/>
    <s v="Returned"/>
  </r>
  <r>
    <s v="ORD00052"/>
    <x v="9"/>
    <s v="CUST809"/>
    <s v="Neha"/>
    <x v="1"/>
    <n v="28"/>
    <x v="4"/>
    <x v="0"/>
    <x v="4"/>
    <x v="5"/>
    <n v="3"/>
    <n v="33177"/>
    <n v="5"/>
    <n v="4976.55"/>
    <n v="17019.8"/>
    <n v="56"/>
    <n v="111630.25"/>
    <x v="3"/>
    <x v="1"/>
    <s v="Mumbai"/>
    <x v="0"/>
    <x v="0"/>
    <n v="3"/>
    <x v="1"/>
    <n v="3"/>
    <s v="Cancelled"/>
  </r>
  <r>
    <s v="ORD00053"/>
    <x v="20"/>
    <s v="CUST615"/>
    <s v="Neha"/>
    <x v="1"/>
    <n v="47"/>
    <x v="4"/>
    <x v="0"/>
    <x v="4"/>
    <x v="8"/>
    <n v="5"/>
    <n v="1762"/>
    <n v="20"/>
    <n v="1762"/>
    <n v="1268.6400000000001"/>
    <n v="27"/>
    <n v="8343.64"/>
    <x v="0"/>
    <x v="1"/>
    <s v="Chandigarh"/>
    <x v="1"/>
    <x v="1"/>
    <n v="4"/>
    <x v="0"/>
    <n v="3"/>
    <s v="Returned"/>
  </r>
  <r>
    <s v="ORD00054"/>
    <x v="48"/>
    <s v="CUST986"/>
    <s v="Sneha"/>
    <x v="1"/>
    <n v="47"/>
    <x v="6"/>
    <x v="0"/>
    <x v="6"/>
    <x v="2"/>
    <n v="2"/>
    <n v="16428"/>
    <n v="20"/>
    <n v="6571.2"/>
    <n v="4731.26"/>
    <n v="94"/>
    <n v="31110.06"/>
    <x v="1"/>
    <x v="1"/>
    <s v="Delhi"/>
    <x v="5"/>
    <x v="1"/>
    <n v="1"/>
    <x v="0"/>
    <n v="4"/>
    <s v="Delivered"/>
  </r>
  <r>
    <s v="ORD00055"/>
    <x v="49"/>
    <s v="CUST622"/>
    <s v="Arjun"/>
    <x v="0"/>
    <n v="27"/>
    <x v="6"/>
    <x v="0"/>
    <x v="6"/>
    <x v="6"/>
    <n v="3"/>
    <n v="17615"/>
    <n v="0"/>
    <n v="0"/>
    <n v="9512.1"/>
    <n v="128"/>
    <n v="62485.1"/>
    <x v="0"/>
    <x v="0"/>
    <s v="Patiala"/>
    <x v="1"/>
    <x v="1"/>
    <n v="5"/>
    <x v="0"/>
    <n v="4"/>
    <s v="Cancelled"/>
  </r>
  <r>
    <s v="ORD00056"/>
    <x v="50"/>
    <s v="CUST279"/>
    <s v="Amit"/>
    <x v="0"/>
    <n v="50"/>
    <x v="7"/>
    <x v="1"/>
    <x v="7"/>
    <x v="0"/>
    <n v="2"/>
    <n v="18078"/>
    <n v="10"/>
    <n v="3615.6"/>
    <n v="5857.27"/>
    <n v="92"/>
    <n v="38489.67"/>
    <x v="0"/>
    <x v="1"/>
    <s v="Jaipur"/>
    <x v="2"/>
    <x v="1"/>
    <n v="9"/>
    <x v="0"/>
    <n v="2"/>
    <s v="Returned"/>
  </r>
  <r>
    <s v="ORD00057"/>
    <x v="51"/>
    <s v="CUST665"/>
    <s v="Priya"/>
    <x v="1"/>
    <n v="33"/>
    <x v="5"/>
    <x v="0"/>
    <x v="5"/>
    <x v="5"/>
    <n v="1"/>
    <n v="4209"/>
    <n v="20"/>
    <n v="841.8"/>
    <n v="606.1"/>
    <n v="108"/>
    <n v="4081.3"/>
    <x v="0"/>
    <x v="0"/>
    <s v="Jaipur"/>
    <x v="2"/>
    <x v="1"/>
    <n v="8"/>
    <x v="0"/>
    <n v="5"/>
    <s v="Shipped"/>
  </r>
  <r>
    <s v="ORD00058"/>
    <x v="52"/>
    <s v="CUST777"/>
    <s v="Vikas"/>
    <x v="0"/>
    <n v="20"/>
    <x v="5"/>
    <x v="0"/>
    <x v="5"/>
    <x v="9"/>
    <n v="5"/>
    <n v="32244"/>
    <n v="5"/>
    <n v="8061"/>
    <n v="27568.62"/>
    <n v="248"/>
    <n v="180975.62"/>
    <x v="0"/>
    <x v="0"/>
    <s v="Pune"/>
    <x v="0"/>
    <x v="0"/>
    <n v="6"/>
    <x v="0"/>
    <n v="2"/>
    <s v="Cancelled"/>
  </r>
  <r>
    <s v="ORD00059"/>
    <x v="53"/>
    <s v="CUST228"/>
    <s v="Neha"/>
    <x v="1"/>
    <n v="40"/>
    <x v="3"/>
    <x v="2"/>
    <x v="3"/>
    <x v="8"/>
    <n v="2"/>
    <n v="17758"/>
    <n v="10"/>
    <n v="3551.6"/>
    <n v="5753.59"/>
    <n v="218"/>
    <n v="37935.99"/>
    <x v="1"/>
    <x v="1"/>
    <s v="Pune"/>
    <x v="0"/>
    <x v="0"/>
    <n v="9"/>
    <x v="1"/>
    <n v="4"/>
    <s v="Cancelled"/>
  </r>
  <r>
    <s v="ORD00060"/>
    <x v="54"/>
    <s v="CUST993"/>
    <s v="Anjali"/>
    <x v="1"/>
    <n v="26"/>
    <x v="9"/>
    <x v="0"/>
    <x v="9"/>
    <x v="5"/>
    <n v="3"/>
    <n v="49447"/>
    <n v="0"/>
    <n v="0"/>
    <n v="26701.38"/>
    <n v="5"/>
    <n v="175047.38"/>
    <x v="0"/>
    <x v="0"/>
    <s v="Jaipur"/>
    <x v="2"/>
    <x v="1"/>
    <n v="3"/>
    <x v="0"/>
    <n v="1"/>
    <s v="Cancelled"/>
  </r>
  <r>
    <s v="ORD00061"/>
    <x v="55"/>
    <s v="CUST778"/>
    <s v="Anjali"/>
    <x v="0"/>
    <n v="55"/>
    <x v="6"/>
    <x v="0"/>
    <x v="6"/>
    <x v="1"/>
    <n v="4"/>
    <n v="44629"/>
    <n v="0"/>
    <n v="0"/>
    <n v="32132.880000000001"/>
    <n v="182"/>
    <n v="210830.88"/>
    <x v="3"/>
    <x v="0"/>
    <s v="Lucknow"/>
    <x v="4"/>
    <x v="1"/>
    <n v="6"/>
    <x v="1"/>
    <n v="2"/>
    <s v="Returned"/>
  </r>
  <r>
    <s v="ORD00062"/>
    <x v="56"/>
    <s v="CUST287"/>
    <s v="Priya"/>
    <x v="0"/>
    <n v="43"/>
    <x v="8"/>
    <x v="0"/>
    <x v="8"/>
    <x v="3"/>
    <n v="2"/>
    <n v="35049"/>
    <n v="10"/>
    <n v="7009.8"/>
    <n v="11355.88"/>
    <n v="249"/>
    <n v="74693.08"/>
    <x v="0"/>
    <x v="0"/>
    <s v="Mumbai"/>
    <x v="0"/>
    <x v="0"/>
    <n v="1"/>
    <x v="1"/>
    <n v="1"/>
    <s v="Cancelled"/>
  </r>
  <r>
    <s v="ORD00063"/>
    <x v="27"/>
    <s v="CUST955"/>
    <s v="Arjun"/>
    <x v="1"/>
    <n v="49"/>
    <x v="1"/>
    <x v="0"/>
    <x v="1"/>
    <x v="0"/>
    <n v="4"/>
    <n v="15260"/>
    <n v="5"/>
    <n v="3052"/>
    <n v="10437.84"/>
    <n v="466"/>
    <n v="68891.839999999997"/>
    <x v="2"/>
    <x v="0"/>
    <s v="Mumbai"/>
    <x v="0"/>
    <x v="0"/>
    <n v="2"/>
    <x v="1"/>
    <n v="2"/>
    <s v="Delivered"/>
  </r>
  <r>
    <s v="ORD00064"/>
    <x v="14"/>
    <s v="CUST551"/>
    <s v="Amit"/>
    <x v="0"/>
    <n v="24"/>
    <x v="9"/>
    <x v="0"/>
    <x v="9"/>
    <x v="7"/>
    <n v="4"/>
    <n v="45316"/>
    <n v="15"/>
    <n v="27189.599999999999"/>
    <n v="27733.39"/>
    <n v="203"/>
    <n v="182010.79"/>
    <x v="0"/>
    <x v="0"/>
    <s v="Lucknow"/>
    <x v="4"/>
    <x v="1"/>
    <n v="5"/>
    <x v="0"/>
    <n v="4"/>
    <s v="Delivered"/>
  </r>
  <r>
    <s v="ORD00065"/>
    <x v="57"/>
    <s v="CUST193"/>
    <s v="Sneha"/>
    <x v="1"/>
    <n v="34"/>
    <x v="4"/>
    <x v="0"/>
    <x v="4"/>
    <x v="4"/>
    <n v="3"/>
    <n v="1028"/>
    <n v="5"/>
    <n v="154.19999999999999"/>
    <n v="527.36"/>
    <n v="194"/>
    <n v="3651.16"/>
    <x v="3"/>
    <x v="1"/>
    <s v="Pune"/>
    <x v="0"/>
    <x v="0"/>
    <n v="2"/>
    <x v="1"/>
    <n v="2"/>
    <s v="Cancelled"/>
  </r>
  <r>
    <s v="ORD00066"/>
    <x v="58"/>
    <s v="CUST783"/>
    <s v="Neha"/>
    <x v="1"/>
    <n v="56"/>
    <x v="1"/>
    <x v="0"/>
    <x v="1"/>
    <x v="4"/>
    <n v="1"/>
    <n v="32156"/>
    <n v="10"/>
    <n v="3215.6"/>
    <n v="5209.2700000000004"/>
    <n v="312"/>
    <n v="34461.67"/>
    <x v="1"/>
    <x v="0"/>
    <s v="Lucknow"/>
    <x v="4"/>
    <x v="1"/>
    <n v="9"/>
    <x v="0"/>
    <n v="4"/>
    <s v="Returned"/>
  </r>
  <r>
    <s v="ORD00067"/>
    <x v="20"/>
    <s v="CUST284"/>
    <s v="Amit"/>
    <x v="1"/>
    <n v="23"/>
    <x v="9"/>
    <x v="0"/>
    <x v="9"/>
    <x v="0"/>
    <n v="1"/>
    <n v="33064"/>
    <n v="0"/>
    <n v="0"/>
    <n v="5951.52"/>
    <n v="426"/>
    <n v="39441.519999999997"/>
    <x v="0"/>
    <x v="0"/>
    <s v="Chandigarh"/>
    <x v="1"/>
    <x v="1"/>
    <n v="9"/>
    <x v="0"/>
    <n v="4"/>
    <s v="Cancelled"/>
  </r>
  <r>
    <s v="ORD00068"/>
    <x v="59"/>
    <s v="CUST714"/>
    <s v="Amit"/>
    <x v="0"/>
    <n v="36"/>
    <x v="2"/>
    <x v="1"/>
    <x v="2"/>
    <x v="2"/>
    <n v="1"/>
    <n v="1059"/>
    <n v="0"/>
    <n v="0"/>
    <n v="190.62"/>
    <n v="48"/>
    <n v="1297.6199999999999"/>
    <x v="2"/>
    <x v="1"/>
    <s v="Lucknow"/>
    <x v="4"/>
    <x v="1"/>
    <n v="5"/>
    <x v="0"/>
    <n v="2"/>
    <s v="Returned"/>
  </r>
  <r>
    <s v="ORD00069"/>
    <x v="60"/>
    <s v="CUST307"/>
    <s v="Arjun"/>
    <x v="0"/>
    <n v="30"/>
    <x v="7"/>
    <x v="1"/>
    <x v="7"/>
    <x v="7"/>
    <n v="4"/>
    <n v="7089"/>
    <n v="20"/>
    <n v="5671.2"/>
    <n v="4083.26"/>
    <n v="403"/>
    <n v="27171.06"/>
    <x v="0"/>
    <x v="1"/>
    <s v="Delhi"/>
    <x v="5"/>
    <x v="1"/>
    <n v="9"/>
    <x v="1"/>
    <n v="2"/>
    <s v="Delivered"/>
  </r>
  <r>
    <s v="ORD00070"/>
    <x v="61"/>
    <s v="CUST979"/>
    <s v="Vikas"/>
    <x v="0"/>
    <n v="55"/>
    <x v="8"/>
    <x v="0"/>
    <x v="8"/>
    <x v="9"/>
    <n v="4"/>
    <n v="11996"/>
    <n v="5"/>
    <n v="2399.1999999999998"/>
    <n v="8205.26"/>
    <n v="466"/>
    <n v="54256.06"/>
    <x v="1"/>
    <x v="0"/>
    <s v="Chandigarh"/>
    <x v="1"/>
    <x v="1"/>
    <n v="4"/>
    <x v="1"/>
    <n v="4"/>
    <s v="Returned"/>
  </r>
  <r>
    <s v="ORD00071"/>
    <x v="62"/>
    <s v="CUST660"/>
    <s v="Karan"/>
    <x v="1"/>
    <n v="19"/>
    <x v="2"/>
    <x v="1"/>
    <x v="2"/>
    <x v="2"/>
    <n v="1"/>
    <n v="15786"/>
    <n v="20"/>
    <n v="3157.2"/>
    <n v="2273.1799999999998"/>
    <n v="268"/>
    <n v="15169.98"/>
    <x v="1"/>
    <x v="0"/>
    <s v="Patiala"/>
    <x v="1"/>
    <x v="1"/>
    <n v="10"/>
    <x v="0"/>
    <n v="5"/>
    <s v="Delivered"/>
  </r>
  <r>
    <s v="ORD00072"/>
    <x v="41"/>
    <s v="CUST948"/>
    <s v="Sneha"/>
    <x v="1"/>
    <n v="26"/>
    <x v="3"/>
    <x v="2"/>
    <x v="3"/>
    <x v="3"/>
    <n v="1"/>
    <n v="16943"/>
    <n v="15"/>
    <n v="2541.4499999999998"/>
    <n v="2592.2800000000002"/>
    <n v="242"/>
    <n v="17235.830000000002"/>
    <x v="3"/>
    <x v="0"/>
    <s v="Bangalore"/>
    <x v="3"/>
    <x v="2"/>
    <n v="5"/>
    <x v="0"/>
    <n v="2"/>
    <s v="Delivered"/>
  </r>
  <r>
    <s v="ORD00073"/>
    <x v="63"/>
    <s v="CUST325"/>
    <s v="Arjun"/>
    <x v="0"/>
    <n v="31"/>
    <x v="2"/>
    <x v="1"/>
    <x v="2"/>
    <x v="7"/>
    <n v="3"/>
    <n v="810"/>
    <n v="10"/>
    <n v="243"/>
    <n v="393.66"/>
    <n v="202"/>
    <n v="2782.66"/>
    <x v="1"/>
    <x v="0"/>
    <s v="Mumbai"/>
    <x v="0"/>
    <x v="0"/>
    <n v="6"/>
    <x v="0"/>
    <n v="5"/>
    <s v="Cancelled"/>
  </r>
  <r>
    <s v="ORD00074"/>
    <x v="64"/>
    <s v="CUST456"/>
    <s v="Rahul"/>
    <x v="1"/>
    <n v="26"/>
    <x v="5"/>
    <x v="0"/>
    <x v="5"/>
    <x v="2"/>
    <n v="3"/>
    <n v="22771"/>
    <n v="15"/>
    <n v="10246.950000000001"/>
    <n v="10451.89"/>
    <n v="196"/>
    <n v="68713.94"/>
    <x v="3"/>
    <x v="0"/>
    <s v="Mumbai"/>
    <x v="0"/>
    <x v="0"/>
    <n v="1"/>
    <x v="1"/>
    <n v="2"/>
    <s v="Returned"/>
  </r>
  <r>
    <s v="ORD00075"/>
    <x v="65"/>
    <s v="CUST838"/>
    <s v="Vikas"/>
    <x v="1"/>
    <n v="27"/>
    <x v="9"/>
    <x v="0"/>
    <x v="9"/>
    <x v="4"/>
    <n v="1"/>
    <n v="49814"/>
    <n v="15"/>
    <n v="7472.1"/>
    <n v="7621.54"/>
    <n v="331"/>
    <n v="50294.44"/>
    <x v="1"/>
    <x v="1"/>
    <s v="Delhi"/>
    <x v="5"/>
    <x v="1"/>
    <n v="10"/>
    <x v="1"/>
    <n v="4"/>
    <s v="Returned"/>
  </r>
  <r>
    <s v="ORD00076"/>
    <x v="66"/>
    <s v="CUST806"/>
    <s v="Rahul"/>
    <x v="0"/>
    <n v="24"/>
    <x v="2"/>
    <x v="1"/>
    <x v="2"/>
    <x v="4"/>
    <n v="2"/>
    <n v="17710"/>
    <n v="20"/>
    <n v="7084"/>
    <n v="5100.4799999999996"/>
    <n v="267"/>
    <n v="33703.480000000003"/>
    <x v="0"/>
    <x v="0"/>
    <s v="Pune"/>
    <x v="0"/>
    <x v="0"/>
    <n v="1"/>
    <x v="0"/>
    <n v="1"/>
    <s v="Cancelled"/>
  </r>
  <r>
    <s v="ORD00077"/>
    <x v="67"/>
    <s v="CUST580"/>
    <s v="Anjali"/>
    <x v="0"/>
    <n v="45"/>
    <x v="1"/>
    <x v="0"/>
    <x v="1"/>
    <x v="3"/>
    <n v="5"/>
    <n v="24572"/>
    <n v="10"/>
    <n v="12286"/>
    <n v="19903.32"/>
    <n v="152"/>
    <n v="130629.32"/>
    <x v="3"/>
    <x v="0"/>
    <s v="Lucknow"/>
    <x v="4"/>
    <x v="1"/>
    <n v="5"/>
    <x v="1"/>
    <n v="5"/>
    <s v="Shipped"/>
  </r>
  <r>
    <s v="ORD00078"/>
    <x v="68"/>
    <s v="CUST731"/>
    <s v="Vikas"/>
    <x v="0"/>
    <n v="47"/>
    <x v="1"/>
    <x v="0"/>
    <x v="1"/>
    <x v="2"/>
    <n v="3"/>
    <n v="49144"/>
    <n v="15"/>
    <n v="22114.799999999999"/>
    <n v="22557.1"/>
    <n v="324"/>
    <n v="148198.29999999999"/>
    <x v="1"/>
    <x v="0"/>
    <s v="Delhi"/>
    <x v="5"/>
    <x v="1"/>
    <n v="2"/>
    <x v="1"/>
    <n v="4"/>
    <s v="Cancelled"/>
  </r>
  <r>
    <s v="ORD00079"/>
    <x v="69"/>
    <s v="CUST687"/>
    <s v="Sneha"/>
    <x v="0"/>
    <n v="56"/>
    <x v="4"/>
    <x v="0"/>
    <x v="4"/>
    <x v="3"/>
    <n v="3"/>
    <n v="38503"/>
    <n v="15"/>
    <n v="17326.349999999999"/>
    <n v="17672.88"/>
    <n v="380"/>
    <n v="116235.53"/>
    <x v="0"/>
    <x v="1"/>
    <s v="Jaipur"/>
    <x v="2"/>
    <x v="1"/>
    <n v="7"/>
    <x v="0"/>
    <n v="5"/>
    <s v="Returned"/>
  </r>
  <r>
    <s v="ORD00080"/>
    <x v="70"/>
    <s v="CUST231"/>
    <s v="Sneha"/>
    <x v="0"/>
    <n v="28"/>
    <x v="5"/>
    <x v="0"/>
    <x v="5"/>
    <x v="7"/>
    <n v="5"/>
    <n v="39230"/>
    <n v="20"/>
    <n v="39230"/>
    <n v="28245.599999999999"/>
    <n v="225"/>
    <n v="185390.6"/>
    <x v="3"/>
    <x v="0"/>
    <s v="Chandigarh"/>
    <x v="1"/>
    <x v="1"/>
    <n v="4"/>
    <x v="1"/>
    <n v="2"/>
    <s v="Shipped"/>
  </r>
  <r>
    <s v="ORD00081"/>
    <x v="71"/>
    <s v="CUST890"/>
    <s v="Priya"/>
    <x v="0"/>
    <n v="43"/>
    <x v="7"/>
    <x v="1"/>
    <x v="7"/>
    <x v="2"/>
    <n v="5"/>
    <n v="2002"/>
    <n v="5"/>
    <n v="500.5"/>
    <n v="1711.71"/>
    <n v="358"/>
    <n v="11579.21"/>
    <x v="2"/>
    <x v="0"/>
    <s v="Mumbai"/>
    <x v="0"/>
    <x v="0"/>
    <n v="3"/>
    <x v="0"/>
    <n v="4"/>
    <s v="Cancelled"/>
  </r>
  <r>
    <s v="ORD00082"/>
    <x v="58"/>
    <s v="CUST861"/>
    <s v="Riya"/>
    <x v="1"/>
    <n v="19"/>
    <x v="1"/>
    <x v="0"/>
    <x v="1"/>
    <x v="9"/>
    <n v="2"/>
    <n v="44220"/>
    <n v="15"/>
    <n v="13266"/>
    <n v="13531.32"/>
    <n v="258"/>
    <n v="88963.32"/>
    <x v="2"/>
    <x v="1"/>
    <s v="Pune"/>
    <x v="0"/>
    <x v="0"/>
    <n v="7"/>
    <x v="1"/>
    <n v="2"/>
    <s v="Returned"/>
  </r>
  <r>
    <s v="ORD00083"/>
    <x v="72"/>
    <s v="CUST490"/>
    <s v="Karan"/>
    <x v="0"/>
    <n v="39"/>
    <x v="5"/>
    <x v="0"/>
    <x v="5"/>
    <x v="8"/>
    <n v="1"/>
    <n v="41458"/>
    <n v="10"/>
    <n v="4145.8"/>
    <n v="6716.2"/>
    <n v="255"/>
    <n v="44283.4"/>
    <x v="2"/>
    <x v="0"/>
    <s v="Bangalore"/>
    <x v="3"/>
    <x v="2"/>
    <n v="9"/>
    <x v="1"/>
    <n v="2"/>
    <s v="Returned"/>
  </r>
  <r>
    <s v="ORD00084"/>
    <x v="73"/>
    <s v="CUST335"/>
    <s v="Rahul"/>
    <x v="1"/>
    <n v="28"/>
    <x v="8"/>
    <x v="0"/>
    <x v="8"/>
    <x v="5"/>
    <n v="4"/>
    <n v="15002"/>
    <n v="20"/>
    <n v="12001.6"/>
    <n v="8641.15"/>
    <n v="259"/>
    <n v="56906.55"/>
    <x v="0"/>
    <x v="1"/>
    <s v="Bangalore"/>
    <x v="3"/>
    <x v="2"/>
    <n v="1"/>
    <x v="0"/>
    <n v="3"/>
    <s v="Shipped"/>
  </r>
  <r>
    <s v="ORD00085"/>
    <x v="74"/>
    <s v="CUST122"/>
    <s v="Karan"/>
    <x v="1"/>
    <n v="29"/>
    <x v="5"/>
    <x v="0"/>
    <x v="5"/>
    <x v="0"/>
    <n v="3"/>
    <n v="27664"/>
    <n v="10"/>
    <n v="8299.2000000000007"/>
    <n v="13444.7"/>
    <n v="52"/>
    <n v="88189.5"/>
    <x v="2"/>
    <x v="0"/>
    <s v="Chandigarh"/>
    <x v="1"/>
    <x v="1"/>
    <n v="4"/>
    <x v="1"/>
    <n v="3"/>
    <s v="Cancelled"/>
  </r>
  <r>
    <s v="ORD00086"/>
    <x v="75"/>
    <s v="CUST596"/>
    <s v="Rahul"/>
    <x v="0"/>
    <n v="23"/>
    <x v="4"/>
    <x v="0"/>
    <x v="4"/>
    <x v="1"/>
    <n v="1"/>
    <n v="23710"/>
    <n v="5"/>
    <n v="1185.5"/>
    <n v="4054.41"/>
    <n v="33"/>
    <n v="26611.91"/>
    <x v="3"/>
    <x v="1"/>
    <s v="Pune"/>
    <x v="0"/>
    <x v="0"/>
    <n v="1"/>
    <x v="0"/>
    <n v="1"/>
    <s v="Cancelled"/>
  </r>
  <r>
    <s v="ORD00087"/>
    <x v="76"/>
    <s v="CUST253"/>
    <s v="Priya"/>
    <x v="0"/>
    <n v="50"/>
    <x v="8"/>
    <x v="0"/>
    <x v="8"/>
    <x v="2"/>
    <n v="5"/>
    <n v="2722"/>
    <n v="5"/>
    <n v="680.5"/>
    <n v="2327.31"/>
    <n v="444"/>
    <n v="15700.81"/>
    <x v="1"/>
    <x v="0"/>
    <s v="Pune"/>
    <x v="0"/>
    <x v="0"/>
    <n v="3"/>
    <x v="1"/>
    <n v="1"/>
    <s v="Cancelled"/>
  </r>
  <r>
    <s v="ORD00088"/>
    <x v="41"/>
    <s v="CUST231"/>
    <s v="Vikas"/>
    <x v="1"/>
    <n v="53"/>
    <x v="4"/>
    <x v="0"/>
    <x v="4"/>
    <x v="7"/>
    <n v="3"/>
    <n v="26078"/>
    <n v="10"/>
    <n v="7823.4"/>
    <n v="12673.91"/>
    <n v="236"/>
    <n v="83320.509999999995"/>
    <x v="1"/>
    <x v="0"/>
    <s v="Pune"/>
    <x v="0"/>
    <x v="0"/>
    <n v="5"/>
    <x v="1"/>
    <n v="5"/>
    <s v="Cancelled"/>
  </r>
  <r>
    <s v="ORD00089"/>
    <x v="77"/>
    <s v="CUST261"/>
    <s v="Priya"/>
    <x v="0"/>
    <n v="56"/>
    <x v="0"/>
    <x v="0"/>
    <x v="0"/>
    <x v="4"/>
    <n v="3"/>
    <n v="15789"/>
    <n v="15"/>
    <n v="7105.05"/>
    <n v="7247.15"/>
    <n v="301"/>
    <n v="47810.1"/>
    <x v="3"/>
    <x v="0"/>
    <s v="Delhi"/>
    <x v="5"/>
    <x v="1"/>
    <n v="4"/>
    <x v="0"/>
    <n v="3"/>
    <s v="Returned"/>
  </r>
  <r>
    <s v="ORD00090"/>
    <x v="78"/>
    <s v="CUST992"/>
    <s v="Rahul"/>
    <x v="0"/>
    <n v="32"/>
    <x v="9"/>
    <x v="0"/>
    <x v="9"/>
    <x v="7"/>
    <n v="2"/>
    <n v="23965"/>
    <n v="20"/>
    <n v="9586"/>
    <n v="6901.92"/>
    <n v="167"/>
    <n v="45412.92"/>
    <x v="3"/>
    <x v="1"/>
    <s v="Jaipur"/>
    <x v="2"/>
    <x v="1"/>
    <n v="1"/>
    <x v="1"/>
    <n v="1"/>
    <s v="Returned"/>
  </r>
  <r>
    <s v="ORD00091"/>
    <x v="2"/>
    <s v="CUST689"/>
    <s v="Sneha"/>
    <x v="1"/>
    <n v="34"/>
    <x v="7"/>
    <x v="1"/>
    <x v="7"/>
    <x v="3"/>
    <n v="1"/>
    <n v="29036"/>
    <n v="10"/>
    <n v="2903.6"/>
    <n v="4703.83"/>
    <n v="336"/>
    <n v="31172.23"/>
    <x v="1"/>
    <x v="1"/>
    <s v="Delhi"/>
    <x v="5"/>
    <x v="1"/>
    <n v="7"/>
    <x v="1"/>
    <n v="2"/>
    <s v="Delivered"/>
  </r>
  <r>
    <s v="ORD00092"/>
    <x v="79"/>
    <s v="CUST468"/>
    <s v="Vikas"/>
    <x v="0"/>
    <n v="55"/>
    <x v="5"/>
    <x v="0"/>
    <x v="5"/>
    <x v="9"/>
    <n v="4"/>
    <n v="24259"/>
    <n v="20"/>
    <n v="19407.2"/>
    <n v="13973.18"/>
    <n v="445"/>
    <n v="92046.98"/>
    <x v="1"/>
    <x v="1"/>
    <s v="Pune"/>
    <x v="0"/>
    <x v="0"/>
    <n v="1"/>
    <x v="0"/>
    <n v="5"/>
    <s v="Shipped"/>
  </r>
  <r>
    <s v="ORD00093"/>
    <x v="80"/>
    <s v="CUST532"/>
    <s v="Rahul"/>
    <x v="1"/>
    <n v="55"/>
    <x v="0"/>
    <x v="0"/>
    <x v="0"/>
    <x v="1"/>
    <n v="4"/>
    <n v="27999"/>
    <n v="0"/>
    <n v="0"/>
    <n v="20159.28"/>
    <n v="169"/>
    <n v="132324.28"/>
    <x v="0"/>
    <x v="1"/>
    <s v="Bangalore"/>
    <x v="3"/>
    <x v="2"/>
    <n v="8"/>
    <x v="1"/>
    <n v="2"/>
    <s v="Shipped"/>
  </r>
  <r>
    <s v="ORD00094"/>
    <x v="80"/>
    <s v="CUST256"/>
    <s v="Vikas"/>
    <x v="0"/>
    <n v="54"/>
    <x v="8"/>
    <x v="0"/>
    <x v="8"/>
    <x v="0"/>
    <n v="5"/>
    <n v="44136"/>
    <n v="10"/>
    <n v="22068"/>
    <n v="35750.160000000003"/>
    <n v="127"/>
    <n v="234489.16"/>
    <x v="1"/>
    <x v="0"/>
    <s v="Pune"/>
    <x v="0"/>
    <x v="0"/>
    <n v="8"/>
    <x v="0"/>
    <n v="5"/>
    <s v="Returned"/>
  </r>
  <r>
    <s v="ORD00095"/>
    <x v="81"/>
    <s v="CUST264"/>
    <s v="Riya"/>
    <x v="1"/>
    <n v="55"/>
    <x v="5"/>
    <x v="0"/>
    <x v="5"/>
    <x v="1"/>
    <n v="5"/>
    <n v="34596"/>
    <n v="15"/>
    <n v="25947"/>
    <n v="26465.94"/>
    <n v="316"/>
    <n v="173814.94"/>
    <x v="2"/>
    <x v="1"/>
    <s v="Mumbai"/>
    <x v="0"/>
    <x v="0"/>
    <n v="7"/>
    <x v="0"/>
    <n v="1"/>
    <s v="Returned"/>
  </r>
  <r>
    <s v="ORD00096"/>
    <x v="82"/>
    <s v="CUST664"/>
    <s v="Amit"/>
    <x v="0"/>
    <n v="51"/>
    <x v="5"/>
    <x v="0"/>
    <x v="5"/>
    <x v="2"/>
    <n v="1"/>
    <n v="30323"/>
    <n v="15"/>
    <n v="4548.45"/>
    <n v="4639.42"/>
    <n v="45"/>
    <n v="30458.97"/>
    <x v="3"/>
    <x v="1"/>
    <s v="Pune"/>
    <x v="0"/>
    <x v="0"/>
    <n v="1"/>
    <x v="1"/>
    <n v="4"/>
    <s v="Cancelled"/>
  </r>
  <r>
    <s v="ORD00097"/>
    <x v="15"/>
    <s v="CUST168"/>
    <s v="Vikas"/>
    <x v="0"/>
    <n v="27"/>
    <x v="9"/>
    <x v="0"/>
    <x v="9"/>
    <x v="5"/>
    <n v="4"/>
    <n v="14331"/>
    <n v="0"/>
    <n v="0"/>
    <n v="10318.32"/>
    <n v="41"/>
    <n v="67683.320000000007"/>
    <x v="3"/>
    <x v="0"/>
    <s v="Lucknow"/>
    <x v="4"/>
    <x v="1"/>
    <n v="1"/>
    <x v="1"/>
    <n v="4"/>
    <s v="Delivered"/>
  </r>
  <r>
    <s v="ORD00098"/>
    <x v="83"/>
    <s v="CUST631"/>
    <s v="Arjun"/>
    <x v="0"/>
    <n v="24"/>
    <x v="2"/>
    <x v="1"/>
    <x v="2"/>
    <x v="7"/>
    <n v="3"/>
    <n v="3679"/>
    <n v="10"/>
    <n v="1103.7"/>
    <n v="1787.99"/>
    <n v="262"/>
    <n v="11983.29"/>
    <x v="1"/>
    <x v="1"/>
    <s v="Mumbai"/>
    <x v="0"/>
    <x v="0"/>
    <n v="4"/>
    <x v="1"/>
    <n v="1"/>
    <s v="Delivered"/>
  </r>
  <r>
    <s v="ORD00099"/>
    <x v="36"/>
    <s v="CUST643"/>
    <s v="Karan"/>
    <x v="0"/>
    <n v="56"/>
    <x v="4"/>
    <x v="0"/>
    <x v="4"/>
    <x v="4"/>
    <n v="3"/>
    <n v="25123"/>
    <n v="20"/>
    <n v="15073.8"/>
    <n v="10853.14"/>
    <n v="393"/>
    <n v="71541.34"/>
    <x v="0"/>
    <x v="0"/>
    <s v="Bangalore"/>
    <x v="3"/>
    <x v="2"/>
    <n v="10"/>
    <x v="1"/>
    <n v="5"/>
    <s v="Delivered"/>
  </r>
  <r>
    <s v="ORD00100"/>
    <x v="84"/>
    <s v="CUST540"/>
    <s v="Priya"/>
    <x v="1"/>
    <n v="41"/>
    <x v="7"/>
    <x v="1"/>
    <x v="7"/>
    <x v="5"/>
    <n v="4"/>
    <n v="46566"/>
    <n v="10"/>
    <n v="18626.400000000001"/>
    <n v="30174.77"/>
    <n v="402"/>
    <n v="198214.37"/>
    <x v="2"/>
    <x v="0"/>
    <s v="Chandigarh"/>
    <x v="1"/>
    <x v="1"/>
    <n v="7"/>
    <x v="1"/>
    <n v="4"/>
    <s v="Delivered"/>
  </r>
  <r>
    <s v="ORD00101"/>
    <x v="61"/>
    <s v="CUST796"/>
    <s v="Arjun"/>
    <x v="0"/>
    <n v="60"/>
    <x v="8"/>
    <x v="0"/>
    <x v="8"/>
    <x v="2"/>
    <n v="1"/>
    <n v="42289"/>
    <n v="20"/>
    <n v="8457.7999999999993"/>
    <n v="6089.62"/>
    <n v="250"/>
    <n v="40170.82"/>
    <x v="1"/>
    <x v="1"/>
    <s v="Delhi"/>
    <x v="5"/>
    <x v="1"/>
    <n v="1"/>
    <x v="0"/>
    <n v="2"/>
    <s v="Returned"/>
  </r>
  <r>
    <s v="ORD00102"/>
    <x v="85"/>
    <s v="CUST371"/>
    <s v="Karan"/>
    <x v="0"/>
    <n v="31"/>
    <x v="2"/>
    <x v="1"/>
    <x v="2"/>
    <x v="4"/>
    <n v="5"/>
    <n v="4012"/>
    <n v="0"/>
    <n v="0"/>
    <n v="3610.8"/>
    <n v="329"/>
    <n v="23999.8"/>
    <x v="3"/>
    <x v="1"/>
    <s v="Bangalore"/>
    <x v="3"/>
    <x v="2"/>
    <n v="8"/>
    <x v="1"/>
    <n v="4"/>
    <s v="Delivered"/>
  </r>
  <r>
    <s v="ORD00103"/>
    <x v="86"/>
    <s v="CUST769"/>
    <s v="Priya"/>
    <x v="0"/>
    <n v="52"/>
    <x v="4"/>
    <x v="0"/>
    <x v="4"/>
    <x v="8"/>
    <n v="2"/>
    <n v="30405"/>
    <n v="0"/>
    <n v="0"/>
    <n v="10945.8"/>
    <n v="301"/>
    <n v="72056.800000000003"/>
    <x v="0"/>
    <x v="1"/>
    <s v="Jaipur"/>
    <x v="2"/>
    <x v="1"/>
    <n v="8"/>
    <x v="0"/>
    <n v="5"/>
    <s v="Cancelled"/>
  </r>
  <r>
    <s v="ORD00104"/>
    <x v="87"/>
    <s v="CUST785"/>
    <s v="Anjali"/>
    <x v="0"/>
    <n v="23"/>
    <x v="6"/>
    <x v="0"/>
    <x v="6"/>
    <x v="5"/>
    <n v="4"/>
    <n v="19141"/>
    <n v="20"/>
    <n v="15312.8"/>
    <n v="11025.22"/>
    <n v="482"/>
    <n v="72758.42"/>
    <x v="3"/>
    <x v="0"/>
    <s v="Delhi"/>
    <x v="5"/>
    <x v="1"/>
    <n v="5"/>
    <x v="1"/>
    <n v="4"/>
    <s v="Returned"/>
  </r>
  <r>
    <s v="ORD00105"/>
    <x v="49"/>
    <s v="CUST968"/>
    <s v="Arjun"/>
    <x v="1"/>
    <n v="22"/>
    <x v="3"/>
    <x v="2"/>
    <x v="3"/>
    <x v="4"/>
    <n v="4"/>
    <n v="19962"/>
    <n v="5"/>
    <n v="3992.4"/>
    <n v="13654.01"/>
    <n v="104"/>
    <n v="89613.61"/>
    <x v="1"/>
    <x v="0"/>
    <s v="Pune"/>
    <x v="0"/>
    <x v="0"/>
    <n v="7"/>
    <x v="1"/>
    <n v="5"/>
    <s v="Returned"/>
  </r>
  <r>
    <s v="ORD00106"/>
    <x v="88"/>
    <s v="CUST430"/>
    <s v="Sneha"/>
    <x v="0"/>
    <n v="46"/>
    <x v="3"/>
    <x v="2"/>
    <x v="3"/>
    <x v="2"/>
    <n v="5"/>
    <n v="30045"/>
    <n v="0"/>
    <n v="0"/>
    <n v="27040.5"/>
    <n v="295"/>
    <n v="177560.5"/>
    <x v="1"/>
    <x v="1"/>
    <s v="Patiala"/>
    <x v="1"/>
    <x v="1"/>
    <n v="9"/>
    <x v="0"/>
    <n v="2"/>
    <s v="Shipped"/>
  </r>
  <r>
    <s v="ORD00107"/>
    <x v="42"/>
    <s v="CUST756"/>
    <s v="Karan"/>
    <x v="0"/>
    <n v="33"/>
    <x v="0"/>
    <x v="0"/>
    <x v="0"/>
    <x v="8"/>
    <n v="1"/>
    <n v="30617"/>
    <n v="0"/>
    <n v="0"/>
    <n v="5511.06"/>
    <n v="291"/>
    <n v="36419.06"/>
    <x v="0"/>
    <x v="0"/>
    <s v="Mumbai"/>
    <x v="0"/>
    <x v="0"/>
    <n v="9"/>
    <x v="1"/>
    <n v="5"/>
    <s v="Cancelled"/>
  </r>
  <r>
    <s v="ORD00108"/>
    <x v="89"/>
    <s v="CUST755"/>
    <s v="Sneha"/>
    <x v="1"/>
    <n v="29"/>
    <x v="8"/>
    <x v="0"/>
    <x v="8"/>
    <x v="1"/>
    <n v="1"/>
    <n v="36884"/>
    <n v="5"/>
    <n v="1844.2"/>
    <n v="6307.16"/>
    <n v="88"/>
    <n v="41434.959999999999"/>
    <x v="1"/>
    <x v="1"/>
    <s v="Patiala"/>
    <x v="1"/>
    <x v="1"/>
    <n v="2"/>
    <x v="1"/>
    <n v="2"/>
    <s v="Shipped"/>
  </r>
  <r>
    <s v="ORD00109"/>
    <x v="90"/>
    <s v="CUST588"/>
    <s v="Anjali"/>
    <x v="1"/>
    <n v="35"/>
    <x v="7"/>
    <x v="1"/>
    <x v="7"/>
    <x v="7"/>
    <n v="2"/>
    <n v="44392"/>
    <n v="10"/>
    <n v="8878.4"/>
    <n v="14383.01"/>
    <n v="36"/>
    <n v="94324.61"/>
    <x v="3"/>
    <x v="0"/>
    <s v="Mumbai"/>
    <x v="0"/>
    <x v="0"/>
    <n v="4"/>
    <x v="1"/>
    <n v="3"/>
    <s v="Returned"/>
  </r>
  <r>
    <s v="ORD00110"/>
    <x v="91"/>
    <s v="CUST680"/>
    <s v="Riya"/>
    <x v="0"/>
    <n v="49"/>
    <x v="3"/>
    <x v="2"/>
    <x v="3"/>
    <x v="1"/>
    <n v="2"/>
    <n v="45616"/>
    <n v="15"/>
    <n v="13684.8"/>
    <n v="13958.5"/>
    <n v="173"/>
    <n v="91678.7"/>
    <x v="0"/>
    <x v="1"/>
    <s v="Bangalore"/>
    <x v="3"/>
    <x v="2"/>
    <n v="4"/>
    <x v="1"/>
    <n v="5"/>
    <s v="Cancelled"/>
  </r>
  <r>
    <s v="ORD00111"/>
    <x v="92"/>
    <s v="CUST923"/>
    <s v="Arjun"/>
    <x v="1"/>
    <n v="25"/>
    <x v="6"/>
    <x v="0"/>
    <x v="6"/>
    <x v="5"/>
    <n v="4"/>
    <n v="13466"/>
    <n v="15"/>
    <n v="8079.6"/>
    <n v="8241.19"/>
    <n v="298"/>
    <n v="54323.59"/>
    <x v="3"/>
    <x v="1"/>
    <s v="Lucknow"/>
    <x v="4"/>
    <x v="1"/>
    <n v="6"/>
    <x v="0"/>
    <n v="5"/>
    <s v="Cancelled"/>
  </r>
  <r>
    <s v="ORD00112"/>
    <x v="93"/>
    <s v="CUST454"/>
    <s v="Arjun"/>
    <x v="0"/>
    <n v="53"/>
    <x v="1"/>
    <x v="0"/>
    <x v="1"/>
    <x v="0"/>
    <n v="3"/>
    <n v="10297"/>
    <n v="5"/>
    <n v="1544.55"/>
    <n v="5282.36"/>
    <n v="382"/>
    <n v="35010.81"/>
    <x v="2"/>
    <x v="1"/>
    <s v="Jaipur"/>
    <x v="2"/>
    <x v="1"/>
    <n v="4"/>
    <x v="0"/>
    <n v="1"/>
    <s v="Returned"/>
  </r>
  <r>
    <s v="ORD00113"/>
    <x v="94"/>
    <s v="CUST221"/>
    <s v="Neha"/>
    <x v="0"/>
    <n v="38"/>
    <x v="9"/>
    <x v="0"/>
    <x v="9"/>
    <x v="5"/>
    <n v="2"/>
    <n v="20743"/>
    <n v="20"/>
    <n v="8297.2000000000007"/>
    <n v="5973.98"/>
    <n v="397"/>
    <n v="39559.78"/>
    <x v="2"/>
    <x v="0"/>
    <s v="Mumbai"/>
    <x v="0"/>
    <x v="0"/>
    <n v="8"/>
    <x v="0"/>
    <n v="1"/>
    <s v="Delivered"/>
  </r>
  <r>
    <s v="ORD00114"/>
    <x v="95"/>
    <s v="CUST299"/>
    <s v="Neha"/>
    <x v="1"/>
    <n v="56"/>
    <x v="9"/>
    <x v="0"/>
    <x v="9"/>
    <x v="7"/>
    <n v="3"/>
    <n v="45793"/>
    <n v="0"/>
    <n v="0"/>
    <n v="24728.22"/>
    <n v="20"/>
    <n v="162127.22"/>
    <x v="2"/>
    <x v="0"/>
    <s v="Pune"/>
    <x v="0"/>
    <x v="0"/>
    <n v="5"/>
    <x v="0"/>
    <n v="5"/>
    <s v="Delivered"/>
  </r>
  <r>
    <s v="ORD00115"/>
    <x v="96"/>
    <s v="CUST447"/>
    <s v="Karan"/>
    <x v="0"/>
    <n v="24"/>
    <x v="3"/>
    <x v="2"/>
    <x v="3"/>
    <x v="2"/>
    <n v="5"/>
    <n v="39903"/>
    <n v="20"/>
    <n v="39903"/>
    <n v="28730.16"/>
    <n v="492"/>
    <n v="188834.16"/>
    <x v="3"/>
    <x v="1"/>
    <s v="Patiala"/>
    <x v="1"/>
    <x v="1"/>
    <n v="2"/>
    <x v="1"/>
    <n v="5"/>
    <s v="Returned"/>
  </r>
  <r>
    <s v="ORD00116"/>
    <x v="97"/>
    <s v="CUST732"/>
    <s v="Arjun"/>
    <x v="1"/>
    <n v="58"/>
    <x v="0"/>
    <x v="0"/>
    <x v="0"/>
    <x v="1"/>
    <n v="3"/>
    <n v="22776"/>
    <n v="0"/>
    <n v="0"/>
    <n v="12299.04"/>
    <n v="94"/>
    <n v="80721.039999999994"/>
    <x v="2"/>
    <x v="1"/>
    <s v="Jaipur"/>
    <x v="2"/>
    <x v="1"/>
    <n v="6"/>
    <x v="0"/>
    <n v="1"/>
    <s v="Delivered"/>
  </r>
  <r>
    <s v="ORD00117"/>
    <x v="75"/>
    <s v="CUST185"/>
    <s v="Riya"/>
    <x v="1"/>
    <n v="30"/>
    <x v="8"/>
    <x v="0"/>
    <x v="8"/>
    <x v="7"/>
    <n v="5"/>
    <n v="18787"/>
    <n v="20"/>
    <n v="18787"/>
    <n v="13526.64"/>
    <n v="101"/>
    <n v="88775.64"/>
    <x v="3"/>
    <x v="1"/>
    <s v="Pune"/>
    <x v="0"/>
    <x v="0"/>
    <n v="4"/>
    <x v="1"/>
    <n v="5"/>
    <s v="Delivered"/>
  </r>
  <r>
    <s v="ORD00118"/>
    <x v="98"/>
    <s v="CUST728"/>
    <s v="Neha"/>
    <x v="0"/>
    <n v="28"/>
    <x v="0"/>
    <x v="0"/>
    <x v="0"/>
    <x v="0"/>
    <n v="1"/>
    <n v="956"/>
    <n v="20"/>
    <n v="191.2"/>
    <n v="137.66"/>
    <n v="446"/>
    <n v="1348.46"/>
    <x v="1"/>
    <x v="1"/>
    <s v="Pune"/>
    <x v="0"/>
    <x v="0"/>
    <n v="3"/>
    <x v="1"/>
    <n v="2"/>
    <s v="Returned"/>
  </r>
  <r>
    <s v="ORD00119"/>
    <x v="99"/>
    <s v="CUST221"/>
    <s v="Anjali"/>
    <x v="1"/>
    <n v="20"/>
    <x v="6"/>
    <x v="0"/>
    <x v="6"/>
    <x v="4"/>
    <n v="5"/>
    <n v="28102"/>
    <n v="5"/>
    <n v="7025.5"/>
    <n v="24027.21"/>
    <n v="281"/>
    <n v="157792.71"/>
    <x v="3"/>
    <x v="0"/>
    <s v="Patiala"/>
    <x v="1"/>
    <x v="1"/>
    <n v="5"/>
    <x v="0"/>
    <n v="3"/>
    <s v="Delivered"/>
  </r>
  <r>
    <s v="ORD00120"/>
    <x v="100"/>
    <s v="CUST201"/>
    <s v="Amit"/>
    <x v="0"/>
    <n v="29"/>
    <x v="8"/>
    <x v="0"/>
    <x v="8"/>
    <x v="8"/>
    <n v="4"/>
    <n v="2455"/>
    <n v="5"/>
    <n v="491"/>
    <n v="1679.22"/>
    <n v="255"/>
    <n v="11263.22"/>
    <x v="2"/>
    <x v="1"/>
    <s v="Patiala"/>
    <x v="1"/>
    <x v="1"/>
    <n v="4"/>
    <x v="0"/>
    <n v="4"/>
    <s v="Delivered"/>
  </r>
  <r>
    <s v="ORD00121"/>
    <x v="101"/>
    <s v="CUST978"/>
    <s v="Amit"/>
    <x v="0"/>
    <n v="39"/>
    <x v="3"/>
    <x v="2"/>
    <x v="3"/>
    <x v="7"/>
    <n v="2"/>
    <n v="14902"/>
    <n v="20"/>
    <n v="5960.8"/>
    <n v="4291.78"/>
    <n v="348"/>
    <n v="28482.98"/>
    <x v="3"/>
    <x v="1"/>
    <s v="Jaipur"/>
    <x v="2"/>
    <x v="1"/>
    <n v="8"/>
    <x v="0"/>
    <n v="1"/>
    <s v="Cancelled"/>
  </r>
  <r>
    <s v="ORD00122"/>
    <x v="102"/>
    <s v="CUST939"/>
    <s v="Karan"/>
    <x v="0"/>
    <n v="30"/>
    <x v="2"/>
    <x v="1"/>
    <x v="2"/>
    <x v="8"/>
    <n v="2"/>
    <n v="13003"/>
    <n v="5"/>
    <n v="1300.3"/>
    <n v="4447.03"/>
    <n v="199"/>
    <n v="29351.73"/>
    <x v="0"/>
    <x v="1"/>
    <s v="Pune"/>
    <x v="0"/>
    <x v="0"/>
    <n v="1"/>
    <x v="1"/>
    <n v="5"/>
    <s v="Delivered"/>
  </r>
  <r>
    <s v="ORD00123"/>
    <x v="103"/>
    <s v="CUST385"/>
    <s v="Arjun"/>
    <x v="1"/>
    <n v="44"/>
    <x v="4"/>
    <x v="0"/>
    <x v="4"/>
    <x v="4"/>
    <n v="5"/>
    <n v="7255"/>
    <n v="5"/>
    <n v="1813.75"/>
    <n v="6203.02"/>
    <n v="388"/>
    <n v="41052.28"/>
    <x v="1"/>
    <x v="0"/>
    <s v="Chandigarh"/>
    <x v="1"/>
    <x v="1"/>
    <n v="10"/>
    <x v="1"/>
    <n v="2"/>
    <s v="Cancelled"/>
  </r>
  <r>
    <s v="ORD00124"/>
    <x v="2"/>
    <s v="CUST978"/>
    <s v="Riya"/>
    <x v="0"/>
    <n v="39"/>
    <x v="7"/>
    <x v="1"/>
    <x v="7"/>
    <x v="6"/>
    <n v="1"/>
    <n v="31663"/>
    <n v="5"/>
    <n v="1583.15"/>
    <n v="5414.37"/>
    <n v="166"/>
    <n v="35660.22"/>
    <x v="3"/>
    <x v="0"/>
    <s v="Chandigarh"/>
    <x v="1"/>
    <x v="1"/>
    <n v="1"/>
    <x v="1"/>
    <n v="2"/>
    <s v="Returned"/>
  </r>
  <r>
    <s v="ORD00125"/>
    <x v="104"/>
    <s v="CUST323"/>
    <s v="Vikas"/>
    <x v="0"/>
    <n v="40"/>
    <x v="7"/>
    <x v="1"/>
    <x v="7"/>
    <x v="1"/>
    <n v="2"/>
    <n v="48930"/>
    <n v="10"/>
    <n v="9786"/>
    <n v="15853.32"/>
    <n v="400"/>
    <n v="104327.32"/>
    <x v="3"/>
    <x v="1"/>
    <s v="Jaipur"/>
    <x v="2"/>
    <x v="1"/>
    <n v="10"/>
    <x v="0"/>
    <n v="1"/>
    <s v="Cancelled"/>
  </r>
  <r>
    <s v="ORD00126"/>
    <x v="22"/>
    <s v="CUST813"/>
    <s v="Arjun"/>
    <x v="1"/>
    <n v="42"/>
    <x v="9"/>
    <x v="0"/>
    <x v="9"/>
    <x v="7"/>
    <n v="4"/>
    <n v="11876"/>
    <n v="20"/>
    <n v="9500.7999999999993"/>
    <n v="6840.58"/>
    <n v="31"/>
    <n v="44874.78"/>
    <x v="3"/>
    <x v="0"/>
    <s v="Mumbai"/>
    <x v="0"/>
    <x v="0"/>
    <n v="3"/>
    <x v="0"/>
    <n v="3"/>
    <s v="Returned"/>
  </r>
  <r>
    <s v="ORD00127"/>
    <x v="105"/>
    <s v="CUST709"/>
    <s v="Vikas"/>
    <x v="0"/>
    <n v="18"/>
    <x v="2"/>
    <x v="1"/>
    <x v="2"/>
    <x v="5"/>
    <n v="3"/>
    <n v="6898"/>
    <n v="10"/>
    <n v="2069.4"/>
    <n v="3352.43"/>
    <n v="417"/>
    <n v="22394.03"/>
    <x v="3"/>
    <x v="0"/>
    <s v="Jaipur"/>
    <x v="2"/>
    <x v="1"/>
    <n v="4"/>
    <x v="0"/>
    <n v="2"/>
    <s v="Delivered"/>
  </r>
  <r>
    <s v="ORD00128"/>
    <x v="73"/>
    <s v="CUST865"/>
    <s v="Arjun"/>
    <x v="1"/>
    <n v="33"/>
    <x v="6"/>
    <x v="0"/>
    <x v="6"/>
    <x v="3"/>
    <n v="5"/>
    <n v="27664"/>
    <n v="0"/>
    <n v="0"/>
    <n v="24897.599999999999"/>
    <n v="18"/>
    <n v="163235.6"/>
    <x v="0"/>
    <x v="1"/>
    <s v="Delhi"/>
    <x v="5"/>
    <x v="1"/>
    <n v="10"/>
    <x v="1"/>
    <n v="3"/>
    <s v="Returned"/>
  </r>
  <r>
    <s v="ORD00129"/>
    <x v="106"/>
    <s v="CUST339"/>
    <s v="Rahul"/>
    <x v="1"/>
    <n v="25"/>
    <x v="4"/>
    <x v="0"/>
    <x v="4"/>
    <x v="7"/>
    <n v="5"/>
    <n v="31878"/>
    <n v="5"/>
    <n v="7969.5"/>
    <n v="27255.69"/>
    <n v="288"/>
    <n v="178964.19"/>
    <x v="1"/>
    <x v="1"/>
    <s v="Lucknow"/>
    <x v="4"/>
    <x v="1"/>
    <n v="7"/>
    <x v="0"/>
    <n v="4"/>
    <s v="Returned"/>
  </r>
  <r>
    <s v="ORD00130"/>
    <x v="20"/>
    <s v="CUST389"/>
    <s v="Karan"/>
    <x v="0"/>
    <n v="40"/>
    <x v="9"/>
    <x v="0"/>
    <x v="9"/>
    <x v="6"/>
    <n v="2"/>
    <n v="33074"/>
    <n v="10"/>
    <n v="6614.8"/>
    <n v="10715.98"/>
    <n v="377"/>
    <n v="70626.179999999993"/>
    <x v="0"/>
    <x v="0"/>
    <s v="Delhi"/>
    <x v="5"/>
    <x v="1"/>
    <n v="4"/>
    <x v="1"/>
    <n v="3"/>
    <s v="Delivered"/>
  </r>
  <r>
    <s v="ORD00131"/>
    <x v="107"/>
    <s v="CUST455"/>
    <s v="Anjali"/>
    <x v="0"/>
    <n v="29"/>
    <x v="8"/>
    <x v="0"/>
    <x v="8"/>
    <x v="5"/>
    <n v="1"/>
    <n v="24321"/>
    <n v="10"/>
    <n v="2432.1"/>
    <n v="3940"/>
    <n v="350"/>
    <n v="26178.9"/>
    <x v="1"/>
    <x v="1"/>
    <s v="Delhi"/>
    <x v="5"/>
    <x v="1"/>
    <n v="3"/>
    <x v="1"/>
    <n v="5"/>
    <s v="Delivered"/>
  </r>
  <r>
    <s v="ORD00132"/>
    <x v="108"/>
    <s v="CUST831"/>
    <s v="Anjali"/>
    <x v="0"/>
    <n v="45"/>
    <x v="4"/>
    <x v="0"/>
    <x v="4"/>
    <x v="8"/>
    <n v="4"/>
    <n v="42895"/>
    <n v="15"/>
    <n v="25737"/>
    <n v="26251.74"/>
    <n v="98"/>
    <n v="172192.74"/>
    <x v="3"/>
    <x v="0"/>
    <s v="Lucknow"/>
    <x v="4"/>
    <x v="1"/>
    <n v="9"/>
    <x v="1"/>
    <n v="1"/>
    <s v="Shipped"/>
  </r>
  <r>
    <s v="ORD00133"/>
    <x v="5"/>
    <s v="CUST726"/>
    <s v="Rahul"/>
    <x v="0"/>
    <n v="58"/>
    <x v="1"/>
    <x v="0"/>
    <x v="1"/>
    <x v="7"/>
    <n v="5"/>
    <n v="48980"/>
    <n v="0"/>
    <n v="0"/>
    <n v="44082"/>
    <n v="96"/>
    <n v="289078"/>
    <x v="3"/>
    <x v="0"/>
    <s v="Jaipur"/>
    <x v="2"/>
    <x v="1"/>
    <n v="5"/>
    <x v="1"/>
    <n v="2"/>
    <s v="Returned"/>
  </r>
  <r>
    <s v="ORD00134"/>
    <x v="109"/>
    <s v="CUST979"/>
    <s v="Arjun"/>
    <x v="1"/>
    <n v="33"/>
    <x v="8"/>
    <x v="0"/>
    <x v="8"/>
    <x v="8"/>
    <n v="1"/>
    <n v="49527"/>
    <n v="0"/>
    <n v="0"/>
    <n v="8914.86"/>
    <n v="456"/>
    <n v="58897.86"/>
    <x v="2"/>
    <x v="0"/>
    <s v="Pune"/>
    <x v="0"/>
    <x v="0"/>
    <n v="5"/>
    <x v="1"/>
    <n v="5"/>
    <s v="Returned"/>
  </r>
  <r>
    <s v="ORD00135"/>
    <x v="110"/>
    <s v="CUST262"/>
    <s v="Sneha"/>
    <x v="0"/>
    <n v="55"/>
    <x v="8"/>
    <x v="0"/>
    <x v="8"/>
    <x v="5"/>
    <n v="4"/>
    <n v="24297"/>
    <n v="5"/>
    <n v="4859.3999999999996"/>
    <n v="16619.150000000001"/>
    <n v="167"/>
    <n v="109114.75"/>
    <x v="1"/>
    <x v="0"/>
    <s v="Lucknow"/>
    <x v="4"/>
    <x v="1"/>
    <n v="5"/>
    <x v="0"/>
    <n v="1"/>
    <s v="Delivered"/>
  </r>
  <r>
    <s v="ORD00136"/>
    <x v="86"/>
    <s v="CUST905"/>
    <s v="Amit"/>
    <x v="1"/>
    <n v="57"/>
    <x v="4"/>
    <x v="0"/>
    <x v="4"/>
    <x v="6"/>
    <n v="5"/>
    <n v="47683"/>
    <n v="5"/>
    <n v="11920.75"/>
    <n v="40768.959999999999"/>
    <n v="420"/>
    <n v="267683.21000000002"/>
    <x v="0"/>
    <x v="0"/>
    <s v="Delhi"/>
    <x v="5"/>
    <x v="1"/>
    <n v="4"/>
    <x v="1"/>
    <n v="4"/>
    <s v="Delivered"/>
  </r>
  <r>
    <s v="ORD00137"/>
    <x v="111"/>
    <s v="CUST630"/>
    <s v="Priya"/>
    <x v="1"/>
    <n v="59"/>
    <x v="1"/>
    <x v="0"/>
    <x v="1"/>
    <x v="9"/>
    <n v="3"/>
    <n v="48486"/>
    <n v="0"/>
    <n v="0"/>
    <n v="26182.44"/>
    <n v="460"/>
    <n v="172100.44"/>
    <x v="2"/>
    <x v="0"/>
    <s v="Bangalore"/>
    <x v="3"/>
    <x v="2"/>
    <n v="6"/>
    <x v="0"/>
    <n v="2"/>
    <s v="Cancelled"/>
  </r>
  <r>
    <s v="ORD00138"/>
    <x v="112"/>
    <s v="CUST336"/>
    <s v="Amit"/>
    <x v="1"/>
    <n v="18"/>
    <x v="4"/>
    <x v="0"/>
    <x v="4"/>
    <x v="2"/>
    <n v="4"/>
    <n v="35587"/>
    <n v="10"/>
    <n v="14234.8"/>
    <n v="23060.38"/>
    <n v="243"/>
    <n v="151416.57999999999"/>
    <x v="3"/>
    <x v="0"/>
    <s v="Patiala"/>
    <x v="1"/>
    <x v="1"/>
    <n v="3"/>
    <x v="0"/>
    <n v="4"/>
    <s v="Shipped"/>
  </r>
  <r>
    <s v="ORD00139"/>
    <x v="104"/>
    <s v="CUST813"/>
    <s v="Rahul"/>
    <x v="1"/>
    <n v="47"/>
    <x v="5"/>
    <x v="0"/>
    <x v="5"/>
    <x v="8"/>
    <n v="5"/>
    <n v="38537"/>
    <n v="20"/>
    <n v="38537"/>
    <n v="27746.639999999999"/>
    <n v="428"/>
    <n v="182322.64"/>
    <x v="2"/>
    <x v="1"/>
    <s v="Bangalore"/>
    <x v="3"/>
    <x v="2"/>
    <n v="8"/>
    <x v="0"/>
    <n v="1"/>
    <s v="Shipped"/>
  </r>
  <r>
    <s v="ORD00140"/>
    <x v="113"/>
    <s v="CUST631"/>
    <s v="Neha"/>
    <x v="0"/>
    <n v="18"/>
    <x v="5"/>
    <x v="0"/>
    <x v="5"/>
    <x v="7"/>
    <n v="5"/>
    <n v="2675"/>
    <n v="15"/>
    <n v="2006.25"/>
    <n v="2046.38"/>
    <n v="318"/>
    <n v="13733.12"/>
    <x v="0"/>
    <x v="0"/>
    <s v="Pune"/>
    <x v="0"/>
    <x v="0"/>
    <n v="3"/>
    <x v="1"/>
    <n v="1"/>
    <s v="Cancelled"/>
  </r>
  <r>
    <s v="ORD00141"/>
    <x v="40"/>
    <s v="CUST688"/>
    <s v="Amit"/>
    <x v="1"/>
    <n v="43"/>
    <x v="3"/>
    <x v="2"/>
    <x v="3"/>
    <x v="8"/>
    <n v="3"/>
    <n v="31905"/>
    <n v="5"/>
    <n v="4785.75"/>
    <n v="16367.26"/>
    <n v="396"/>
    <n v="107692.51"/>
    <x v="3"/>
    <x v="1"/>
    <s v="Patiala"/>
    <x v="1"/>
    <x v="1"/>
    <n v="2"/>
    <x v="1"/>
    <n v="5"/>
    <s v="Cancelled"/>
  </r>
  <r>
    <s v="ORD00142"/>
    <x v="114"/>
    <s v="CUST100"/>
    <s v="Rahul"/>
    <x v="1"/>
    <n v="60"/>
    <x v="5"/>
    <x v="0"/>
    <x v="5"/>
    <x v="9"/>
    <n v="1"/>
    <n v="37253"/>
    <n v="5"/>
    <n v="1862.65"/>
    <n v="6370.26"/>
    <n v="234"/>
    <n v="41994.61"/>
    <x v="1"/>
    <x v="0"/>
    <s v="Jaipur"/>
    <x v="2"/>
    <x v="1"/>
    <n v="4"/>
    <x v="0"/>
    <n v="1"/>
    <s v="Delivered"/>
  </r>
  <r>
    <s v="ORD00143"/>
    <x v="115"/>
    <s v="CUST905"/>
    <s v="Amit"/>
    <x v="0"/>
    <n v="24"/>
    <x v="4"/>
    <x v="0"/>
    <x v="4"/>
    <x v="6"/>
    <n v="1"/>
    <n v="7447"/>
    <n v="20"/>
    <n v="1489.4"/>
    <n v="1072.3699999999999"/>
    <n v="383"/>
    <n v="7412.97"/>
    <x v="0"/>
    <x v="0"/>
    <s v="Delhi"/>
    <x v="5"/>
    <x v="1"/>
    <n v="6"/>
    <x v="0"/>
    <n v="5"/>
    <s v="Shipped"/>
  </r>
  <r>
    <s v="ORD00144"/>
    <x v="116"/>
    <s v="CUST345"/>
    <s v="Rahul"/>
    <x v="0"/>
    <n v="27"/>
    <x v="6"/>
    <x v="0"/>
    <x v="6"/>
    <x v="6"/>
    <n v="3"/>
    <n v="2465"/>
    <n v="5"/>
    <n v="369.75"/>
    <n v="1264.54"/>
    <n v="407"/>
    <n v="8696.7999999999993"/>
    <x v="0"/>
    <x v="1"/>
    <s v="Patiala"/>
    <x v="1"/>
    <x v="1"/>
    <n v="5"/>
    <x v="1"/>
    <n v="5"/>
    <s v="Returned"/>
  </r>
  <r>
    <s v="ORD00145"/>
    <x v="72"/>
    <s v="CUST280"/>
    <s v="Amit"/>
    <x v="1"/>
    <n v="52"/>
    <x v="6"/>
    <x v="0"/>
    <x v="6"/>
    <x v="4"/>
    <n v="2"/>
    <n v="43125"/>
    <n v="10"/>
    <n v="8625"/>
    <n v="13972.5"/>
    <n v="153"/>
    <n v="91750.5"/>
    <x v="0"/>
    <x v="1"/>
    <s v="Lucknow"/>
    <x v="4"/>
    <x v="1"/>
    <n v="5"/>
    <x v="1"/>
    <n v="2"/>
    <s v="Returned"/>
  </r>
  <r>
    <s v="ORD00146"/>
    <x v="117"/>
    <s v="CUST463"/>
    <s v="Sneha"/>
    <x v="1"/>
    <n v="48"/>
    <x v="5"/>
    <x v="0"/>
    <x v="5"/>
    <x v="7"/>
    <n v="2"/>
    <n v="25854"/>
    <n v="15"/>
    <n v="7756.2"/>
    <n v="7911.32"/>
    <n v="26"/>
    <n v="51889.120000000003"/>
    <x v="2"/>
    <x v="1"/>
    <s v="Patiala"/>
    <x v="1"/>
    <x v="1"/>
    <n v="1"/>
    <x v="1"/>
    <n v="5"/>
    <s v="Cancelled"/>
  </r>
  <r>
    <s v="ORD00147"/>
    <x v="118"/>
    <s v="CUST400"/>
    <s v="Amit"/>
    <x v="1"/>
    <n v="24"/>
    <x v="1"/>
    <x v="0"/>
    <x v="1"/>
    <x v="1"/>
    <n v="4"/>
    <n v="24413"/>
    <n v="0"/>
    <n v="0"/>
    <n v="17577.36"/>
    <n v="0"/>
    <n v="115229.36"/>
    <x v="2"/>
    <x v="1"/>
    <s v="Mumbai"/>
    <x v="0"/>
    <x v="0"/>
    <n v="2"/>
    <x v="0"/>
    <n v="1"/>
    <s v="Shipped"/>
  </r>
  <r>
    <s v="ORD00148"/>
    <x v="119"/>
    <s v="CUST204"/>
    <s v="Riya"/>
    <x v="1"/>
    <n v="59"/>
    <x v="9"/>
    <x v="0"/>
    <x v="9"/>
    <x v="3"/>
    <n v="2"/>
    <n v="8194"/>
    <n v="5"/>
    <n v="819.4"/>
    <n v="2802.35"/>
    <n v="178"/>
    <n v="18548.95"/>
    <x v="0"/>
    <x v="1"/>
    <s v="Delhi"/>
    <x v="5"/>
    <x v="1"/>
    <n v="2"/>
    <x v="1"/>
    <n v="3"/>
    <s v="Cancelled"/>
  </r>
  <r>
    <s v="ORD00149"/>
    <x v="120"/>
    <s v="CUST237"/>
    <s v="Neha"/>
    <x v="1"/>
    <n v="31"/>
    <x v="6"/>
    <x v="0"/>
    <x v="6"/>
    <x v="4"/>
    <n v="2"/>
    <n v="23798"/>
    <n v="5"/>
    <n v="2379.8000000000002"/>
    <n v="8138.92"/>
    <n v="62"/>
    <n v="53417.120000000003"/>
    <x v="1"/>
    <x v="1"/>
    <s v="Pune"/>
    <x v="0"/>
    <x v="0"/>
    <n v="2"/>
    <x v="1"/>
    <n v="5"/>
    <s v="Cancelled"/>
  </r>
  <r>
    <s v="ORD00150"/>
    <x v="121"/>
    <s v="CUST635"/>
    <s v="Priya"/>
    <x v="0"/>
    <n v="50"/>
    <x v="2"/>
    <x v="1"/>
    <x v="2"/>
    <x v="2"/>
    <n v="1"/>
    <n v="26351"/>
    <n v="5"/>
    <n v="1317.55"/>
    <n v="4506.0200000000004"/>
    <n v="205"/>
    <n v="29744.47"/>
    <x v="1"/>
    <x v="1"/>
    <s v="Delhi"/>
    <x v="5"/>
    <x v="1"/>
    <n v="9"/>
    <x v="1"/>
    <n v="1"/>
    <s v="Delivered"/>
  </r>
  <r>
    <s v="ORD00151"/>
    <x v="122"/>
    <s v="CUST742"/>
    <s v="Neha"/>
    <x v="0"/>
    <n v="40"/>
    <x v="8"/>
    <x v="0"/>
    <x v="8"/>
    <x v="4"/>
    <n v="2"/>
    <n v="32644"/>
    <n v="0"/>
    <n v="0"/>
    <n v="11751.84"/>
    <n v="413"/>
    <n v="77452.84"/>
    <x v="3"/>
    <x v="0"/>
    <s v="Pune"/>
    <x v="0"/>
    <x v="0"/>
    <n v="7"/>
    <x v="0"/>
    <n v="4"/>
    <s v="Cancelled"/>
  </r>
  <r>
    <s v="ORD00152"/>
    <x v="123"/>
    <s v="CUST493"/>
    <s v="Vikas"/>
    <x v="0"/>
    <n v="34"/>
    <x v="8"/>
    <x v="0"/>
    <x v="8"/>
    <x v="0"/>
    <n v="5"/>
    <n v="13792"/>
    <n v="0"/>
    <n v="0"/>
    <n v="12412.8"/>
    <n v="437"/>
    <n v="81809.8"/>
    <x v="2"/>
    <x v="1"/>
    <s v="Lucknow"/>
    <x v="4"/>
    <x v="1"/>
    <n v="1"/>
    <x v="0"/>
    <n v="4"/>
    <s v="Delivered"/>
  </r>
  <r>
    <s v="ORD00153"/>
    <x v="124"/>
    <s v="CUST596"/>
    <s v="Karan"/>
    <x v="1"/>
    <n v="31"/>
    <x v="4"/>
    <x v="0"/>
    <x v="4"/>
    <x v="7"/>
    <n v="5"/>
    <n v="12497"/>
    <n v="15"/>
    <n v="9372.75"/>
    <n v="9560.2000000000007"/>
    <n v="71"/>
    <n v="62743.46"/>
    <x v="0"/>
    <x v="1"/>
    <s v="Lucknow"/>
    <x v="4"/>
    <x v="1"/>
    <n v="10"/>
    <x v="1"/>
    <n v="5"/>
    <s v="Delivered"/>
  </r>
  <r>
    <s v="ORD00154"/>
    <x v="118"/>
    <s v="CUST437"/>
    <s v="Anjali"/>
    <x v="0"/>
    <n v="51"/>
    <x v="2"/>
    <x v="1"/>
    <x v="2"/>
    <x v="1"/>
    <n v="5"/>
    <n v="46090"/>
    <n v="5"/>
    <n v="11522.5"/>
    <n v="39406.949999999997"/>
    <n v="212"/>
    <n v="258546.45"/>
    <x v="2"/>
    <x v="1"/>
    <s v="Bangalore"/>
    <x v="3"/>
    <x v="2"/>
    <n v="6"/>
    <x v="0"/>
    <n v="2"/>
    <s v="Cancelled"/>
  </r>
  <r>
    <s v="ORD00155"/>
    <x v="125"/>
    <s v="CUST774"/>
    <s v="Neha"/>
    <x v="0"/>
    <n v="34"/>
    <x v="6"/>
    <x v="0"/>
    <x v="6"/>
    <x v="9"/>
    <n v="5"/>
    <n v="5689"/>
    <n v="10"/>
    <n v="2844.5"/>
    <n v="4608.09"/>
    <n v="96"/>
    <n v="30304.59"/>
    <x v="2"/>
    <x v="0"/>
    <s v="Patiala"/>
    <x v="1"/>
    <x v="1"/>
    <n v="6"/>
    <x v="1"/>
    <n v="1"/>
    <s v="Cancelled"/>
  </r>
  <r>
    <s v="ORD00156"/>
    <x v="39"/>
    <s v="CUST652"/>
    <s v="Sneha"/>
    <x v="0"/>
    <n v="39"/>
    <x v="2"/>
    <x v="1"/>
    <x v="2"/>
    <x v="4"/>
    <n v="1"/>
    <n v="37843"/>
    <n v="0"/>
    <n v="0"/>
    <n v="6811.74"/>
    <n v="134"/>
    <n v="44788.74"/>
    <x v="1"/>
    <x v="0"/>
    <s v="Bangalore"/>
    <x v="3"/>
    <x v="2"/>
    <n v="8"/>
    <x v="0"/>
    <n v="3"/>
    <s v="Shipped"/>
  </r>
  <r>
    <s v="ORD00157"/>
    <x v="126"/>
    <s v="CUST395"/>
    <s v="Neha"/>
    <x v="1"/>
    <n v="26"/>
    <x v="9"/>
    <x v="0"/>
    <x v="9"/>
    <x v="1"/>
    <n v="2"/>
    <n v="11265"/>
    <n v="20"/>
    <n v="4506"/>
    <n v="3244.32"/>
    <n v="220"/>
    <n v="21488.32"/>
    <x v="2"/>
    <x v="1"/>
    <s v="Bangalore"/>
    <x v="3"/>
    <x v="2"/>
    <n v="4"/>
    <x v="1"/>
    <n v="2"/>
    <s v="Cancelled"/>
  </r>
  <r>
    <s v="ORD00158"/>
    <x v="127"/>
    <s v="CUST116"/>
    <s v="Neha"/>
    <x v="0"/>
    <n v="28"/>
    <x v="4"/>
    <x v="0"/>
    <x v="4"/>
    <x v="4"/>
    <n v="2"/>
    <n v="3628"/>
    <n v="20"/>
    <n v="1451.2"/>
    <n v="1044.8599999999999"/>
    <n v="45"/>
    <n v="6894.66"/>
    <x v="3"/>
    <x v="0"/>
    <s v="Delhi"/>
    <x v="5"/>
    <x v="1"/>
    <n v="2"/>
    <x v="1"/>
    <n v="1"/>
    <s v="Delivered"/>
  </r>
  <r>
    <s v="ORD00159"/>
    <x v="128"/>
    <s v="CUST707"/>
    <s v="Amit"/>
    <x v="1"/>
    <n v="35"/>
    <x v="4"/>
    <x v="0"/>
    <x v="4"/>
    <x v="2"/>
    <n v="2"/>
    <n v="7118"/>
    <n v="10"/>
    <n v="1423.6"/>
    <n v="2306.23"/>
    <n v="140"/>
    <n v="15258.63"/>
    <x v="3"/>
    <x v="1"/>
    <s v="Pune"/>
    <x v="0"/>
    <x v="0"/>
    <n v="10"/>
    <x v="0"/>
    <n v="3"/>
    <s v="Shipped"/>
  </r>
  <r>
    <s v="ORD00160"/>
    <x v="83"/>
    <s v="CUST330"/>
    <s v="Anjali"/>
    <x v="1"/>
    <n v="48"/>
    <x v="6"/>
    <x v="0"/>
    <x v="6"/>
    <x v="2"/>
    <n v="2"/>
    <n v="31726"/>
    <n v="15"/>
    <n v="9517.7999999999993"/>
    <n v="9708.16"/>
    <n v="13"/>
    <n v="63655.360000000001"/>
    <x v="3"/>
    <x v="1"/>
    <s v="Mumbai"/>
    <x v="0"/>
    <x v="0"/>
    <n v="1"/>
    <x v="0"/>
    <n v="5"/>
    <s v="Cancelled"/>
  </r>
  <r>
    <s v="ORD00161"/>
    <x v="92"/>
    <s v="CUST275"/>
    <s v="Karan"/>
    <x v="0"/>
    <n v="24"/>
    <x v="9"/>
    <x v="0"/>
    <x v="9"/>
    <x v="3"/>
    <n v="4"/>
    <n v="42298"/>
    <n v="20"/>
    <n v="33838.400000000001"/>
    <n v="24363.65"/>
    <n v="262"/>
    <n v="159979.25"/>
    <x v="1"/>
    <x v="1"/>
    <s v="Patiala"/>
    <x v="1"/>
    <x v="1"/>
    <n v="8"/>
    <x v="0"/>
    <n v="5"/>
    <s v="Delivered"/>
  </r>
  <r>
    <s v="ORD00162"/>
    <x v="129"/>
    <s v="CUST133"/>
    <s v="Priya"/>
    <x v="1"/>
    <n v="30"/>
    <x v="1"/>
    <x v="0"/>
    <x v="1"/>
    <x v="6"/>
    <n v="4"/>
    <n v="43897"/>
    <n v="15"/>
    <n v="26338.2"/>
    <n v="26864.959999999999"/>
    <n v="108"/>
    <n v="176222.76"/>
    <x v="1"/>
    <x v="1"/>
    <s v="Patiala"/>
    <x v="1"/>
    <x v="1"/>
    <n v="8"/>
    <x v="0"/>
    <n v="3"/>
    <s v="Cancelled"/>
  </r>
  <r>
    <s v="ORD00163"/>
    <x v="130"/>
    <s v="CUST905"/>
    <s v="Rahul"/>
    <x v="0"/>
    <n v="19"/>
    <x v="7"/>
    <x v="1"/>
    <x v="7"/>
    <x v="6"/>
    <n v="2"/>
    <n v="48486"/>
    <n v="0"/>
    <n v="0"/>
    <n v="17454.96"/>
    <n v="267"/>
    <n v="114693.96"/>
    <x v="1"/>
    <x v="0"/>
    <s v="Bangalore"/>
    <x v="3"/>
    <x v="2"/>
    <n v="1"/>
    <x v="0"/>
    <n v="5"/>
    <s v="Delivered"/>
  </r>
  <r>
    <s v="ORD00164"/>
    <x v="51"/>
    <s v="CUST196"/>
    <s v="Amit"/>
    <x v="0"/>
    <n v="37"/>
    <x v="7"/>
    <x v="1"/>
    <x v="7"/>
    <x v="4"/>
    <n v="3"/>
    <n v="11761"/>
    <n v="15"/>
    <n v="5292.45"/>
    <n v="5398.3"/>
    <n v="14"/>
    <n v="35402.85"/>
    <x v="0"/>
    <x v="1"/>
    <s v="Chandigarh"/>
    <x v="1"/>
    <x v="1"/>
    <n v="5"/>
    <x v="0"/>
    <n v="1"/>
    <s v="Delivered"/>
  </r>
  <r>
    <s v="ORD00165"/>
    <x v="15"/>
    <s v="CUST169"/>
    <s v="Sneha"/>
    <x v="1"/>
    <n v="19"/>
    <x v="5"/>
    <x v="0"/>
    <x v="5"/>
    <x v="5"/>
    <n v="1"/>
    <n v="34466"/>
    <n v="5"/>
    <n v="1723.3"/>
    <n v="5893.69"/>
    <n v="50"/>
    <n v="38686.39"/>
    <x v="3"/>
    <x v="0"/>
    <s v="Lucknow"/>
    <x v="4"/>
    <x v="1"/>
    <n v="1"/>
    <x v="0"/>
    <n v="3"/>
    <s v="Delivered"/>
  </r>
  <r>
    <s v="ORD00166"/>
    <x v="119"/>
    <s v="CUST774"/>
    <s v="Vikas"/>
    <x v="0"/>
    <n v="57"/>
    <x v="7"/>
    <x v="1"/>
    <x v="7"/>
    <x v="0"/>
    <n v="3"/>
    <n v="42623"/>
    <n v="20"/>
    <n v="25573.8"/>
    <n v="18413.14"/>
    <n v="20"/>
    <n v="120728.34"/>
    <x v="1"/>
    <x v="1"/>
    <s v="Lucknow"/>
    <x v="4"/>
    <x v="1"/>
    <n v="1"/>
    <x v="1"/>
    <n v="1"/>
    <s v="Shipped"/>
  </r>
  <r>
    <s v="ORD00167"/>
    <x v="131"/>
    <s v="CUST715"/>
    <s v="Karan"/>
    <x v="0"/>
    <n v="45"/>
    <x v="2"/>
    <x v="1"/>
    <x v="2"/>
    <x v="8"/>
    <n v="2"/>
    <n v="35830"/>
    <n v="10"/>
    <n v="7166"/>
    <n v="11608.92"/>
    <n v="133"/>
    <n v="76235.92"/>
    <x v="2"/>
    <x v="0"/>
    <s v="Chandigarh"/>
    <x v="1"/>
    <x v="1"/>
    <n v="8"/>
    <x v="1"/>
    <n v="1"/>
    <s v="Delivered"/>
  </r>
  <r>
    <s v="ORD00168"/>
    <x v="132"/>
    <s v="CUST634"/>
    <s v="Anjali"/>
    <x v="0"/>
    <n v="37"/>
    <x v="7"/>
    <x v="1"/>
    <x v="7"/>
    <x v="0"/>
    <n v="1"/>
    <n v="40523"/>
    <n v="0"/>
    <n v="0"/>
    <n v="7294.14"/>
    <n v="302"/>
    <n v="48119.14"/>
    <x v="3"/>
    <x v="1"/>
    <s v="Patiala"/>
    <x v="1"/>
    <x v="1"/>
    <n v="9"/>
    <x v="0"/>
    <n v="5"/>
    <s v="Returned"/>
  </r>
  <r>
    <s v="ORD00169"/>
    <x v="133"/>
    <s v="CUST198"/>
    <s v="Amit"/>
    <x v="1"/>
    <n v="24"/>
    <x v="1"/>
    <x v="0"/>
    <x v="1"/>
    <x v="9"/>
    <n v="4"/>
    <n v="11352"/>
    <n v="0"/>
    <n v="0"/>
    <n v="8173.44"/>
    <n v="161"/>
    <n v="53742.44"/>
    <x v="1"/>
    <x v="0"/>
    <s v="Mumbai"/>
    <x v="0"/>
    <x v="0"/>
    <n v="6"/>
    <x v="0"/>
    <n v="1"/>
    <s v="Cancelled"/>
  </r>
  <r>
    <s v="ORD00170"/>
    <x v="134"/>
    <s v="CUST119"/>
    <s v="Rahul"/>
    <x v="1"/>
    <n v="18"/>
    <x v="3"/>
    <x v="2"/>
    <x v="3"/>
    <x v="0"/>
    <n v="4"/>
    <n v="42955"/>
    <n v="0"/>
    <n v="0"/>
    <n v="30927.599999999999"/>
    <n v="41"/>
    <n v="202788.6"/>
    <x v="1"/>
    <x v="1"/>
    <s v="Pune"/>
    <x v="0"/>
    <x v="0"/>
    <n v="9"/>
    <x v="0"/>
    <n v="3"/>
    <s v="Returned"/>
  </r>
  <r>
    <s v="ORD00171"/>
    <x v="135"/>
    <s v="CUST117"/>
    <s v="Anjali"/>
    <x v="0"/>
    <n v="59"/>
    <x v="2"/>
    <x v="1"/>
    <x v="2"/>
    <x v="6"/>
    <n v="3"/>
    <n v="40789"/>
    <n v="10"/>
    <n v="12236.7"/>
    <n v="19823.45"/>
    <n v="488"/>
    <n v="130441.75"/>
    <x v="3"/>
    <x v="0"/>
    <s v="Chandigarh"/>
    <x v="1"/>
    <x v="1"/>
    <n v="3"/>
    <x v="0"/>
    <n v="1"/>
    <s v="Returned"/>
  </r>
  <r>
    <s v="ORD00172"/>
    <x v="80"/>
    <s v="CUST260"/>
    <s v="Vikas"/>
    <x v="0"/>
    <n v="56"/>
    <x v="0"/>
    <x v="0"/>
    <x v="0"/>
    <x v="0"/>
    <n v="5"/>
    <n v="39991"/>
    <n v="5"/>
    <n v="9997.75"/>
    <n v="34192.31"/>
    <n v="328"/>
    <n v="224477.55"/>
    <x v="0"/>
    <x v="1"/>
    <s v="Delhi"/>
    <x v="5"/>
    <x v="1"/>
    <n v="10"/>
    <x v="1"/>
    <n v="4"/>
    <s v="Cancelled"/>
  </r>
  <r>
    <s v="ORD00173"/>
    <x v="6"/>
    <s v="CUST689"/>
    <s v="Karan"/>
    <x v="1"/>
    <n v="41"/>
    <x v="1"/>
    <x v="0"/>
    <x v="1"/>
    <x v="9"/>
    <n v="3"/>
    <n v="22410"/>
    <n v="10"/>
    <n v="6723"/>
    <n v="10891.26"/>
    <n v="365"/>
    <n v="71763.259999999995"/>
    <x v="1"/>
    <x v="1"/>
    <s v="Delhi"/>
    <x v="5"/>
    <x v="1"/>
    <n v="1"/>
    <x v="1"/>
    <n v="1"/>
    <s v="Returned"/>
  </r>
  <r>
    <s v="ORD00174"/>
    <x v="136"/>
    <s v="CUST343"/>
    <s v="Amit"/>
    <x v="0"/>
    <n v="18"/>
    <x v="6"/>
    <x v="0"/>
    <x v="6"/>
    <x v="1"/>
    <n v="4"/>
    <n v="3086"/>
    <n v="10"/>
    <n v="1234.4000000000001"/>
    <n v="1999.73"/>
    <n v="247"/>
    <n v="13356.33"/>
    <x v="0"/>
    <x v="1"/>
    <s v="Mumbai"/>
    <x v="0"/>
    <x v="0"/>
    <n v="4"/>
    <x v="1"/>
    <n v="5"/>
    <s v="Cancelled"/>
  </r>
  <r>
    <s v="ORD00175"/>
    <x v="137"/>
    <s v="CUST273"/>
    <s v="Arjun"/>
    <x v="1"/>
    <n v="53"/>
    <x v="0"/>
    <x v="0"/>
    <x v="0"/>
    <x v="2"/>
    <n v="3"/>
    <n v="39476"/>
    <n v="20"/>
    <n v="23685.599999999999"/>
    <n v="17053.63"/>
    <n v="78"/>
    <n v="111874.03"/>
    <x v="3"/>
    <x v="1"/>
    <s v="Delhi"/>
    <x v="5"/>
    <x v="1"/>
    <n v="5"/>
    <x v="1"/>
    <n v="2"/>
    <s v="Returned"/>
  </r>
  <r>
    <s v="ORD00176"/>
    <x v="138"/>
    <s v="CUST899"/>
    <s v="Arjun"/>
    <x v="0"/>
    <n v="31"/>
    <x v="1"/>
    <x v="0"/>
    <x v="1"/>
    <x v="1"/>
    <n v="1"/>
    <n v="31021"/>
    <n v="15"/>
    <n v="4653.1499999999996"/>
    <n v="4746.21"/>
    <n v="39"/>
    <n v="31153.06"/>
    <x v="3"/>
    <x v="0"/>
    <s v="Patiala"/>
    <x v="1"/>
    <x v="1"/>
    <n v="8"/>
    <x v="1"/>
    <n v="4"/>
    <s v="Delivered"/>
  </r>
  <r>
    <s v="ORD00177"/>
    <x v="139"/>
    <s v="CUST737"/>
    <s v="Sneha"/>
    <x v="1"/>
    <n v="46"/>
    <x v="4"/>
    <x v="0"/>
    <x v="4"/>
    <x v="9"/>
    <n v="1"/>
    <n v="581"/>
    <n v="0"/>
    <n v="0"/>
    <n v="104.58"/>
    <n v="19"/>
    <n v="704.58"/>
    <x v="3"/>
    <x v="0"/>
    <s v="Delhi"/>
    <x v="5"/>
    <x v="1"/>
    <n v="4"/>
    <x v="1"/>
    <n v="2"/>
    <s v="Shipped"/>
  </r>
  <r>
    <s v="ORD00178"/>
    <x v="5"/>
    <s v="CUST387"/>
    <s v="Riya"/>
    <x v="0"/>
    <n v="23"/>
    <x v="8"/>
    <x v="0"/>
    <x v="8"/>
    <x v="5"/>
    <n v="3"/>
    <n v="36753"/>
    <n v="10"/>
    <n v="11025.9"/>
    <n v="17861.96"/>
    <n v="200"/>
    <n v="117295.06"/>
    <x v="2"/>
    <x v="0"/>
    <s v="Lucknow"/>
    <x v="4"/>
    <x v="1"/>
    <n v="9"/>
    <x v="0"/>
    <n v="3"/>
    <s v="Cancelled"/>
  </r>
  <r>
    <s v="ORD00179"/>
    <x v="140"/>
    <s v="CUST825"/>
    <s v="Rahul"/>
    <x v="1"/>
    <n v="30"/>
    <x v="9"/>
    <x v="0"/>
    <x v="9"/>
    <x v="4"/>
    <n v="3"/>
    <n v="34859"/>
    <n v="5"/>
    <n v="5228.8500000000004"/>
    <n v="17882.669999999998"/>
    <n v="482"/>
    <n v="117712.82"/>
    <x v="2"/>
    <x v="0"/>
    <s v="Patiala"/>
    <x v="1"/>
    <x v="1"/>
    <n v="6"/>
    <x v="1"/>
    <n v="1"/>
    <s v="Returned"/>
  </r>
  <r>
    <s v="ORD00180"/>
    <x v="141"/>
    <s v="CUST930"/>
    <s v="Anjali"/>
    <x v="1"/>
    <n v="38"/>
    <x v="3"/>
    <x v="2"/>
    <x v="3"/>
    <x v="8"/>
    <n v="3"/>
    <n v="27908"/>
    <n v="15"/>
    <n v="12558.6"/>
    <n v="12809.77"/>
    <n v="250"/>
    <n v="84225.17"/>
    <x v="1"/>
    <x v="0"/>
    <s v="Patiala"/>
    <x v="1"/>
    <x v="1"/>
    <n v="9"/>
    <x v="1"/>
    <n v="5"/>
    <s v="Delivered"/>
  </r>
  <r>
    <s v="ORD00181"/>
    <x v="142"/>
    <s v="CUST588"/>
    <s v="Anjali"/>
    <x v="1"/>
    <n v="29"/>
    <x v="9"/>
    <x v="0"/>
    <x v="9"/>
    <x v="3"/>
    <n v="3"/>
    <n v="47658"/>
    <n v="0"/>
    <n v="0"/>
    <n v="25735.32"/>
    <n v="240"/>
    <n v="168949.32"/>
    <x v="1"/>
    <x v="0"/>
    <s v="Patiala"/>
    <x v="1"/>
    <x v="1"/>
    <n v="4"/>
    <x v="0"/>
    <n v="2"/>
    <s v="Cancelled"/>
  </r>
  <r>
    <s v="ORD00182"/>
    <x v="143"/>
    <s v="CUST374"/>
    <s v="Karan"/>
    <x v="1"/>
    <n v="56"/>
    <x v="0"/>
    <x v="0"/>
    <x v="0"/>
    <x v="2"/>
    <n v="4"/>
    <n v="2329"/>
    <n v="0"/>
    <n v="0"/>
    <n v="1676.88"/>
    <n v="348"/>
    <n v="11340.88"/>
    <x v="2"/>
    <x v="0"/>
    <s v="Chandigarh"/>
    <x v="1"/>
    <x v="1"/>
    <n v="1"/>
    <x v="0"/>
    <n v="2"/>
    <s v="Delivered"/>
  </r>
  <r>
    <s v="ORD00183"/>
    <x v="63"/>
    <s v="CUST172"/>
    <s v="Karan"/>
    <x v="1"/>
    <n v="42"/>
    <x v="0"/>
    <x v="0"/>
    <x v="0"/>
    <x v="9"/>
    <n v="2"/>
    <n v="10674"/>
    <n v="20"/>
    <n v="4269.6000000000004"/>
    <n v="3074.11"/>
    <n v="316"/>
    <n v="20468.509999999998"/>
    <x v="0"/>
    <x v="0"/>
    <s v="Pune"/>
    <x v="0"/>
    <x v="0"/>
    <n v="5"/>
    <x v="0"/>
    <n v="1"/>
    <s v="Shipped"/>
  </r>
  <r>
    <s v="ORD00184"/>
    <x v="111"/>
    <s v="CUST922"/>
    <s v="Anjali"/>
    <x v="0"/>
    <n v="37"/>
    <x v="9"/>
    <x v="0"/>
    <x v="9"/>
    <x v="2"/>
    <n v="4"/>
    <n v="9797"/>
    <n v="15"/>
    <n v="5878.2"/>
    <n v="5995.76"/>
    <n v="457"/>
    <n v="39762.559999999998"/>
    <x v="3"/>
    <x v="0"/>
    <s v="Chandigarh"/>
    <x v="1"/>
    <x v="1"/>
    <n v="3"/>
    <x v="1"/>
    <n v="5"/>
    <s v="Shipped"/>
  </r>
  <r>
    <s v="ORD00185"/>
    <x v="144"/>
    <s v="CUST755"/>
    <s v="Amit"/>
    <x v="1"/>
    <n v="46"/>
    <x v="4"/>
    <x v="0"/>
    <x v="4"/>
    <x v="0"/>
    <n v="3"/>
    <n v="44724"/>
    <n v="5"/>
    <n v="6708.6"/>
    <n v="22943.41"/>
    <n v="76"/>
    <n v="150482.81"/>
    <x v="3"/>
    <x v="0"/>
    <s v="Delhi"/>
    <x v="5"/>
    <x v="1"/>
    <n v="7"/>
    <x v="1"/>
    <n v="2"/>
    <s v="Shipped"/>
  </r>
  <r>
    <s v="ORD00186"/>
    <x v="145"/>
    <s v="CUST130"/>
    <s v="Amit"/>
    <x v="0"/>
    <n v="33"/>
    <x v="1"/>
    <x v="0"/>
    <x v="1"/>
    <x v="8"/>
    <n v="2"/>
    <n v="41199"/>
    <n v="20"/>
    <n v="16479.599999999999"/>
    <n v="11865.31"/>
    <n v="317"/>
    <n v="78100.710000000006"/>
    <x v="2"/>
    <x v="1"/>
    <s v="Pune"/>
    <x v="0"/>
    <x v="0"/>
    <n v="2"/>
    <x v="0"/>
    <n v="3"/>
    <s v="Delivered"/>
  </r>
  <r>
    <s v="ORD00187"/>
    <x v="146"/>
    <s v="CUST635"/>
    <s v="Sneha"/>
    <x v="1"/>
    <n v="37"/>
    <x v="6"/>
    <x v="0"/>
    <x v="6"/>
    <x v="4"/>
    <n v="5"/>
    <n v="41589"/>
    <n v="0"/>
    <n v="0"/>
    <n v="37430.1"/>
    <n v="194"/>
    <n v="245569.1"/>
    <x v="0"/>
    <x v="1"/>
    <s v="Patiala"/>
    <x v="1"/>
    <x v="1"/>
    <n v="10"/>
    <x v="0"/>
    <n v="1"/>
    <s v="Delivered"/>
  </r>
  <r>
    <s v="ORD00188"/>
    <x v="31"/>
    <s v="CUST542"/>
    <s v="Neha"/>
    <x v="1"/>
    <n v="50"/>
    <x v="9"/>
    <x v="0"/>
    <x v="9"/>
    <x v="8"/>
    <n v="3"/>
    <n v="38807"/>
    <n v="5"/>
    <n v="5821.05"/>
    <n v="19907.990000000002"/>
    <n v="361"/>
    <n v="130868.94"/>
    <x v="1"/>
    <x v="0"/>
    <s v="Pune"/>
    <x v="0"/>
    <x v="0"/>
    <n v="10"/>
    <x v="1"/>
    <n v="5"/>
    <s v="Returned"/>
  </r>
  <r>
    <s v="ORD00189"/>
    <x v="147"/>
    <s v="CUST301"/>
    <s v="Priya"/>
    <x v="1"/>
    <n v="32"/>
    <x v="0"/>
    <x v="0"/>
    <x v="0"/>
    <x v="3"/>
    <n v="1"/>
    <n v="6099"/>
    <n v="0"/>
    <n v="0"/>
    <n v="1097.82"/>
    <n v="238"/>
    <n v="7434.82"/>
    <x v="1"/>
    <x v="1"/>
    <s v="Lucknow"/>
    <x v="4"/>
    <x v="1"/>
    <n v="10"/>
    <x v="0"/>
    <n v="2"/>
    <s v="Delivered"/>
  </r>
  <r>
    <s v="ORD00190"/>
    <x v="4"/>
    <s v="CUST210"/>
    <s v="Anjali"/>
    <x v="0"/>
    <n v="25"/>
    <x v="2"/>
    <x v="1"/>
    <x v="2"/>
    <x v="9"/>
    <n v="1"/>
    <n v="22901"/>
    <n v="0"/>
    <n v="0"/>
    <n v="4122.18"/>
    <n v="141"/>
    <n v="27164.18"/>
    <x v="2"/>
    <x v="0"/>
    <s v="Lucknow"/>
    <x v="4"/>
    <x v="1"/>
    <n v="4"/>
    <x v="1"/>
    <n v="3"/>
    <s v="Delivered"/>
  </r>
  <r>
    <s v="ORD00191"/>
    <x v="148"/>
    <s v="CUST908"/>
    <s v="Priya"/>
    <x v="0"/>
    <n v="58"/>
    <x v="1"/>
    <x v="0"/>
    <x v="1"/>
    <x v="1"/>
    <n v="2"/>
    <n v="15512"/>
    <n v="20"/>
    <n v="6204.8"/>
    <n v="4467.46"/>
    <n v="484"/>
    <n v="29770.66"/>
    <x v="3"/>
    <x v="1"/>
    <s v="Mumbai"/>
    <x v="0"/>
    <x v="0"/>
    <n v="8"/>
    <x v="1"/>
    <n v="1"/>
    <s v="Returned"/>
  </r>
  <r>
    <s v="ORD00192"/>
    <x v="8"/>
    <s v="CUST584"/>
    <s v="Rahul"/>
    <x v="1"/>
    <n v="58"/>
    <x v="6"/>
    <x v="0"/>
    <x v="6"/>
    <x v="2"/>
    <n v="3"/>
    <n v="15329"/>
    <n v="15"/>
    <n v="6898.05"/>
    <n v="7036.01"/>
    <n v="288"/>
    <n v="46412.959999999999"/>
    <x v="1"/>
    <x v="1"/>
    <s v="Jaipur"/>
    <x v="2"/>
    <x v="1"/>
    <n v="4"/>
    <x v="0"/>
    <n v="5"/>
    <s v="Shipped"/>
  </r>
  <r>
    <s v="ORD00193"/>
    <x v="149"/>
    <s v="CUST912"/>
    <s v="Rahul"/>
    <x v="1"/>
    <n v="57"/>
    <x v="2"/>
    <x v="1"/>
    <x v="2"/>
    <x v="0"/>
    <n v="1"/>
    <n v="10386"/>
    <n v="10"/>
    <n v="1038.5999999999999"/>
    <n v="1682.53"/>
    <n v="35"/>
    <n v="11064.93"/>
    <x v="3"/>
    <x v="1"/>
    <s v="Patiala"/>
    <x v="1"/>
    <x v="1"/>
    <n v="10"/>
    <x v="1"/>
    <n v="4"/>
    <s v="Delivered"/>
  </r>
  <r>
    <s v="ORD00194"/>
    <x v="150"/>
    <s v="CUST248"/>
    <s v="Riya"/>
    <x v="1"/>
    <n v="24"/>
    <x v="5"/>
    <x v="0"/>
    <x v="5"/>
    <x v="7"/>
    <n v="1"/>
    <n v="35438"/>
    <n v="20"/>
    <n v="7087.6"/>
    <n v="5103.07"/>
    <n v="457"/>
    <n v="33910.47"/>
    <x v="0"/>
    <x v="0"/>
    <s v="Chandigarh"/>
    <x v="1"/>
    <x v="1"/>
    <n v="10"/>
    <x v="0"/>
    <n v="1"/>
    <s v="Returned"/>
  </r>
  <r>
    <s v="ORD00195"/>
    <x v="151"/>
    <s v="CUST509"/>
    <s v="Rahul"/>
    <x v="0"/>
    <n v="56"/>
    <x v="2"/>
    <x v="1"/>
    <x v="2"/>
    <x v="2"/>
    <n v="2"/>
    <n v="44534"/>
    <n v="15"/>
    <n v="13360.2"/>
    <n v="13627.4"/>
    <n v="3"/>
    <n v="89338.2"/>
    <x v="1"/>
    <x v="0"/>
    <s v="Delhi"/>
    <x v="5"/>
    <x v="1"/>
    <n v="5"/>
    <x v="0"/>
    <n v="2"/>
    <s v="Returned"/>
  </r>
  <r>
    <s v="ORD00196"/>
    <x v="152"/>
    <s v="CUST642"/>
    <s v="Riya"/>
    <x v="0"/>
    <n v="50"/>
    <x v="9"/>
    <x v="0"/>
    <x v="9"/>
    <x v="2"/>
    <n v="3"/>
    <n v="34485"/>
    <n v="20"/>
    <n v="20691"/>
    <n v="14897.52"/>
    <n v="283"/>
    <n v="97944.52"/>
    <x v="1"/>
    <x v="1"/>
    <s v="Jaipur"/>
    <x v="2"/>
    <x v="1"/>
    <n v="6"/>
    <x v="0"/>
    <n v="5"/>
    <s v="Cancelled"/>
  </r>
  <r>
    <s v="ORD00197"/>
    <x v="153"/>
    <s v="CUST315"/>
    <s v="Rahul"/>
    <x v="0"/>
    <n v="29"/>
    <x v="8"/>
    <x v="0"/>
    <x v="8"/>
    <x v="6"/>
    <n v="5"/>
    <n v="2512"/>
    <n v="5"/>
    <n v="628"/>
    <n v="2147.7600000000002"/>
    <n v="234"/>
    <n v="14313.76"/>
    <x v="2"/>
    <x v="0"/>
    <s v="Mumbai"/>
    <x v="0"/>
    <x v="0"/>
    <n v="5"/>
    <x v="0"/>
    <n v="2"/>
    <s v="Delivered"/>
  </r>
  <r>
    <s v="ORD00198"/>
    <x v="75"/>
    <s v="CUST105"/>
    <s v="Sneha"/>
    <x v="1"/>
    <n v="33"/>
    <x v="4"/>
    <x v="0"/>
    <x v="4"/>
    <x v="5"/>
    <n v="5"/>
    <n v="17388"/>
    <n v="0"/>
    <n v="0"/>
    <n v="15649.2"/>
    <n v="308"/>
    <n v="102897.2"/>
    <x v="2"/>
    <x v="1"/>
    <s v="Bangalore"/>
    <x v="3"/>
    <x v="2"/>
    <n v="7"/>
    <x v="1"/>
    <n v="5"/>
    <s v="Delivered"/>
  </r>
  <r>
    <s v="ORD00199"/>
    <x v="90"/>
    <s v="CUST273"/>
    <s v="Arjun"/>
    <x v="1"/>
    <n v="57"/>
    <x v="9"/>
    <x v="0"/>
    <x v="9"/>
    <x v="1"/>
    <n v="2"/>
    <n v="2519"/>
    <n v="0"/>
    <n v="0"/>
    <n v="906.84"/>
    <n v="204"/>
    <n v="6148.84"/>
    <x v="3"/>
    <x v="0"/>
    <s v="Bangalore"/>
    <x v="3"/>
    <x v="2"/>
    <n v="8"/>
    <x v="0"/>
    <n v="3"/>
    <s v="Shipped"/>
  </r>
  <r>
    <s v="ORD00200"/>
    <x v="66"/>
    <s v="CUST651"/>
    <s v="Rahul"/>
    <x v="1"/>
    <n v="51"/>
    <x v="0"/>
    <x v="0"/>
    <x v="0"/>
    <x v="9"/>
    <n v="3"/>
    <n v="16183"/>
    <n v="10"/>
    <n v="4854.8999999999996"/>
    <n v="7864.94"/>
    <n v="2"/>
    <n v="51561.04"/>
    <x v="0"/>
    <x v="1"/>
    <s v="Mumbai"/>
    <x v="0"/>
    <x v="0"/>
    <n v="6"/>
    <x v="1"/>
    <n v="2"/>
    <s v="Returned"/>
  </r>
  <r>
    <s v="ORD00201"/>
    <x v="154"/>
    <s v="CUST584"/>
    <s v="Neha"/>
    <x v="0"/>
    <n v="18"/>
    <x v="9"/>
    <x v="0"/>
    <x v="9"/>
    <x v="1"/>
    <n v="1"/>
    <n v="10602"/>
    <n v="5"/>
    <n v="530.1"/>
    <n v="1812.94"/>
    <n v="367"/>
    <n v="12251.84"/>
    <x v="0"/>
    <x v="0"/>
    <s v="Lucknow"/>
    <x v="4"/>
    <x v="1"/>
    <n v="2"/>
    <x v="0"/>
    <n v="1"/>
    <s v="Cancelled"/>
  </r>
  <r>
    <s v="ORD00202"/>
    <x v="37"/>
    <s v="CUST499"/>
    <s v="Vikas"/>
    <x v="0"/>
    <n v="21"/>
    <x v="9"/>
    <x v="0"/>
    <x v="9"/>
    <x v="7"/>
    <n v="4"/>
    <n v="7961"/>
    <n v="10"/>
    <n v="3184.4"/>
    <n v="5158.7299999999996"/>
    <n v="317"/>
    <n v="34135.33"/>
    <x v="0"/>
    <x v="0"/>
    <s v="Pune"/>
    <x v="0"/>
    <x v="0"/>
    <n v="4"/>
    <x v="1"/>
    <n v="5"/>
    <s v="Shipped"/>
  </r>
  <r>
    <s v="ORD00203"/>
    <x v="155"/>
    <s v="CUST550"/>
    <s v="Vikas"/>
    <x v="0"/>
    <n v="19"/>
    <x v="2"/>
    <x v="1"/>
    <x v="2"/>
    <x v="0"/>
    <n v="1"/>
    <n v="12794"/>
    <n v="0"/>
    <n v="0"/>
    <n v="2302.92"/>
    <n v="244"/>
    <n v="15340.92"/>
    <x v="0"/>
    <x v="1"/>
    <s v="Mumbai"/>
    <x v="0"/>
    <x v="0"/>
    <n v="6"/>
    <x v="0"/>
    <n v="3"/>
    <s v="Shipped"/>
  </r>
  <r>
    <s v="ORD00204"/>
    <x v="156"/>
    <s v="CUST480"/>
    <s v="Riya"/>
    <x v="0"/>
    <n v="35"/>
    <x v="5"/>
    <x v="0"/>
    <x v="5"/>
    <x v="7"/>
    <n v="4"/>
    <n v="22668"/>
    <n v="5"/>
    <n v="4533.6000000000004"/>
    <n v="15504.91"/>
    <n v="15"/>
    <n v="101658.31"/>
    <x v="3"/>
    <x v="1"/>
    <s v="Delhi"/>
    <x v="5"/>
    <x v="1"/>
    <n v="8"/>
    <x v="0"/>
    <n v="5"/>
    <s v="Returned"/>
  </r>
  <r>
    <s v="ORD00205"/>
    <x v="81"/>
    <s v="CUST402"/>
    <s v="Priya"/>
    <x v="0"/>
    <n v="41"/>
    <x v="0"/>
    <x v="0"/>
    <x v="0"/>
    <x v="6"/>
    <n v="3"/>
    <n v="5734"/>
    <n v="20"/>
    <n v="3440.4"/>
    <n v="2477.09"/>
    <n v="0"/>
    <n v="16238.69"/>
    <x v="3"/>
    <x v="1"/>
    <s v="Patiala"/>
    <x v="1"/>
    <x v="1"/>
    <n v="5"/>
    <x v="1"/>
    <n v="3"/>
    <s v="Cancelled"/>
  </r>
  <r>
    <s v="ORD00206"/>
    <x v="157"/>
    <s v="CUST684"/>
    <s v="Arjun"/>
    <x v="0"/>
    <n v="59"/>
    <x v="9"/>
    <x v="0"/>
    <x v="9"/>
    <x v="5"/>
    <n v="4"/>
    <n v="30869"/>
    <n v="0"/>
    <n v="0"/>
    <n v="22225.68"/>
    <n v="282"/>
    <n v="145983.67999999999"/>
    <x v="3"/>
    <x v="0"/>
    <s v="Bangalore"/>
    <x v="3"/>
    <x v="2"/>
    <n v="7"/>
    <x v="0"/>
    <n v="4"/>
    <s v="Shipped"/>
  </r>
  <r>
    <s v="ORD00207"/>
    <x v="158"/>
    <s v="CUST510"/>
    <s v="Vikas"/>
    <x v="0"/>
    <n v="49"/>
    <x v="3"/>
    <x v="2"/>
    <x v="3"/>
    <x v="0"/>
    <n v="1"/>
    <n v="7798"/>
    <n v="10"/>
    <n v="779.8"/>
    <n v="1263.28"/>
    <n v="371"/>
    <n v="8652.48"/>
    <x v="3"/>
    <x v="1"/>
    <s v="Patiala"/>
    <x v="1"/>
    <x v="1"/>
    <n v="6"/>
    <x v="0"/>
    <n v="3"/>
    <s v="Cancelled"/>
  </r>
  <r>
    <s v="ORD00208"/>
    <x v="159"/>
    <s v="CUST801"/>
    <s v="Amit"/>
    <x v="1"/>
    <n v="49"/>
    <x v="9"/>
    <x v="0"/>
    <x v="9"/>
    <x v="5"/>
    <n v="2"/>
    <n v="41986"/>
    <n v="5"/>
    <n v="4198.6000000000004"/>
    <n v="14359.21"/>
    <n v="169"/>
    <n v="94301.61"/>
    <x v="3"/>
    <x v="1"/>
    <s v="Patiala"/>
    <x v="1"/>
    <x v="1"/>
    <n v="6"/>
    <x v="1"/>
    <n v="5"/>
    <s v="Shipped"/>
  </r>
  <r>
    <s v="ORD00209"/>
    <x v="160"/>
    <s v="CUST132"/>
    <s v="Vikas"/>
    <x v="0"/>
    <n v="26"/>
    <x v="8"/>
    <x v="0"/>
    <x v="8"/>
    <x v="7"/>
    <n v="1"/>
    <n v="31155"/>
    <n v="5"/>
    <n v="1557.75"/>
    <n v="5327.51"/>
    <n v="11"/>
    <n v="34935.75"/>
    <x v="2"/>
    <x v="0"/>
    <s v="Lucknow"/>
    <x v="4"/>
    <x v="1"/>
    <n v="1"/>
    <x v="1"/>
    <n v="5"/>
    <s v="Delivered"/>
  </r>
  <r>
    <s v="ORD00210"/>
    <x v="161"/>
    <s v="CUST861"/>
    <s v="Vikas"/>
    <x v="1"/>
    <n v="53"/>
    <x v="5"/>
    <x v="0"/>
    <x v="5"/>
    <x v="8"/>
    <n v="4"/>
    <n v="41074"/>
    <n v="20"/>
    <n v="32859.199999999997"/>
    <n v="23658.62"/>
    <n v="115"/>
    <n v="155210.42000000001"/>
    <x v="1"/>
    <x v="0"/>
    <s v="Delhi"/>
    <x v="5"/>
    <x v="1"/>
    <n v="1"/>
    <x v="0"/>
    <n v="1"/>
    <s v="Returned"/>
  </r>
  <r>
    <s v="ORD00211"/>
    <x v="162"/>
    <s v="CUST485"/>
    <s v="Sneha"/>
    <x v="0"/>
    <n v="50"/>
    <x v="5"/>
    <x v="0"/>
    <x v="5"/>
    <x v="8"/>
    <n v="1"/>
    <n v="47164"/>
    <n v="20"/>
    <n v="9432.7999999999993"/>
    <n v="6791.62"/>
    <n v="27"/>
    <n v="44549.82"/>
    <x v="0"/>
    <x v="1"/>
    <s v="Mumbai"/>
    <x v="0"/>
    <x v="0"/>
    <n v="3"/>
    <x v="1"/>
    <n v="3"/>
    <s v="Shipped"/>
  </r>
  <r>
    <s v="ORD00212"/>
    <x v="15"/>
    <s v="CUST845"/>
    <s v="Sneha"/>
    <x v="0"/>
    <n v="35"/>
    <x v="2"/>
    <x v="1"/>
    <x v="2"/>
    <x v="4"/>
    <n v="4"/>
    <n v="12596"/>
    <n v="15"/>
    <n v="7557.6"/>
    <n v="7708.75"/>
    <n v="445"/>
    <n v="50980.15"/>
    <x v="1"/>
    <x v="0"/>
    <s v="Chandigarh"/>
    <x v="1"/>
    <x v="1"/>
    <n v="8"/>
    <x v="0"/>
    <n v="3"/>
    <s v="Cancelled"/>
  </r>
  <r>
    <s v="ORD00213"/>
    <x v="163"/>
    <s v="CUST164"/>
    <s v="Neha"/>
    <x v="1"/>
    <n v="35"/>
    <x v="8"/>
    <x v="0"/>
    <x v="8"/>
    <x v="2"/>
    <n v="3"/>
    <n v="17489"/>
    <n v="20"/>
    <n v="10493.4"/>
    <n v="7555.25"/>
    <n v="241"/>
    <n v="49769.85"/>
    <x v="3"/>
    <x v="0"/>
    <s v="Bangalore"/>
    <x v="3"/>
    <x v="2"/>
    <n v="8"/>
    <x v="1"/>
    <n v="4"/>
    <s v="Shipped"/>
  </r>
  <r>
    <s v="ORD00214"/>
    <x v="164"/>
    <s v="CUST737"/>
    <s v="Arjun"/>
    <x v="1"/>
    <n v="54"/>
    <x v="1"/>
    <x v="0"/>
    <x v="1"/>
    <x v="7"/>
    <n v="2"/>
    <n v="8534"/>
    <n v="0"/>
    <n v="0"/>
    <n v="3072.24"/>
    <n v="230"/>
    <n v="20370.240000000002"/>
    <x v="0"/>
    <x v="1"/>
    <s v="Mumbai"/>
    <x v="0"/>
    <x v="0"/>
    <n v="6"/>
    <x v="0"/>
    <n v="3"/>
    <s v="Cancelled"/>
  </r>
  <r>
    <s v="ORD00215"/>
    <x v="165"/>
    <s v="CUST155"/>
    <s v="Anjali"/>
    <x v="0"/>
    <n v="48"/>
    <x v="7"/>
    <x v="1"/>
    <x v="7"/>
    <x v="7"/>
    <n v="4"/>
    <n v="22679"/>
    <n v="0"/>
    <n v="0"/>
    <n v="16328.88"/>
    <n v="412"/>
    <n v="107456.88"/>
    <x v="2"/>
    <x v="1"/>
    <s v="Jaipur"/>
    <x v="2"/>
    <x v="1"/>
    <n v="4"/>
    <x v="0"/>
    <n v="5"/>
    <s v="Returned"/>
  </r>
  <r>
    <s v="ORD00216"/>
    <x v="98"/>
    <s v="CUST786"/>
    <s v="Karan"/>
    <x v="1"/>
    <n v="29"/>
    <x v="6"/>
    <x v="0"/>
    <x v="6"/>
    <x v="3"/>
    <n v="3"/>
    <n v="10780"/>
    <n v="15"/>
    <n v="4851"/>
    <n v="4948.0200000000004"/>
    <n v="12"/>
    <n v="32449.02"/>
    <x v="3"/>
    <x v="1"/>
    <s v="Bangalore"/>
    <x v="3"/>
    <x v="2"/>
    <n v="6"/>
    <x v="0"/>
    <n v="2"/>
    <s v="Delivered"/>
  </r>
  <r>
    <s v="ORD00217"/>
    <x v="166"/>
    <s v="CUST870"/>
    <s v="Arjun"/>
    <x v="0"/>
    <n v="22"/>
    <x v="7"/>
    <x v="1"/>
    <x v="7"/>
    <x v="9"/>
    <n v="1"/>
    <n v="41995"/>
    <n v="15"/>
    <n v="6299.25"/>
    <n v="6425.23"/>
    <n v="363"/>
    <n v="42483.99"/>
    <x v="0"/>
    <x v="0"/>
    <s v="Mumbai"/>
    <x v="0"/>
    <x v="0"/>
    <n v="10"/>
    <x v="0"/>
    <n v="3"/>
    <s v="Shipped"/>
  </r>
  <r>
    <s v="ORD00218"/>
    <x v="108"/>
    <s v="CUST984"/>
    <s v="Vikas"/>
    <x v="0"/>
    <n v="51"/>
    <x v="1"/>
    <x v="0"/>
    <x v="1"/>
    <x v="5"/>
    <n v="1"/>
    <n v="2778"/>
    <n v="15"/>
    <n v="416.7"/>
    <n v="425.03"/>
    <n v="387"/>
    <n v="3173.33"/>
    <x v="3"/>
    <x v="1"/>
    <s v="Bangalore"/>
    <x v="3"/>
    <x v="2"/>
    <n v="9"/>
    <x v="0"/>
    <n v="5"/>
    <s v="Delivered"/>
  </r>
  <r>
    <s v="ORD00219"/>
    <x v="161"/>
    <s v="CUST500"/>
    <s v="Amit"/>
    <x v="1"/>
    <n v="27"/>
    <x v="3"/>
    <x v="2"/>
    <x v="3"/>
    <x v="3"/>
    <n v="3"/>
    <n v="35468"/>
    <n v="5"/>
    <n v="5320.2"/>
    <n v="18195.080000000002"/>
    <n v="238"/>
    <n v="119516.88"/>
    <x v="2"/>
    <x v="1"/>
    <s v="Lucknow"/>
    <x v="4"/>
    <x v="1"/>
    <n v="4"/>
    <x v="1"/>
    <n v="1"/>
    <s v="Shipped"/>
  </r>
  <r>
    <s v="ORD00220"/>
    <x v="144"/>
    <s v="CUST188"/>
    <s v="Karan"/>
    <x v="0"/>
    <n v="50"/>
    <x v="5"/>
    <x v="0"/>
    <x v="5"/>
    <x v="3"/>
    <n v="2"/>
    <n v="32959"/>
    <n v="20"/>
    <n v="13183.6"/>
    <n v="9492.19"/>
    <n v="266"/>
    <n v="62492.59"/>
    <x v="2"/>
    <x v="1"/>
    <s v="Delhi"/>
    <x v="5"/>
    <x v="1"/>
    <n v="8"/>
    <x v="1"/>
    <n v="5"/>
    <s v="Cancelled"/>
  </r>
  <r>
    <s v="ORD00221"/>
    <x v="96"/>
    <s v="CUST969"/>
    <s v="Sneha"/>
    <x v="0"/>
    <n v="53"/>
    <x v="6"/>
    <x v="0"/>
    <x v="6"/>
    <x v="3"/>
    <n v="4"/>
    <n v="31028"/>
    <n v="15"/>
    <n v="18616.8"/>
    <n v="18989.14"/>
    <n v="443"/>
    <n v="124927.34"/>
    <x v="3"/>
    <x v="1"/>
    <s v="Pune"/>
    <x v="0"/>
    <x v="0"/>
    <n v="1"/>
    <x v="1"/>
    <n v="3"/>
    <s v="Shipped"/>
  </r>
  <r>
    <s v="ORD00222"/>
    <x v="167"/>
    <s v="CUST348"/>
    <s v="Neha"/>
    <x v="1"/>
    <n v="54"/>
    <x v="8"/>
    <x v="0"/>
    <x v="8"/>
    <x v="2"/>
    <n v="4"/>
    <n v="19158"/>
    <n v="15"/>
    <n v="11494.8"/>
    <n v="11724.7"/>
    <n v="319"/>
    <n v="77180.899999999994"/>
    <x v="2"/>
    <x v="0"/>
    <s v="Bangalore"/>
    <x v="3"/>
    <x v="2"/>
    <n v="4"/>
    <x v="1"/>
    <n v="2"/>
    <s v="Shipped"/>
  </r>
  <r>
    <s v="ORD00223"/>
    <x v="1"/>
    <s v="CUST897"/>
    <s v="Anjali"/>
    <x v="1"/>
    <n v="57"/>
    <x v="6"/>
    <x v="0"/>
    <x v="6"/>
    <x v="0"/>
    <n v="1"/>
    <n v="25847"/>
    <n v="10"/>
    <n v="2584.6999999999998"/>
    <n v="4187.21"/>
    <n v="496"/>
    <n v="27945.51"/>
    <x v="2"/>
    <x v="0"/>
    <s v="Bangalore"/>
    <x v="3"/>
    <x v="2"/>
    <n v="9"/>
    <x v="1"/>
    <n v="1"/>
    <s v="Cancelled"/>
  </r>
  <r>
    <s v="ORD00224"/>
    <x v="168"/>
    <s v="CUST382"/>
    <s v="Amit"/>
    <x v="1"/>
    <n v="44"/>
    <x v="3"/>
    <x v="2"/>
    <x v="3"/>
    <x v="9"/>
    <n v="2"/>
    <n v="27899"/>
    <n v="5"/>
    <n v="2789.9"/>
    <n v="9541.4599999999991"/>
    <n v="245"/>
    <n v="62794.559999999998"/>
    <x v="2"/>
    <x v="0"/>
    <s v="Chandigarh"/>
    <x v="1"/>
    <x v="1"/>
    <n v="6"/>
    <x v="1"/>
    <n v="2"/>
    <s v="Delivered"/>
  </r>
  <r>
    <s v="ORD00225"/>
    <x v="63"/>
    <s v="CUST507"/>
    <s v="Priya"/>
    <x v="1"/>
    <n v="32"/>
    <x v="0"/>
    <x v="0"/>
    <x v="0"/>
    <x v="8"/>
    <n v="5"/>
    <n v="4763"/>
    <n v="20"/>
    <n v="4763"/>
    <n v="3429.36"/>
    <n v="197"/>
    <n v="22678.36"/>
    <x v="3"/>
    <x v="0"/>
    <s v="Jaipur"/>
    <x v="2"/>
    <x v="1"/>
    <n v="6"/>
    <x v="1"/>
    <n v="1"/>
    <s v="Cancelled"/>
  </r>
  <r>
    <s v="ORD00226"/>
    <x v="169"/>
    <s v="CUST531"/>
    <s v="Priya"/>
    <x v="1"/>
    <n v="18"/>
    <x v="0"/>
    <x v="0"/>
    <x v="0"/>
    <x v="7"/>
    <n v="2"/>
    <n v="26643"/>
    <n v="0"/>
    <n v="0"/>
    <n v="9591.48"/>
    <n v="210"/>
    <n v="63087.48"/>
    <x v="1"/>
    <x v="0"/>
    <s v="Mumbai"/>
    <x v="0"/>
    <x v="0"/>
    <n v="3"/>
    <x v="0"/>
    <n v="2"/>
    <s v="Shipped"/>
  </r>
  <r>
    <s v="ORD00227"/>
    <x v="103"/>
    <s v="CUST528"/>
    <s v="Anjali"/>
    <x v="1"/>
    <n v="41"/>
    <x v="6"/>
    <x v="0"/>
    <x v="6"/>
    <x v="2"/>
    <n v="2"/>
    <n v="15860"/>
    <n v="20"/>
    <n v="6344"/>
    <n v="4567.68"/>
    <n v="237"/>
    <n v="30180.68"/>
    <x v="0"/>
    <x v="1"/>
    <s v="Pune"/>
    <x v="0"/>
    <x v="0"/>
    <n v="9"/>
    <x v="1"/>
    <n v="4"/>
    <s v="Delivered"/>
  </r>
  <r>
    <s v="ORD00228"/>
    <x v="5"/>
    <s v="CUST799"/>
    <s v="Rahul"/>
    <x v="1"/>
    <n v="56"/>
    <x v="5"/>
    <x v="0"/>
    <x v="5"/>
    <x v="6"/>
    <n v="5"/>
    <n v="7974"/>
    <n v="5"/>
    <n v="1993.5"/>
    <n v="6817.77"/>
    <n v="291"/>
    <n v="44985.27"/>
    <x v="3"/>
    <x v="1"/>
    <s v="Pune"/>
    <x v="0"/>
    <x v="0"/>
    <n v="4"/>
    <x v="0"/>
    <n v="2"/>
    <s v="Delivered"/>
  </r>
  <r>
    <s v="ORD00229"/>
    <x v="31"/>
    <s v="CUST311"/>
    <s v="Sneha"/>
    <x v="0"/>
    <n v="35"/>
    <x v="3"/>
    <x v="2"/>
    <x v="3"/>
    <x v="9"/>
    <n v="3"/>
    <n v="41035"/>
    <n v="20"/>
    <n v="24621"/>
    <n v="17727.12"/>
    <n v="486"/>
    <n v="116697.12"/>
    <x v="0"/>
    <x v="1"/>
    <s v="Delhi"/>
    <x v="5"/>
    <x v="1"/>
    <n v="9"/>
    <x v="1"/>
    <n v="1"/>
    <s v="Shipped"/>
  </r>
  <r>
    <s v="ORD00230"/>
    <x v="150"/>
    <s v="CUST907"/>
    <s v="Rahul"/>
    <x v="0"/>
    <n v="23"/>
    <x v="0"/>
    <x v="0"/>
    <x v="0"/>
    <x v="9"/>
    <n v="5"/>
    <n v="13190"/>
    <n v="0"/>
    <n v="0"/>
    <n v="11871"/>
    <n v="493"/>
    <n v="78314"/>
    <x v="1"/>
    <x v="0"/>
    <s v="Pune"/>
    <x v="0"/>
    <x v="0"/>
    <n v="10"/>
    <x v="1"/>
    <n v="3"/>
    <s v="Shipped"/>
  </r>
  <r>
    <s v="ORD00231"/>
    <x v="170"/>
    <s v="CUST934"/>
    <s v="Arjun"/>
    <x v="1"/>
    <n v="19"/>
    <x v="8"/>
    <x v="0"/>
    <x v="8"/>
    <x v="1"/>
    <n v="3"/>
    <n v="35079"/>
    <n v="20"/>
    <n v="21047.4"/>
    <n v="15154.13"/>
    <n v="50"/>
    <n v="99393.73"/>
    <x v="2"/>
    <x v="1"/>
    <s v="Patiala"/>
    <x v="1"/>
    <x v="1"/>
    <n v="8"/>
    <x v="0"/>
    <n v="3"/>
    <s v="Cancelled"/>
  </r>
  <r>
    <s v="ORD00232"/>
    <x v="2"/>
    <s v="CUST922"/>
    <s v="Priya"/>
    <x v="0"/>
    <n v="43"/>
    <x v="4"/>
    <x v="0"/>
    <x v="4"/>
    <x v="2"/>
    <n v="4"/>
    <n v="19650"/>
    <n v="0"/>
    <n v="0"/>
    <n v="14148"/>
    <n v="372"/>
    <n v="93120"/>
    <x v="3"/>
    <x v="1"/>
    <s v="Delhi"/>
    <x v="5"/>
    <x v="1"/>
    <n v="3"/>
    <x v="0"/>
    <n v="4"/>
    <s v="Cancelled"/>
  </r>
  <r>
    <s v="ORD00233"/>
    <x v="171"/>
    <s v="CUST860"/>
    <s v="Amit"/>
    <x v="1"/>
    <n v="23"/>
    <x v="3"/>
    <x v="2"/>
    <x v="3"/>
    <x v="3"/>
    <n v="3"/>
    <n v="7283"/>
    <n v="0"/>
    <n v="0"/>
    <n v="3932.82"/>
    <n v="89"/>
    <n v="25870.82"/>
    <x v="3"/>
    <x v="0"/>
    <s v="Jaipur"/>
    <x v="2"/>
    <x v="1"/>
    <n v="5"/>
    <x v="0"/>
    <n v="4"/>
    <s v="Returned"/>
  </r>
  <r>
    <s v="ORD00234"/>
    <x v="62"/>
    <s v="CUST265"/>
    <s v="Amit"/>
    <x v="0"/>
    <n v="47"/>
    <x v="8"/>
    <x v="0"/>
    <x v="8"/>
    <x v="6"/>
    <n v="2"/>
    <n v="18597"/>
    <n v="0"/>
    <n v="0"/>
    <n v="6694.92"/>
    <n v="194"/>
    <n v="44082.92"/>
    <x v="0"/>
    <x v="0"/>
    <s v="Pune"/>
    <x v="0"/>
    <x v="0"/>
    <n v="6"/>
    <x v="1"/>
    <n v="1"/>
    <s v="Delivered"/>
  </r>
  <r>
    <s v="ORD00235"/>
    <x v="83"/>
    <s v="CUST201"/>
    <s v="Amit"/>
    <x v="1"/>
    <n v="41"/>
    <x v="7"/>
    <x v="1"/>
    <x v="7"/>
    <x v="7"/>
    <n v="1"/>
    <n v="17820"/>
    <n v="20"/>
    <n v="3564"/>
    <n v="2566.08"/>
    <n v="383"/>
    <n v="17205.080000000002"/>
    <x v="3"/>
    <x v="1"/>
    <s v="Pune"/>
    <x v="0"/>
    <x v="0"/>
    <n v="8"/>
    <x v="0"/>
    <n v="5"/>
    <s v="Cancelled"/>
  </r>
  <r>
    <s v="ORD00236"/>
    <x v="23"/>
    <s v="CUST313"/>
    <s v="Priya"/>
    <x v="0"/>
    <n v="58"/>
    <x v="7"/>
    <x v="1"/>
    <x v="7"/>
    <x v="0"/>
    <n v="5"/>
    <n v="29380"/>
    <n v="10"/>
    <n v="14690"/>
    <n v="23797.8"/>
    <n v="177"/>
    <n v="156184.79999999999"/>
    <x v="3"/>
    <x v="1"/>
    <s v="Pune"/>
    <x v="0"/>
    <x v="0"/>
    <n v="10"/>
    <x v="1"/>
    <n v="1"/>
    <s v="Delivered"/>
  </r>
  <r>
    <s v="ORD00237"/>
    <x v="13"/>
    <s v="CUST218"/>
    <s v="Karan"/>
    <x v="1"/>
    <n v="55"/>
    <x v="0"/>
    <x v="0"/>
    <x v="0"/>
    <x v="6"/>
    <n v="5"/>
    <n v="48636"/>
    <n v="20"/>
    <n v="48636"/>
    <n v="35017.919999999998"/>
    <n v="254"/>
    <n v="229815.92"/>
    <x v="1"/>
    <x v="0"/>
    <s v="Chandigarh"/>
    <x v="1"/>
    <x v="1"/>
    <n v="3"/>
    <x v="0"/>
    <n v="2"/>
    <s v="Delivered"/>
  </r>
  <r>
    <s v="ORD00238"/>
    <x v="172"/>
    <s v="CUST385"/>
    <s v="Arjun"/>
    <x v="0"/>
    <n v="40"/>
    <x v="0"/>
    <x v="0"/>
    <x v="0"/>
    <x v="5"/>
    <n v="3"/>
    <n v="4058"/>
    <n v="0"/>
    <n v="0"/>
    <n v="2191.3200000000002"/>
    <n v="130"/>
    <n v="14495.32"/>
    <x v="0"/>
    <x v="1"/>
    <s v="Chandigarh"/>
    <x v="1"/>
    <x v="1"/>
    <n v="4"/>
    <x v="0"/>
    <n v="5"/>
    <s v="Shipped"/>
  </r>
  <r>
    <s v="ORD00239"/>
    <x v="173"/>
    <s v="CUST260"/>
    <s v="Sneha"/>
    <x v="1"/>
    <n v="50"/>
    <x v="5"/>
    <x v="0"/>
    <x v="5"/>
    <x v="9"/>
    <n v="2"/>
    <n v="16518"/>
    <n v="15"/>
    <n v="4955.3999999999996"/>
    <n v="5054.51"/>
    <n v="326"/>
    <n v="33461.11"/>
    <x v="0"/>
    <x v="0"/>
    <s v="Pune"/>
    <x v="0"/>
    <x v="0"/>
    <n v="1"/>
    <x v="1"/>
    <n v="1"/>
    <s v="Returned"/>
  </r>
  <r>
    <s v="ORD00240"/>
    <x v="32"/>
    <s v="CUST652"/>
    <s v="Sneha"/>
    <x v="1"/>
    <n v="42"/>
    <x v="7"/>
    <x v="1"/>
    <x v="7"/>
    <x v="3"/>
    <n v="2"/>
    <n v="42034"/>
    <n v="20"/>
    <n v="16813.599999999999"/>
    <n v="12105.79"/>
    <n v="55"/>
    <n v="79415.19"/>
    <x v="0"/>
    <x v="1"/>
    <s v="Jaipur"/>
    <x v="2"/>
    <x v="1"/>
    <n v="6"/>
    <x v="1"/>
    <n v="1"/>
    <s v="Cancelled"/>
  </r>
  <r>
    <s v="ORD00241"/>
    <x v="167"/>
    <s v="CUST997"/>
    <s v="Amit"/>
    <x v="0"/>
    <n v="43"/>
    <x v="2"/>
    <x v="1"/>
    <x v="2"/>
    <x v="6"/>
    <n v="2"/>
    <n v="40255"/>
    <n v="0"/>
    <n v="0"/>
    <n v="14491.8"/>
    <n v="415"/>
    <n v="95416.8"/>
    <x v="3"/>
    <x v="0"/>
    <s v="Patiala"/>
    <x v="1"/>
    <x v="1"/>
    <n v="6"/>
    <x v="0"/>
    <n v="3"/>
    <s v="Shipped"/>
  </r>
  <r>
    <s v="ORD00242"/>
    <x v="150"/>
    <s v="CUST611"/>
    <s v="Priya"/>
    <x v="1"/>
    <n v="41"/>
    <x v="0"/>
    <x v="0"/>
    <x v="0"/>
    <x v="8"/>
    <n v="2"/>
    <n v="16819"/>
    <n v="10"/>
    <n v="3363.8"/>
    <n v="5449.36"/>
    <n v="185"/>
    <n v="35908.559999999998"/>
    <x v="0"/>
    <x v="1"/>
    <s v="Pune"/>
    <x v="0"/>
    <x v="0"/>
    <n v="9"/>
    <x v="1"/>
    <n v="1"/>
    <s v="Shipped"/>
  </r>
  <r>
    <s v="ORD00243"/>
    <x v="65"/>
    <s v="CUST885"/>
    <s v="Arjun"/>
    <x v="1"/>
    <n v="36"/>
    <x v="0"/>
    <x v="0"/>
    <x v="0"/>
    <x v="5"/>
    <n v="5"/>
    <n v="17749"/>
    <n v="0"/>
    <n v="0"/>
    <n v="15974.1"/>
    <n v="215"/>
    <n v="104934.1"/>
    <x v="1"/>
    <x v="0"/>
    <s v="Jaipur"/>
    <x v="2"/>
    <x v="1"/>
    <n v="9"/>
    <x v="0"/>
    <n v="1"/>
    <s v="Cancelled"/>
  </r>
  <r>
    <s v="ORD00244"/>
    <x v="3"/>
    <s v="CUST146"/>
    <s v="Sneha"/>
    <x v="0"/>
    <n v="59"/>
    <x v="7"/>
    <x v="1"/>
    <x v="7"/>
    <x v="1"/>
    <n v="1"/>
    <n v="17819"/>
    <n v="15"/>
    <n v="2672.85"/>
    <n v="2726.31"/>
    <n v="350"/>
    <n v="18222.46"/>
    <x v="3"/>
    <x v="1"/>
    <s v="Lucknow"/>
    <x v="4"/>
    <x v="1"/>
    <n v="4"/>
    <x v="1"/>
    <n v="3"/>
    <s v="Shipped"/>
  </r>
  <r>
    <s v="ORD00245"/>
    <x v="66"/>
    <s v="CUST955"/>
    <s v="Vikas"/>
    <x v="1"/>
    <n v="30"/>
    <x v="1"/>
    <x v="0"/>
    <x v="1"/>
    <x v="9"/>
    <n v="3"/>
    <n v="34354"/>
    <n v="5"/>
    <n v="5153.1000000000004"/>
    <n v="17623.599999999999"/>
    <n v="57"/>
    <n v="115589.5"/>
    <x v="3"/>
    <x v="1"/>
    <s v="Delhi"/>
    <x v="5"/>
    <x v="1"/>
    <n v="3"/>
    <x v="1"/>
    <n v="3"/>
    <s v="Cancelled"/>
  </r>
  <r>
    <s v="ORD00246"/>
    <x v="174"/>
    <s v="CUST541"/>
    <s v="Sneha"/>
    <x v="0"/>
    <n v="52"/>
    <x v="0"/>
    <x v="0"/>
    <x v="0"/>
    <x v="9"/>
    <n v="3"/>
    <n v="20946"/>
    <n v="20"/>
    <n v="12567.6"/>
    <n v="9048.67"/>
    <n v="113"/>
    <n v="59432.07"/>
    <x v="0"/>
    <x v="0"/>
    <s v="Chandigarh"/>
    <x v="1"/>
    <x v="1"/>
    <n v="10"/>
    <x v="1"/>
    <n v="3"/>
    <s v="Shipped"/>
  </r>
  <r>
    <s v="ORD00247"/>
    <x v="50"/>
    <s v="CUST161"/>
    <s v="Riya"/>
    <x v="1"/>
    <n v="22"/>
    <x v="4"/>
    <x v="0"/>
    <x v="4"/>
    <x v="3"/>
    <n v="5"/>
    <n v="46655"/>
    <n v="20"/>
    <n v="46655"/>
    <n v="33591.599999999999"/>
    <n v="138"/>
    <n v="220349.6"/>
    <x v="2"/>
    <x v="0"/>
    <s v="Chandigarh"/>
    <x v="1"/>
    <x v="1"/>
    <n v="9"/>
    <x v="0"/>
    <n v="3"/>
    <s v="Shipped"/>
  </r>
  <r>
    <s v="ORD00248"/>
    <x v="168"/>
    <s v="CUST982"/>
    <s v="Riya"/>
    <x v="1"/>
    <n v="36"/>
    <x v="7"/>
    <x v="1"/>
    <x v="7"/>
    <x v="7"/>
    <n v="4"/>
    <n v="3168"/>
    <n v="20"/>
    <n v="2534.4"/>
    <n v="1824.77"/>
    <n v="447"/>
    <n v="12409.37"/>
    <x v="2"/>
    <x v="1"/>
    <s v="Pune"/>
    <x v="0"/>
    <x v="0"/>
    <n v="9"/>
    <x v="1"/>
    <n v="3"/>
    <s v="Shipped"/>
  </r>
  <r>
    <s v="ORD00249"/>
    <x v="114"/>
    <s v="CUST564"/>
    <s v="Sneha"/>
    <x v="0"/>
    <n v="38"/>
    <x v="6"/>
    <x v="0"/>
    <x v="6"/>
    <x v="7"/>
    <n v="3"/>
    <n v="13647"/>
    <n v="20"/>
    <n v="8188.2"/>
    <n v="5895.5"/>
    <n v="193"/>
    <n v="38841.300000000003"/>
    <x v="1"/>
    <x v="1"/>
    <s v="Pune"/>
    <x v="0"/>
    <x v="0"/>
    <n v="9"/>
    <x v="0"/>
    <n v="5"/>
    <s v="Shipped"/>
  </r>
  <r>
    <s v="ORD00250"/>
    <x v="135"/>
    <s v="CUST433"/>
    <s v="Arjun"/>
    <x v="0"/>
    <n v="49"/>
    <x v="6"/>
    <x v="0"/>
    <x v="6"/>
    <x v="4"/>
    <n v="3"/>
    <n v="10903"/>
    <n v="0"/>
    <n v="0"/>
    <n v="5887.62"/>
    <n v="412"/>
    <n v="39008.620000000003"/>
    <x v="3"/>
    <x v="0"/>
    <s v="Lucknow"/>
    <x v="4"/>
    <x v="1"/>
    <n v="8"/>
    <x v="0"/>
    <n v="5"/>
    <s v="Shipped"/>
  </r>
  <r>
    <s v="ORD00251"/>
    <x v="61"/>
    <s v="CUST671"/>
    <s v="Karan"/>
    <x v="1"/>
    <n v="21"/>
    <x v="6"/>
    <x v="0"/>
    <x v="6"/>
    <x v="8"/>
    <n v="4"/>
    <n v="12320"/>
    <n v="15"/>
    <n v="7392"/>
    <n v="7539.84"/>
    <n v="154"/>
    <n v="49581.84"/>
    <x v="0"/>
    <x v="1"/>
    <s v="Lucknow"/>
    <x v="4"/>
    <x v="1"/>
    <n v="5"/>
    <x v="1"/>
    <n v="5"/>
    <s v="Shipped"/>
  </r>
  <r>
    <s v="ORD00252"/>
    <x v="175"/>
    <s v="CUST768"/>
    <s v="Rahul"/>
    <x v="1"/>
    <n v="37"/>
    <x v="7"/>
    <x v="1"/>
    <x v="7"/>
    <x v="8"/>
    <n v="1"/>
    <n v="14063"/>
    <n v="10"/>
    <n v="1406.3"/>
    <n v="2278.21"/>
    <n v="103"/>
    <n v="15037.91"/>
    <x v="1"/>
    <x v="1"/>
    <s v="Jaipur"/>
    <x v="2"/>
    <x v="1"/>
    <n v="2"/>
    <x v="1"/>
    <n v="1"/>
    <s v="Shipped"/>
  </r>
  <r>
    <s v="ORD00253"/>
    <x v="176"/>
    <s v="CUST865"/>
    <s v="Anjali"/>
    <x v="1"/>
    <n v="45"/>
    <x v="8"/>
    <x v="0"/>
    <x v="8"/>
    <x v="7"/>
    <n v="3"/>
    <n v="38458"/>
    <n v="0"/>
    <n v="0"/>
    <n v="20767.32"/>
    <n v="484"/>
    <n v="136625.32"/>
    <x v="3"/>
    <x v="1"/>
    <s v="Pune"/>
    <x v="0"/>
    <x v="0"/>
    <n v="4"/>
    <x v="0"/>
    <n v="1"/>
    <s v="Shipped"/>
  </r>
  <r>
    <s v="ORD00254"/>
    <x v="177"/>
    <s v="CUST629"/>
    <s v="Amit"/>
    <x v="1"/>
    <n v="40"/>
    <x v="9"/>
    <x v="0"/>
    <x v="9"/>
    <x v="4"/>
    <n v="3"/>
    <n v="2136"/>
    <n v="0"/>
    <n v="0"/>
    <n v="1153.44"/>
    <n v="388"/>
    <n v="7949.44"/>
    <x v="2"/>
    <x v="1"/>
    <s v="Bangalore"/>
    <x v="3"/>
    <x v="2"/>
    <n v="9"/>
    <x v="0"/>
    <n v="5"/>
    <s v="Returned"/>
  </r>
  <r>
    <s v="ORD00255"/>
    <x v="68"/>
    <s v="CUST717"/>
    <s v="Sneha"/>
    <x v="1"/>
    <n v="50"/>
    <x v="2"/>
    <x v="1"/>
    <x v="2"/>
    <x v="0"/>
    <n v="4"/>
    <n v="6313"/>
    <n v="20"/>
    <n v="5050.3999999999996"/>
    <n v="3636.29"/>
    <n v="1"/>
    <n v="23838.89"/>
    <x v="2"/>
    <x v="0"/>
    <s v="Lucknow"/>
    <x v="4"/>
    <x v="1"/>
    <n v="2"/>
    <x v="0"/>
    <n v="1"/>
    <s v="Cancelled"/>
  </r>
  <r>
    <s v="ORD00256"/>
    <x v="178"/>
    <s v="CUST102"/>
    <s v="Priya"/>
    <x v="1"/>
    <n v="46"/>
    <x v="8"/>
    <x v="0"/>
    <x v="8"/>
    <x v="4"/>
    <n v="4"/>
    <n v="26827"/>
    <n v="5"/>
    <n v="5365.4"/>
    <n v="18349.669999999998"/>
    <n v="70"/>
    <n v="120362.27"/>
    <x v="2"/>
    <x v="0"/>
    <s v="Bangalore"/>
    <x v="3"/>
    <x v="2"/>
    <n v="5"/>
    <x v="0"/>
    <n v="2"/>
    <s v="Shipped"/>
  </r>
  <r>
    <s v="ORD00257"/>
    <x v="179"/>
    <s v="CUST579"/>
    <s v="Karan"/>
    <x v="0"/>
    <n v="44"/>
    <x v="7"/>
    <x v="1"/>
    <x v="7"/>
    <x v="4"/>
    <n v="4"/>
    <n v="20044"/>
    <n v="10"/>
    <n v="8017.6"/>
    <n v="12988.51"/>
    <n v="449"/>
    <n v="85595.91"/>
    <x v="1"/>
    <x v="1"/>
    <s v="Delhi"/>
    <x v="5"/>
    <x v="1"/>
    <n v="4"/>
    <x v="1"/>
    <n v="5"/>
    <s v="Cancelled"/>
  </r>
  <r>
    <s v="ORD00258"/>
    <x v="180"/>
    <s v="CUST505"/>
    <s v="Anjali"/>
    <x v="0"/>
    <n v="60"/>
    <x v="9"/>
    <x v="0"/>
    <x v="9"/>
    <x v="9"/>
    <n v="5"/>
    <n v="2751"/>
    <n v="20"/>
    <n v="2751"/>
    <n v="1980.72"/>
    <n v="347"/>
    <n v="13331.72"/>
    <x v="0"/>
    <x v="0"/>
    <s v="Bangalore"/>
    <x v="3"/>
    <x v="2"/>
    <n v="5"/>
    <x v="0"/>
    <n v="5"/>
    <s v="Delivered"/>
  </r>
  <r>
    <s v="ORD00259"/>
    <x v="15"/>
    <s v="CUST841"/>
    <s v="Arjun"/>
    <x v="0"/>
    <n v="28"/>
    <x v="0"/>
    <x v="0"/>
    <x v="0"/>
    <x v="8"/>
    <n v="4"/>
    <n v="5599"/>
    <n v="20"/>
    <n v="4479.2"/>
    <n v="3225.02"/>
    <n v="479"/>
    <n v="21620.82"/>
    <x v="0"/>
    <x v="0"/>
    <s v="Bangalore"/>
    <x v="3"/>
    <x v="2"/>
    <n v="4"/>
    <x v="1"/>
    <n v="5"/>
    <s v="Shipped"/>
  </r>
  <r>
    <s v="ORD00260"/>
    <x v="181"/>
    <s v="CUST247"/>
    <s v="Priya"/>
    <x v="1"/>
    <n v="42"/>
    <x v="2"/>
    <x v="1"/>
    <x v="2"/>
    <x v="9"/>
    <n v="1"/>
    <n v="13659"/>
    <n v="20"/>
    <n v="2731.8"/>
    <n v="1966.9"/>
    <n v="370"/>
    <n v="13264.1"/>
    <x v="2"/>
    <x v="1"/>
    <s v="Pune"/>
    <x v="0"/>
    <x v="0"/>
    <n v="2"/>
    <x v="0"/>
    <n v="1"/>
    <s v="Shipped"/>
  </r>
  <r>
    <s v="ORD00261"/>
    <x v="65"/>
    <s v="CUST916"/>
    <s v="Anjali"/>
    <x v="0"/>
    <n v="41"/>
    <x v="6"/>
    <x v="0"/>
    <x v="6"/>
    <x v="7"/>
    <n v="3"/>
    <n v="35927"/>
    <n v="15"/>
    <n v="16167.15"/>
    <n v="16490.490000000002"/>
    <n v="110"/>
    <n v="108214.34"/>
    <x v="1"/>
    <x v="0"/>
    <s v="Chandigarh"/>
    <x v="1"/>
    <x v="1"/>
    <n v="1"/>
    <x v="0"/>
    <n v="2"/>
    <s v="Delivered"/>
  </r>
  <r>
    <s v="ORD00262"/>
    <x v="104"/>
    <s v="CUST137"/>
    <s v="Rahul"/>
    <x v="0"/>
    <n v="51"/>
    <x v="2"/>
    <x v="1"/>
    <x v="2"/>
    <x v="7"/>
    <n v="2"/>
    <n v="8718"/>
    <n v="5"/>
    <n v="871.8"/>
    <n v="2981.56"/>
    <n v="320"/>
    <n v="19865.759999999998"/>
    <x v="2"/>
    <x v="0"/>
    <s v="Chandigarh"/>
    <x v="1"/>
    <x v="1"/>
    <n v="9"/>
    <x v="0"/>
    <n v="3"/>
    <s v="Cancelled"/>
  </r>
  <r>
    <s v="ORD00263"/>
    <x v="67"/>
    <s v="CUST655"/>
    <s v="Karan"/>
    <x v="0"/>
    <n v="50"/>
    <x v="6"/>
    <x v="0"/>
    <x v="6"/>
    <x v="8"/>
    <n v="4"/>
    <n v="10032"/>
    <n v="5"/>
    <n v="2006.4"/>
    <n v="6861.89"/>
    <n v="42"/>
    <n v="45025.49"/>
    <x v="0"/>
    <x v="0"/>
    <s v="Patiala"/>
    <x v="1"/>
    <x v="1"/>
    <n v="3"/>
    <x v="0"/>
    <n v="3"/>
    <s v="Returned"/>
  </r>
  <r>
    <s v="ORD00264"/>
    <x v="11"/>
    <s v="CUST566"/>
    <s v="Neha"/>
    <x v="1"/>
    <n v="59"/>
    <x v="5"/>
    <x v="0"/>
    <x v="5"/>
    <x v="0"/>
    <n v="4"/>
    <n v="9542"/>
    <n v="20"/>
    <n v="7633.6"/>
    <n v="5496.19"/>
    <n v="372"/>
    <n v="36402.589999999997"/>
    <x v="1"/>
    <x v="1"/>
    <s v="Lucknow"/>
    <x v="4"/>
    <x v="1"/>
    <n v="10"/>
    <x v="1"/>
    <n v="3"/>
    <s v="Shipped"/>
  </r>
  <r>
    <s v="ORD00265"/>
    <x v="6"/>
    <s v="CUST813"/>
    <s v="Riya"/>
    <x v="0"/>
    <n v="41"/>
    <x v="4"/>
    <x v="0"/>
    <x v="4"/>
    <x v="8"/>
    <n v="1"/>
    <n v="9992"/>
    <n v="10"/>
    <n v="999.2"/>
    <n v="1618.7"/>
    <n v="323"/>
    <n v="10934.5"/>
    <x v="0"/>
    <x v="1"/>
    <s v="Delhi"/>
    <x v="5"/>
    <x v="1"/>
    <n v="10"/>
    <x v="1"/>
    <n v="4"/>
    <s v="Cancelled"/>
  </r>
  <r>
    <s v="ORD00266"/>
    <x v="30"/>
    <s v="CUST111"/>
    <s v="Anjali"/>
    <x v="1"/>
    <n v="25"/>
    <x v="3"/>
    <x v="2"/>
    <x v="3"/>
    <x v="6"/>
    <n v="2"/>
    <n v="2594"/>
    <n v="5"/>
    <n v="259.39999999999998"/>
    <n v="887.15"/>
    <n v="259"/>
    <n v="6074.75"/>
    <x v="3"/>
    <x v="0"/>
    <s v="Jaipur"/>
    <x v="2"/>
    <x v="1"/>
    <n v="10"/>
    <x v="1"/>
    <n v="5"/>
    <s v="Returned"/>
  </r>
  <r>
    <s v="ORD00267"/>
    <x v="178"/>
    <s v="CUST919"/>
    <s v="Amit"/>
    <x v="1"/>
    <n v="27"/>
    <x v="2"/>
    <x v="1"/>
    <x v="2"/>
    <x v="4"/>
    <n v="3"/>
    <n v="33711"/>
    <n v="15"/>
    <n v="15169.95"/>
    <n v="15473.35"/>
    <n v="84"/>
    <n v="101520.4"/>
    <x v="0"/>
    <x v="0"/>
    <s v="Bangalore"/>
    <x v="3"/>
    <x v="2"/>
    <n v="6"/>
    <x v="1"/>
    <n v="5"/>
    <s v="Delivered"/>
  </r>
  <r>
    <s v="ORD00268"/>
    <x v="36"/>
    <s v="CUST583"/>
    <s v="Vikas"/>
    <x v="0"/>
    <n v="41"/>
    <x v="6"/>
    <x v="0"/>
    <x v="6"/>
    <x v="2"/>
    <n v="5"/>
    <n v="28384"/>
    <n v="20"/>
    <n v="28384"/>
    <n v="20436.48"/>
    <n v="302"/>
    <n v="134274.48000000001"/>
    <x v="0"/>
    <x v="1"/>
    <s v="Jaipur"/>
    <x v="2"/>
    <x v="1"/>
    <n v="7"/>
    <x v="0"/>
    <n v="3"/>
    <s v="Returned"/>
  </r>
  <r>
    <s v="ORD00269"/>
    <x v="172"/>
    <s v="CUST708"/>
    <s v="Karan"/>
    <x v="1"/>
    <n v="29"/>
    <x v="2"/>
    <x v="1"/>
    <x v="2"/>
    <x v="3"/>
    <n v="3"/>
    <n v="35019"/>
    <n v="15"/>
    <n v="15758.55"/>
    <n v="16073.72"/>
    <n v="151"/>
    <n v="105523.17"/>
    <x v="3"/>
    <x v="1"/>
    <s v="Delhi"/>
    <x v="5"/>
    <x v="1"/>
    <n v="3"/>
    <x v="0"/>
    <n v="5"/>
    <s v="Cancelled"/>
  </r>
  <r>
    <s v="ORD00270"/>
    <x v="108"/>
    <s v="CUST178"/>
    <s v="Anjali"/>
    <x v="1"/>
    <n v="59"/>
    <x v="0"/>
    <x v="0"/>
    <x v="0"/>
    <x v="0"/>
    <n v="3"/>
    <n v="19289"/>
    <n v="10"/>
    <n v="5786.7"/>
    <n v="9374.4500000000007"/>
    <n v="261"/>
    <n v="61715.75"/>
    <x v="0"/>
    <x v="0"/>
    <s v="Pune"/>
    <x v="0"/>
    <x v="0"/>
    <n v="4"/>
    <x v="0"/>
    <n v="3"/>
    <s v="Delivered"/>
  </r>
  <r>
    <s v="ORD00271"/>
    <x v="182"/>
    <s v="CUST737"/>
    <s v="Vikas"/>
    <x v="0"/>
    <n v="44"/>
    <x v="7"/>
    <x v="1"/>
    <x v="7"/>
    <x v="2"/>
    <n v="4"/>
    <n v="47723"/>
    <n v="10"/>
    <n v="19089.2"/>
    <n v="30924.5"/>
    <n v="497"/>
    <n v="203224.3"/>
    <x v="3"/>
    <x v="1"/>
    <s v="Mumbai"/>
    <x v="0"/>
    <x v="0"/>
    <n v="8"/>
    <x v="0"/>
    <n v="1"/>
    <s v="Delivered"/>
  </r>
  <r>
    <s v="ORD00272"/>
    <x v="15"/>
    <s v="CUST343"/>
    <s v="Arjun"/>
    <x v="0"/>
    <n v="44"/>
    <x v="1"/>
    <x v="0"/>
    <x v="1"/>
    <x v="1"/>
    <n v="5"/>
    <n v="36579"/>
    <n v="5"/>
    <n v="9144.75"/>
    <n v="31275.040000000001"/>
    <n v="326"/>
    <n v="205351.29"/>
    <x v="3"/>
    <x v="1"/>
    <s v="Lucknow"/>
    <x v="4"/>
    <x v="1"/>
    <n v="4"/>
    <x v="0"/>
    <n v="4"/>
    <s v="Cancelled"/>
  </r>
  <r>
    <s v="ORD00273"/>
    <x v="133"/>
    <s v="CUST187"/>
    <s v="Priya"/>
    <x v="1"/>
    <n v="28"/>
    <x v="0"/>
    <x v="0"/>
    <x v="0"/>
    <x v="8"/>
    <n v="2"/>
    <n v="30501"/>
    <n v="10"/>
    <n v="6100.2"/>
    <n v="9882.32"/>
    <n v="215"/>
    <n v="64999.12"/>
    <x v="2"/>
    <x v="1"/>
    <s v="Lucknow"/>
    <x v="4"/>
    <x v="1"/>
    <n v="8"/>
    <x v="0"/>
    <n v="2"/>
    <s v="Returned"/>
  </r>
  <r>
    <s v="ORD00274"/>
    <x v="74"/>
    <s v="CUST626"/>
    <s v="Neha"/>
    <x v="0"/>
    <n v="19"/>
    <x v="1"/>
    <x v="0"/>
    <x v="1"/>
    <x v="4"/>
    <n v="3"/>
    <n v="35905"/>
    <n v="20"/>
    <n v="21543"/>
    <n v="15510.96"/>
    <n v="69"/>
    <n v="101751.96"/>
    <x v="3"/>
    <x v="1"/>
    <s v="Bangalore"/>
    <x v="3"/>
    <x v="2"/>
    <n v="6"/>
    <x v="0"/>
    <n v="4"/>
    <s v="Returned"/>
  </r>
  <r>
    <s v="ORD00275"/>
    <x v="183"/>
    <s v="CUST776"/>
    <s v="Riya"/>
    <x v="1"/>
    <n v="38"/>
    <x v="9"/>
    <x v="0"/>
    <x v="9"/>
    <x v="1"/>
    <n v="3"/>
    <n v="16019"/>
    <n v="10"/>
    <n v="4805.7"/>
    <n v="7785.23"/>
    <n v="9"/>
    <n v="51045.53"/>
    <x v="3"/>
    <x v="1"/>
    <s v="Bangalore"/>
    <x v="3"/>
    <x v="2"/>
    <n v="4"/>
    <x v="0"/>
    <n v="4"/>
    <s v="Cancelled"/>
  </r>
  <r>
    <s v="ORD00276"/>
    <x v="184"/>
    <s v="CUST981"/>
    <s v="Karan"/>
    <x v="0"/>
    <n v="22"/>
    <x v="6"/>
    <x v="0"/>
    <x v="6"/>
    <x v="1"/>
    <n v="4"/>
    <n v="19232"/>
    <n v="10"/>
    <n v="7692.8"/>
    <n v="12462.34"/>
    <n v="295"/>
    <n v="81992.539999999994"/>
    <x v="2"/>
    <x v="1"/>
    <s v="Mumbai"/>
    <x v="0"/>
    <x v="0"/>
    <n v="6"/>
    <x v="0"/>
    <n v="5"/>
    <s v="Cancelled"/>
  </r>
  <r>
    <s v="ORD00277"/>
    <x v="185"/>
    <s v="CUST425"/>
    <s v="Arjun"/>
    <x v="0"/>
    <n v="57"/>
    <x v="4"/>
    <x v="0"/>
    <x v="4"/>
    <x v="5"/>
    <n v="3"/>
    <n v="26220"/>
    <n v="5"/>
    <n v="3933"/>
    <n v="13450.86"/>
    <n v="337"/>
    <n v="88514.86"/>
    <x v="3"/>
    <x v="0"/>
    <s v="Pune"/>
    <x v="0"/>
    <x v="0"/>
    <n v="9"/>
    <x v="1"/>
    <n v="5"/>
    <s v="Returned"/>
  </r>
  <r>
    <s v="ORD00278"/>
    <x v="186"/>
    <s v="CUST196"/>
    <s v="Sneha"/>
    <x v="1"/>
    <n v="60"/>
    <x v="0"/>
    <x v="0"/>
    <x v="0"/>
    <x v="8"/>
    <n v="2"/>
    <n v="8816"/>
    <n v="20"/>
    <n v="3526.4"/>
    <n v="2539.0100000000002"/>
    <n v="394"/>
    <n v="17038.61"/>
    <x v="1"/>
    <x v="0"/>
    <s v="Pune"/>
    <x v="0"/>
    <x v="0"/>
    <n v="5"/>
    <x v="0"/>
    <n v="4"/>
    <s v="Returned"/>
  </r>
  <r>
    <s v="ORD00279"/>
    <x v="187"/>
    <s v="CUST741"/>
    <s v="Amit"/>
    <x v="1"/>
    <n v="32"/>
    <x v="9"/>
    <x v="0"/>
    <x v="9"/>
    <x v="3"/>
    <n v="1"/>
    <n v="21091"/>
    <n v="10"/>
    <n v="2109.1"/>
    <n v="3416.74"/>
    <n v="177"/>
    <n v="22575.64"/>
    <x v="2"/>
    <x v="1"/>
    <s v="Lucknow"/>
    <x v="4"/>
    <x v="1"/>
    <n v="1"/>
    <x v="1"/>
    <n v="1"/>
    <s v="Delivered"/>
  </r>
  <r>
    <s v="ORD00280"/>
    <x v="54"/>
    <s v="CUST997"/>
    <s v="Arjun"/>
    <x v="0"/>
    <n v="19"/>
    <x v="6"/>
    <x v="0"/>
    <x v="6"/>
    <x v="3"/>
    <n v="2"/>
    <n v="46647"/>
    <n v="0"/>
    <n v="0"/>
    <n v="16792.919999999998"/>
    <n v="477"/>
    <n v="110563.92"/>
    <x v="0"/>
    <x v="0"/>
    <s v="Delhi"/>
    <x v="5"/>
    <x v="1"/>
    <n v="6"/>
    <x v="0"/>
    <n v="2"/>
    <s v="Cancelled"/>
  </r>
  <r>
    <s v="ORD00281"/>
    <x v="188"/>
    <s v="CUST112"/>
    <s v="Amit"/>
    <x v="1"/>
    <n v="57"/>
    <x v="0"/>
    <x v="0"/>
    <x v="0"/>
    <x v="1"/>
    <n v="1"/>
    <n v="46084"/>
    <n v="10"/>
    <n v="4608.3999999999996"/>
    <n v="7465.61"/>
    <n v="166"/>
    <n v="49107.21"/>
    <x v="0"/>
    <x v="1"/>
    <s v="Lucknow"/>
    <x v="4"/>
    <x v="1"/>
    <n v="4"/>
    <x v="1"/>
    <n v="3"/>
    <s v="Cancelled"/>
  </r>
  <r>
    <s v="ORD00282"/>
    <x v="189"/>
    <s v="CUST422"/>
    <s v="Riya"/>
    <x v="0"/>
    <n v="27"/>
    <x v="5"/>
    <x v="0"/>
    <x v="5"/>
    <x v="1"/>
    <n v="2"/>
    <n v="13526"/>
    <n v="0"/>
    <n v="0"/>
    <n v="4869.3599999999997"/>
    <n v="286"/>
    <n v="32207.360000000001"/>
    <x v="1"/>
    <x v="1"/>
    <s v="Lucknow"/>
    <x v="4"/>
    <x v="1"/>
    <n v="8"/>
    <x v="0"/>
    <n v="5"/>
    <s v="Delivered"/>
  </r>
  <r>
    <s v="ORD00283"/>
    <x v="74"/>
    <s v="CUST228"/>
    <s v="Sneha"/>
    <x v="0"/>
    <n v="23"/>
    <x v="6"/>
    <x v="0"/>
    <x v="6"/>
    <x v="8"/>
    <n v="2"/>
    <n v="24594"/>
    <n v="15"/>
    <n v="7378.2"/>
    <n v="7525.76"/>
    <n v="423"/>
    <n v="49758.559999999998"/>
    <x v="0"/>
    <x v="0"/>
    <s v="Lucknow"/>
    <x v="4"/>
    <x v="1"/>
    <n v="5"/>
    <x v="1"/>
    <n v="3"/>
    <s v="Cancelled"/>
  </r>
  <r>
    <s v="ORD00284"/>
    <x v="190"/>
    <s v="CUST243"/>
    <s v="Vikas"/>
    <x v="1"/>
    <n v="48"/>
    <x v="4"/>
    <x v="0"/>
    <x v="4"/>
    <x v="1"/>
    <n v="1"/>
    <n v="8792"/>
    <n v="20"/>
    <n v="1758.4"/>
    <n v="1266.05"/>
    <n v="83"/>
    <n v="8382.65"/>
    <x v="0"/>
    <x v="0"/>
    <s v="Pune"/>
    <x v="0"/>
    <x v="0"/>
    <n v="3"/>
    <x v="1"/>
    <n v="2"/>
    <s v="Cancelled"/>
  </r>
  <r>
    <s v="ORD00285"/>
    <x v="46"/>
    <s v="CUST455"/>
    <s v="Amit"/>
    <x v="0"/>
    <n v="44"/>
    <x v="6"/>
    <x v="0"/>
    <x v="6"/>
    <x v="4"/>
    <n v="2"/>
    <n v="39070"/>
    <n v="0"/>
    <n v="0"/>
    <n v="14065.2"/>
    <n v="255"/>
    <n v="92460.2"/>
    <x v="0"/>
    <x v="1"/>
    <s v="Mumbai"/>
    <x v="0"/>
    <x v="0"/>
    <n v="9"/>
    <x v="1"/>
    <n v="5"/>
    <s v="Cancelled"/>
  </r>
  <r>
    <s v="ORD00286"/>
    <x v="191"/>
    <s v="CUST360"/>
    <s v="Neha"/>
    <x v="1"/>
    <n v="29"/>
    <x v="4"/>
    <x v="0"/>
    <x v="4"/>
    <x v="0"/>
    <n v="2"/>
    <n v="4186"/>
    <n v="15"/>
    <n v="1255.8"/>
    <n v="1280.92"/>
    <n v="320"/>
    <n v="8717.1200000000008"/>
    <x v="3"/>
    <x v="1"/>
    <s v="Delhi"/>
    <x v="5"/>
    <x v="1"/>
    <n v="2"/>
    <x v="1"/>
    <n v="4"/>
    <s v="Delivered"/>
  </r>
  <r>
    <s v="ORD00287"/>
    <x v="109"/>
    <s v="CUST789"/>
    <s v="Amit"/>
    <x v="1"/>
    <n v="39"/>
    <x v="8"/>
    <x v="0"/>
    <x v="8"/>
    <x v="7"/>
    <n v="3"/>
    <n v="27724"/>
    <n v="0"/>
    <n v="0"/>
    <n v="14970.96"/>
    <n v="412"/>
    <n v="98554.96"/>
    <x v="1"/>
    <x v="1"/>
    <s v="Delhi"/>
    <x v="5"/>
    <x v="1"/>
    <n v="7"/>
    <x v="0"/>
    <n v="4"/>
    <s v="Cancelled"/>
  </r>
  <r>
    <s v="ORD00288"/>
    <x v="192"/>
    <s v="CUST460"/>
    <s v="Arjun"/>
    <x v="1"/>
    <n v="22"/>
    <x v="2"/>
    <x v="1"/>
    <x v="2"/>
    <x v="2"/>
    <n v="2"/>
    <n v="25863"/>
    <n v="15"/>
    <n v="7758.9"/>
    <n v="7914.08"/>
    <n v="282"/>
    <n v="52163.18"/>
    <x v="1"/>
    <x v="0"/>
    <s v="Patiala"/>
    <x v="1"/>
    <x v="1"/>
    <n v="7"/>
    <x v="0"/>
    <n v="4"/>
    <s v="Returned"/>
  </r>
  <r>
    <s v="ORD00289"/>
    <x v="193"/>
    <s v="CUST266"/>
    <s v="Arjun"/>
    <x v="1"/>
    <n v="45"/>
    <x v="4"/>
    <x v="0"/>
    <x v="4"/>
    <x v="4"/>
    <n v="3"/>
    <n v="5942"/>
    <n v="5"/>
    <n v="891.3"/>
    <n v="3048.25"/>
    <n v="248"/>
    <n v="20230.95"/>
    <x v="3"/>
    <x v="0"/>
    <s v="Patiala"/>
    <x v="1"/>
    <x v="1"/>
    <n v="8"/>
    <x v="1"/>
    <n v="2"/>
    <s v="Cancelled"/>
  </r>
  <r>
    <s v="ORD00290"/>
    <x v="194"/>
    <s v="CUST795"/>
    <s v="Anjali"/>
    <x v="1"/>
    <n v="54"/>
    <x v="1"/>
    <x v="0"/>
    <x v="1"/>
    <x v="1"/>
    <n v="2"/>
    <n v="5637"/>
    <n v="20"/>
    <n v="2254.8000000000002"/>
    <n v="1623.46"/>
    <n v="105"/>
    <n v="10747.66"/>
    <x v="1"/>
    <x v="0"/>
    <s v="Delhi"/>
    <x v="5"/>
    <x v="1"/>
    <n v="7"/>
    <x v="0"/>
    <n v="5"/>
    <s v="Shipped"/>
  </r>
  <r>
    <s v="ORD00291"/>
    <x v="195"/>
    <s v="CUST337"/>
    <s v="Neha"/>
    <x v="1"/>
    <n v="48"/>
    <x v="5"/>
    <x v="0"/>
    <x v="5"/>
    <x v="7"/>
    <n v="3"/>
    <n v="11265"/>
    <n v="15"/>
    <n v="5069.25"/>
    <n v="5170.6400000000003"/>
    <n v="234"/>
    <n v="34130.39"/>
    <x v="2"/>
    <x v="1"/>
    <s v="Pune"/>
    <x v="0"/>
    <x v="0"/>
    <n v="6"/>
    <x v="0"/>
    <n v="1"/>
    <s v="Shipped"/>
  </r>
  <r>
    <s v="ORD00292"/>
    <x v="146"/>
    <s v="CUST874"/>
    <s v="Priya"/>
    <x v="1"/>
    <n v="31"/>
    <x v="1"/>
    <x v="0"/>
    <x v="1"/>
    <x v="5"/>
    <n v="3"/>
    <n v="1419"/>
    <n v="10"/>
    <n v="425.7"/>
    <n v="689.63"/>
    <n v="407"/>
    <n v="4927.93"/>
    <x v="2"/>
    <x v="1"/>
    <s v="Jaipur"/>
    <x v="2"/>
    <x v="1"/>
    <n v="8"/>
    <x v="0"/>
    <n v="5"/>
    <s v="Cancelled"/>
  </r>
  <r>
    <s v="ORD00293"/>
    <x v="196"/>
    <s v="CUST936"/>
    <s v="Arjun"/>
    <x v="1"/>
    <n v="48"/>
    <x v="2"/>
    <x v="1"/>
    <x v="2"/>
    <x v="0"/>
    <n v="4"/>
    <n v="14676"/>
    <n v="5"/>
    <n v="2935.2"/>
    <n v="10038.379999999999"/>
    <n v="318"/>
    <n v="66125.179999999993"/>
    <x v="2"/>
    <x v="1"/>
    <s v="Lucknow"/>
    <x v="4"/>
    <x v="1"/>
    <n v="10"/>
    <x v="0"/>
    <n v="4"/>
    <s v="Delivered"/>
  </r>
  <r>
    <s v="ORD00294"/>
    <x v="151"/>
    <s v="CUST341"/>
    <s v="Arjun"/>
    <x v="0"/>
    <n v="48"/>
    <x v="2"/>
    <x v="1"/>
    <x v="2"/>
    <x v="9"/>
    <n v="1"/>
    <n v="31678"/>
    <n v="10"/>
    <n v="3167.8"/>
    <n v="5131.84"/>
    <n v="175"/>
    <n v="33817.040000000001"/>
    <x v="2"/>
    <x v="0"/>
    <s v="Patiala"/>
    <x v="1"/>
    <x v="1"/>
    <n v="2"/>
    <x v="1"/>
    <n v="5"/>
    <s v="Shipped"/>
  </r>
  <r>
    <s v="ORD00295"/>
    <x v="197"/>
    <s v="CUST947"/>
    <s v="Karan"/>
    <x v="1"/>
    <n v="32"/>
    <x v="2"/>
    <x v="1"/>
    <x v="2"/>
    <x v="8"/>
    <n v="4"/>
    <n v="11363"/>
    <n v="10"/>
    <n v="4545.2"/>
    <n v="7363.22"/>
    <n v="249"/>
    <n v="48519.02"/>
    <x v="0"/>
    <x v="1"/>
    <s v="Lucknow"/>
    <x v="4"/>
    <x v="1"/>
    <n v="9"/>
    <x v="0"/>
    <n v="2"/>
    <s v="Returned"/>
  </r>
  <r>
    <s v="ORD00296"/>
    <x v="106"/>
    <s v="CUST793"/>
    <s v="Vikas"/>
    <x v="1"/>
    <n v="40"/>
    <x v="2"/>
    <x v="1"/>
    <x v="2"/>
    <x v="8"/>
    <n v="5"/>
    <n v="27019"/>
    <n v="0"/>
    <n v="0"/>
    <n v="24317.1"/>
    <n v="462"/>
    <n v="159874.1"/>
    <x v="1"/>
    <x v="0"/>
    <s v="Delhi"/>
    <x v="5"/>
    <x v="1"/>
    <n v="6"/>
    <x v="1"/>
    <n v="4"/>
    <s v="Returned"/>
  </r>
  <r>
    <s v="ORD00297"/>
    <x v="198"/>
    <s v="CUST890"/>
    <s v="Vikas"/>
    <x v="1"/>
    <n v="22"/>
    <x v="1"/>
    <x v="0"/>
    <x v="1"/>
    <x v="2"/>
    <n v="3"/>
    <n v="20219"/>
    <n v="15"/>
    <n v="9098.5499999999993"/>
    <n v="9280.52"/>
    <n v="212"/>
    <n v="61050.97"/>
    <x v="3"/>
    <x v="1"/>
    <s v="Bangalore"/>
    <x v="3"/>
    <x v="2"/>
    <n v="6"/>
    <x v="0"/>
    <n v="4"/>
    <s v="Shipped"/>
  </r>
  <r>
    <s v="ORD00298"/>
    <x v="110"/>
    <s v="CUST308"/>
    <s v="Anjali"/>
    <x v="1"/>
    <n v="49"/>
    <x v="9"/>
    <x v="0"/>
    <x v="9"/>
    <x v="4"/>
    <n v="4"/>
    <n v="17648"/>
    <n v="20"/>
    <n v="14118.4"/>
    <n v="10165.25"/>
    <n v="6"/>
    <n v="66644.850000000006"/>
    <x v="2"/>
    <x v="1"/>
    <s v="Jaipur"/>
    <x v="2"/>
    <x v="1"/>
    <n v="3"/>
    <x v="1"/>
    <n v="3"/>
    <s v="Shipped"/>
  </r>
  <r>
    <s v="ORD00299"/>
    <x v="35"/>
    <s v="CUST899"/>
    <s v="Amit"/>
    <x v="0"/>
    <n v="54"/>
    <x v="8"/>
    <x v="0"/>
    <x v="8"/>
    <x v="7"/>
    <n v="5"/>
    <n v="2574"/>
    <n v="10"/>
    <n v="1287"/>
    <n v="2084.94"/>
    <n v="263"/>
    <n v="13930.94"/>
    <x v="3"/>
    <x v="1"/>
    <s v="Jaipur"/>
    <x v="2"/>
    <x v="1"/>
    <n v="9"/>
    <x v="0"/>
    <n v="5"/>
    <s v="Shipped"/>
  </r>
  <r>
    <s v="ORD00300"/>
    <x v="199"/>
    <s v="CUST637"/>
    <s v="Riya"/>
    <x v="1"/>
    <n v="51"/>
    <x v="7"/>
    <x v="1"/>
    <x v="7"/>
    <x v="8"/>
    <n v="1"/>
    <n v="41491"/>
    <n v="5"/>
    <n v="2074.5500000000002"/>
    <n v="7094.96"/>
    <n v="267"/>
    <n v="46778.41"/>
    <x v="3"/>
    <x v="0"/>
    <s v="Bangalore"/>
    <x v="3"/>
    <x v="2"/>
    <n v="9"/>
    <x v="1"/>
    <n v="1"/>
    <s v="Shipped"/>
  </r>
  <r>
    <s v="ORD00301"/>
    <x v="25"/>
    <s v="CUST353"/>
    <s v="Vikas"/>
    <x v="0"/>
    <n v="50"/>
    <x v="1"/>
    <x v="0"/>
    <x v="1"/>
    <x v="0"/>
    <n v="1"/>
    <n v="34811"/>
    <n v="0"/>
    <n v="0"/>
    <n v="6265.98"/>
    <n v="256"/>
    <n v="41332.980000000003"/>
    <x v="1"/>
    <x v="0"/>
    <s v="Patiala"/>
    <x v="1"/>
    <x v="1"/>
    <n v="2"/>
    <x v="1"/>
    <n v="2"/>
    <s v="Returned"/>
  </r>
  <r>
    <s v="ORD00302"/>
    <x v="200"/>
    <s v="CUST453"/>
    <s v="Arjun"/>
    <x v="1"/>
    <n v="46"/>
    <x v="0"/>
    <x v="0"/>
    <x v="0"/>
    <x v="5"/>
    <n v="2"/>
    <n v="42244"/>
    <n v="10"/>
    <n v="8448.7999999999993"/>
    <n v="13687.06"/>
    <n v="25"/>
    <n v="89751.26"/>
    <x v="2"/>
    <x v="0"/>
    <s v="Delhi"/>
    <x v="5"/>
    <x v="1"/>
    <n v="8"/>
    <x v="1"/>
    <n v="1"/>
    <s v="Returned"/>
  </r>
  <r>
    <s v="ORD00303"/>
    <x v="186"/>
    <s v="CUST119"/>
    <s v="Anjali"/>
    <x v="1"/>
    <n v="34"/>
    <x v="4"/>
    <x v="0"/>
    <x v="4"/>
    <x v="5"/>
    <n v="3"/>
    <n v="27252"/>
    <n v="20"/>
    <n v="16351.2"/>
    <n v="11772.86"/>
    <n v="470"/>
    <n v="77647.66"/>
    <x v="1"/>
    <x v="0"/>
    <s v="Mumbai"/>
    <x v="0"/>
    <x v="0"/>
    <n v="4"/>
    <x v="1"/>
    <n v="4"/>
    <s v="Cancelled"/>
  </r>
  <r>
    <s v="ORD00304"/>
    <x v="33"/>
    <s v="CUST144"/>
    <s v="Vikas"/>
    <x v="1"/>
    <n v="42"/>
    <x v="6"/>
    <x v="0"/>
    <x v="6"/>
    <x v="5"/>
    <n v="5"/>
    <n v="33762"/>
    <n v="0"/>
    <n v="0"/>
    <n v="30385.8"/>
    <n v="363"/>
    <n v="199558.8"/>
    <x v="0"/>
    <x v="1"/>
    <s v="Mumbai"/>
    <x v="0"/>
    <x v="0"/>
    <n v="9"/>
    <x v="0"/>
    <n v="1"/>
    <s v="Cancelled"/>
  </r>
  <r>
    <s v="ORD00305"/>
    <x v="201"/>
    <s v="CUST457"/>
    <s v="Anjali"/>
    <x v="1"/>
    <n v="42"/>
    <x v="5"/>
    <x v="0"/>
    <x v="5"/>
    <x v="7"/>
    <n v="2"/>
    <n v="22031"/>
    <n v="0"/>
    <n v="0"/>
    <n v="7931.16"/>
    <n v="84"/>
    <n v="52077.16"/>
    <x v="0"/>
    <x v="0"/>
    <s v="Bangalore"/>
    <x v="3"/>
    <x v="2"/>
    <n v="1"/>
    <x v="0"/>
    <n v="4"/>
    <s v="Returned"/>
  </r>
  <r>
    <s v="ORD00306"/>
    <x v="202"/>
    <s v="CUST753"/>
    <s v="Arjun"/>
    <x v="1"/>
    <n v="50"/>
    <x v="2"/>
    <x v="1"/>
    <x v="2"/>
    <x v="7"/>
    <n v="2"/>
    <n v="19288"/>
    <n v="5"/>
    <n v="1928.8"/>
    <n v="6596.5"/>
    <n v="389"/>
    <n v="43632.7"/>
    <x v="1"/>
    <x v="1"/>
    <s v="Lucknow"/>
    <x v="4"/>
    <x v="1"/>
    <n v="1"/>
    <x v="0"/>
    <n v="2"/>
    <s v="Cancelled"/>
  </r>
  <r>
    <s v="ORD00307"/>
    <x v="203"/>
    <s v="CUST705"/>
    <s v="Anjali"/>
    <x v="1"/>
    <n v="41"/>
    <x v="4"/>
    <x v="0"/>
    <x v="4"/>
    <x v="1"/>
    <n v="3"/>
    <n v="4554"/>
    <n v="0"/>
    <n v="0"/>
    <n v="2459.16"/>
    <n v="402"/>
    <n v="16523.16"/>
    <x v="2"/>
    <x v="0"/>
    <s v="Jaipur"/>
    <x v="2"/>
    <x v="1"/>
    <n v="3"/>
    <x v="0"/>
    <n v="3"/>
    <s v="Shipped"/>
  </r>
  <r>
    <s v="ORD00308"/>
    <x v="174"/>
    <s v="CUST989"/>
    <s v="Sneha"/>
    <x v="0"/>
    <n v="40"/>
    <x v="9"/>
    <x v="0"/>
    <x v="9"/>
    <x v="9"/>
    <n v="1"/>
    <n v="15911"/>
    <n v="0"/>
    <n v="0"/>
    <n v="2863.98"/>
    <n v="246"/>
    <n v="19020.98"/>
    <x v="3"/>
    <x v="0"/>
    <s v="Delhi"/>
    <x v="5"/>
    <x v="1"/>
    <n v="7"/>
    <x v="1"/>
    <n v="3"/>
    <s v="Delivered"/>
  </r>
  <r>
    <s v="ORD00309"/>
    <x v="24"/>
    <s v="CUST565"/>
    <s v="Neha"/>
    <x v="0"/>
    <n v="48"/>
    <x v="0"/>
    <x v="0"/>
    <x v="0"/>
    <x v="2"/>
    <n v="4"/>
    <n v="43550"/>
    <n v="10"/>
    <n v="17420"/>
    <n v="28220.400000000001"/>
    <n v="291"/>
    <n v="185291.4"/>
    <x v="2"/>
    <x v="1"/>
    <s v="Delhi"/>
    <x v="5"/>
    <x v="1"/>
    <n v="5"/>
    <x v="0"/>
    <n v="2"/>
    <s v="Delivered"/>
  </r>
  <r>
    <s v="ORD00310"/>
    <x v="143"/>
    <s v="CUST325"/>
    <s v="Priya"/>
    <x v="1"/>
    <n v="60"/>
    <x v="8"/>
    <x v="0"/>
    <x v="8"/>
    <x v="4"/>
    <n v="3"/>
    <n v="22416"/>
    <n v="0"/>
    <n v="0"/>
    <n v="12104.64"/>
    <n v="410"/>
    <n v="79762.64"/>
    <x v="2"/>
    <x v="0"/>
    <s v="Chandigarh"/>
    <x v="1"/>
    <x v="1"/>
    <n v="9"/>
    <x v="1"/>
    <n v="3"/>
    <s v="Returned"/>
  </r>
  <r>
    <s v="ORD00311"/>
    <x v="7"/>
    <s v="CUST742"/>
    <s v="Rahul"/>
    <x v="0"/>
    <n v="23"/>
    <x v="2"/>
    <x v="1"/>
    <x v="2"/>
    <x v="9"/>
    <n v="4"/>
    <n v="29172"/>
    <n v="15"/>
    <n v="17503.2"/>
    <n v="17853.259999999998"/>
    <n v="97"/>
    <n v="117135.06"/>
    <x v="2"/>
    <x v="1"/>
    <s v="Pune"/>
    <x v="0"/>
    <x v="0"/>
    <n v="4"/>
    <x v="1"/>
    <n v="2"/>
    <s v="Shipped"/>
  </r>
  <r>
    <s v="ORD00312"/>
    <x v="9"/>
    <s v="CUST795"/>
    <s v="Amit"/>
    <x v="0"/>
    <n v="35"/>
    <x v="8"/>
    <x v="0"/>
    <x v="8"/>
    <x v="0"/>
    <n v="5"/>
    <n v="44748"/>
    <n v="15"/>
    <n v="33561"/>
    <n v="34232.22"/>
    <n v="34"/>
    <n v="224445.22"/>
    <x v="1"/>
    <x v="1"/>
    <s v="Mumbai"/>
    <x v="0"/>
    <x v="0"/>
    <n v="1"/>
    <x v="0"/>
    <n v="2"/>
    <s v="Shipped"/>
  </r>
  <r>
    <s v="ORD00313"/>
    <x v="204"/>
    <s v="CUST970"/>
    <s v="Anjali"/>
    <x v="1"/>
    <n v="42"/>
    <x v="7"/>
    <x v="1"/>
    <x v="7"/>
    <x v="2"/>
    <n v="5"/>
    <n v="23381"/>
    <n v="5"/>
    <n v="5845.25"/>
    <n v="19990.759999999998"/>
    <n v="214"/>
    <n v="131264.51"/>
    <x v="2"/>
    <x v="0"/>
    <s v="Jaipur"/>
    <x v="2"/>
    <x v="1"/>
    <n v="3"/>
    <x v="1"/>
    <n v="4"/>
    <s v="Cancelled"/>
  </r>
  <r>
    <s v="ORD00314"/>
    <x v="137"/>
    <s v="CUST184"/>
    <s v="Amit"/>
    <x v="0"/>
    <n v="44"/>
    <x v="2"/>
    <x v="1"/>
    <x v="2"/>
    <x v="5"/>
    <n v="3"/>
    <n v="21630"/>
    <n v="15"/>
    <n v="9733.5"/>
    <n v="9928.17"/>
    <n v="379"/>
    <n v="65463.67"/>
    <x v="2"/>
    <x v="1"/>
    <s v="Pune"/>
    <x v="0"/>
    <x v="0"/>
    <n v="3"/>
    <x v="1"/>
    <n v="2"/>
    <s v="Shipped"/>
  </r>
  <r>
    <s v="ORD00315"/>
    <x v="23"/>
    <s v="CUST894"/>
    <s v="Arjun"/>
    <x v="1"/>
    <n v="40"/>
    <x v="5"/>
    <x v="0"/>
    <x v="5"/>
    <x v="9"/>
    <n v="2"/>
    <n v="41791"/>
    <n v="20"/>
    <n v="16716.400000000001"/>
    <n v="12035.81"/>
    <n v="371"/>
    <n v="79272.41"/>
    <x v="1"/>
    <x v="0"/>
    <s v="Chandigarh"/>
    <x v="1"/>
    <x v="1"/>
    <n v="7"/>
    <x v="1"/>
    <n v="2"/>
    <s v="Returned"/>
  </r>
  <r>
    <s v="ORD00316"/>
    <x v="205"/>
    <s v="CUST663"/>
    <s v="Anjali"/>
    <x v="1"/>
    <n v="40"/>
    <x v="5"/>
    <x v="0"/>
    <x v="5"/>
    <x v="8"/>
    <n v="2"/>
    <n v="5799"/>
    <n v="5"/>
    <n v="579.9"/>
    <n v="1983.26"/>
    <n v="221"/>
    <n v="13222.36"/>
    <x v="2"/>
    <x v="0"/>
    <s v="Chandigarh"/>
    <x v="1"/>
    <x v="1"/>
    <n v="5"/>
    <x v="0"/>
    <n v="1"/>
    <s v="Returned"/>
  </r>
  <r>
    <s v="ORD00317"/>
    <x v="47"/>
    <s v="CUST510"/>
    <s v="Priya"/>
    <x v="0"/>
    <n v="26"/>
    <x v="2"/>
    <x v="1"/>
    <x v="2"/>
    <x v="8"/>
    <n v="2"/>
    <n v="23634"/>
    <n v="5"/>
    <n v="2363.4"/>
    <n v="8082.83"/>
    <n v="450"/>
    <n v="53437.43"/>
    <x v="2"/>
    <x v="1"/>
    <s v="Bangalore"/>
    <x v="3"/>
    <x v="2"/>
    <n v="9"/>
    <x v="1"/>
    <n v="2"/>
    <s v="Returned"/>
  </r>
  <r>
    <s v="ORD00318"/>
    <x v="204"/>
    <s v="CUST358"/>
    <s v="Amit"/>
    <x v="1"/>
    <n v="51"/>
    <x v="9"/>
    <x v="0"/>
    <x v="9"/>
    <x v="5"/>
    <n v="3"/>
    <n v="21565"/>
    <n v="15"/>
    <n v="9704.25"/>
    <n v="9898.33"/>
    <n v="46"/>
    <n v="64935.08"/>
    <x v="3"/>
    <x v="0"/>
    <s v="Bangalore"/>
    <x v="3"/>
    <x v="2"/>
    <n v="10"/>
    <x v="0"/>
    <n v="2"/>
    <s v="Delivered"/>
  </r>
  <r>
    <s v="ORD00319"/>
    <x v="104"/>
    <s v="CUST603"/>
    <s v="Anjali"/>
    <x v="0"/>
    <n v="49"/>
    <x v="0"/>
    <x v="0"/>
    <x v="0"/>
    <x v="0"/>
    <n v="5"/>
    <n v="41024"/>
    <n v="20"/>
    <n v="41024"/>
    <n v="29537.279999999999"/>
    <n v="262"/>
    <n v="193895.28"/>
    <x v="0"/>
    <x v="1"/>
    <s v="Bangalore"/>
    <x v="3"/>
    <x v="2"/>
    <n v="5"/>
    <x v="1"/>
    <n v="4"/>
    <s v="Shipped"/>
  </r>
  <r>
    <s v="ORD00320"/>
    <x v="27"/>
    <s v="CUST234"/>
    <s v="Arjun"/>
    <x v="1"/>
    <n v="37"/>
    <x v="8"/>
    <x v="0"/>
    <x v="8"/>
    <x v="0"/>
    <n v="2"/>
    <n v="49704"/>
    <n v="20"/>
    <n v="19881.599999999999"/>
    <n v="14314.75"/>
    <n v="174"/>
    <n v="94015.15"/>
    <x v="1"/>
    <x v="0"/>
    <s v="Bangalore"/>
    <x v="3"/>
    <x v="2"/>
    <n v="8"/>
    <x v="1"/>
    <n v="3"/>
    <s v="Shipped"/>
  </r>
  <r>
    <s v="ORD00321"/>
    <x v="206"/>
    <s v="CUST370"/>
    <s v="Anjali"/>
    <x v="0"/>
    <n v="38"/>
    <x v="4"/>
    <x v="0"/>
    <x v="4"/>
    <x v="7"/>
    <n v="1"/>
    <n v="7179"/>
    <n v="15"/>
    <n v="1076.8499999999999"/>
    <n v="1098.3900000000001"/>
    <n v="459"/>
    <n v="7659.54"/>
    <x v="0"/>
    <x v="0"/>
    <s v="Mumbai"/>
    <x v="0"/>
    <x v="0"/>
    <n v="7"/>
    <x v="0"/>
    <n v="5"/>
    <s v="Shipped"/>
  </r>
  <r>
    <s v="ORD00322"/>
    <x v="207"/>
    <s v="CUST720"/>
    <s v="Priya"/>
    <x v="1"/>
    <n v="55"/>
    <x v="5"/>
    <x v="0"/>
    <x v="5"/>
    <x v="1"/>
    <n v="1"/>
    <n v="48043"/>
    <n v="5"/>
    <n v="2402.15"/>
    <n v="8215.35"/>
    <n v="151"/>
    <n v="54007.199999999997"/>
    <x v="2"/>
    <x v="1"/>
    <s v="Lucknow"/>
    <x v="4"/>
    <x v="1"/>
    <n v="3"/>
    <x v="0"/>
    <n v="3"/>
    <s v="Shipped"/>
  </r>
  <r>
    <s v="ORD00323"/>
    <x v="48"/>
    <s v="CUST508"/>
    <s v="Arjun"/>
    <x v="1"/>
    <n v="49"/>
    <x v="2"/>
    <x v="1"/>
    <x v="2"/>
    <x v="8"/>
    <n v="5"/>
    <n v="49415"/>
    <n v="0"/>
    <n v="0"/>
    <n v="44473.5"/>
    <n v="97"/>
    <n v="291645.5"/>
    <x v="3"/>
    <x v="0"/>
    <s v="Patiala"/>
    <x v="1"/>
    <x v="1"/>
    <n v="3"/>
    <x v="1"/>
    <n v="2"/>
    <s v="Cancelled"/>
  </r>
  <r>
    <s v="ORD00324"/>
    <x v="208"/>
    <s v="CUST943"/>
    <s v="Vikas"/>
    <x v="1"/>
    <n v="34"/>
    <x v="6"/>
    <x v="0"/>
    <x v="6"/>
    <x v="9"/>
    <n v="3"/>
    <n v="19786"/>
    <n v="10"/>
    <n v="5935.8"/>
    <n v="9616"/>
    <n v="78"/>
    <n v="63116.2"/>
    <x v="0"/>
    <x v="0"/>
    <s v="Mumbai"/>
    <x v="0"/>
    <x v="0"/>
    <n v="1"/>
    <x v="0"/>
    <n v="4"/>
    <s v="Delivered"/>
  </r>
  <r>
    <s v="ORD00325"/>
    <x v="12"/>
    <s v="CUST323"/>
    <s v="Karan"/>
    <x v="0"/>
    <n v="26"/>
    <x v="1"/>
    <x v="0"/>
    <x v="1"/>
    <x v="1"/>
    <n v="5"/>
    <n v="30964"/>
    <n v="20"/>
    <n v="30964"/>
    <n v="22294.080000000002"/>
    <n v="420"/>
    <n v="146570.07999999999"/>
    <x v="0"/>
    <x v="0"/>
    <s v="Chandigarh"/>
    <x v="1"/>
    <x v="1"/>
    <n v="7"/>
    <x v="0"/>
    <n v="4"/>
    <s v="Returned"/>
  </r>
  <r>
    <s v="ORD00326"/>
    <x v="193"/>
    <s v="CUST846"/>
    <s v="Karan"/>
    <x v="0"/>
    <n v="58"/>
    <x v="0"/>
    <x v="0"/>
    <x v="0"/>
    <x v="6"/>
    <n v="4"/>
    <n v="49969"/>
    <n v="5"/>
    <n v="9993.7999999999993"/>
    <n v="34178.800000000003"/>
    <n v="218"/>
    <n v="224279"/>
    <x v="3"/>
    <x v="0"/>
    <s v="Pune"/>
    <x v="0"/>
    <x v="0"/>
    <n v="9"/>
    <x v="1"/>
    <n v="1"/>
    <s v="Delivered"/>
  </r>
  <r>
    <s v="ORD00327"/>
    <x v="141"/>
    <s v="CUST186"/>
    <s v="Neha"/>
    <x v="1"/>
    <n v="33"/>
    <x v="7"/>
    <x v="1"/>
    <x v="7"/>
    <x v="0"/>
    <n v="2"/>
    <n v="42028"/>
    <n v="15"/>
    <n v="12608.4"/>
    <n v="12860.57"/>
    <n v="190"/>
    <n v="84498.17"/>
    <x v="2"/>
    <x v="0"/>
    <s v="Chandigarh"/>
    <x v="1"/>
    <x v="1"/>
    <n v="7"/>
    <x v="1"/>
    <n v="2"/>
    <s v="Cancelled"/>
  </r>
  <r>
    <s v="ORD00328"/>
    <x v="114"/>
    <s v="CUST337"/>
    <s v="Rahul"/>
    <x v="0"/>
    <n v="59"/>
    <x v="0"/>
    <x v="0"/>
    <x v="0"/>
    <x v="6"/>
    <n v="3"/>
    <n v="40430"/>
    <n v="20"/>
    <n v="24258"/>
    <n v="17465.759999999998"/>
    <n v="15"/>
    <n v="114512.76"/>
    <x v="0"/>
    <x v="0"/>
    <s v="Bangalore"/>
    <x v="3"/>
    <x v="2"/>
    <n v="6"/>
    <x v="0"/>
    <n v="4"/>
    <s v="Shipped"/>
  </r>
  <r>
    <s v="ORD00329"/>
    <x v="165"/>
    <s v="CUST203"/>
    <s v="Priya"/>
    <x v="0"/>
    <n v="60"/>
    <x v="1"/>
    <x v="0"/>
    <x v="1"/>
    <x v="8"/>
    <n v="5"/>
    <n v="34114"/>
    <n v="0"/>
    <n v="0"/>
    <n v="30702.6"/>
    <n v="3"/>
    <n v="201275.6"/>
    <x v="1"/>
    <x v="1"/>
    <s v="Bangalore"/>
    <x v="3"/>
    <x v="2"/>
    <n v="7"/>
    <x v="1"/>
    <n v="1"/>
    <s v="Returned"/>
  </r>
  <r>
    <s v="ORD00330"/>
    <x v="209"/>
    <s v="CUST372"/>
    <s v="Sneha"/>
    <x v="1"/>
    <n v="20"/>
    <x v="3"/>
    <x v="2"/>
    <x v="3"/>
    <x v="4"/>
    <n v="2"/>
    <n v="23052"/>
    <n v="20"/>
    <n v="9220.7999999999993"/>
    <n v="6638.98"/>
    <n v="141"/>
    <n v="43663.18"/>
    <x v="2"/>
    <x v="0"/>
    <s v="Mumbai"/>
    <x v="0"/>
    <x v="0"/>
    <n v="2"/>
    <x v="0"/>
    <n v="4"/>
    <s v="Delivered"/>
  </r>
  <r>
    <s v="ORD00331"/>
    <x v="116"/>
    <s v="CUST444"/>
    <s v="Neha"/>
    <x v="1"/>
    <n v="30"/>
    <x v="6"/>
    <x v="0"/>
    <x v="6"/>
    <x v="2"/>
    <n v="5"/>
    <n v="26141"/>
    <n v="0"/>
    <n v="0"/>
    <n v="23526.9"/>
    <n v="51"/>
    <n v="154282.9"/>
    <x v="3"/>
    <x v="1"/>
    <s v="Delhi"/>
    <x v="5"/>
    <x v="1"/>
    <n v="10"/>
    <x v="0"/>
    <n v="1"/>
    <s v="Delivered"/>
  </r>
  <r>
    <s v="ORD00332"/>
    <x v="171"/>
    <s v="CUST455"/>
    <s v="Riya"/>
    <x v="1"/>
    <n v="23"/>
    <x v="5"/>
    <x v="0"/>
    <x v="5"/>
    <x v="0"/>
    <n v="3"/>
    <n v="3051"/>
    <n v="15"/>
    <n v="1372.95"/>
    <n v="1400.41"/>
    <n v="107"/>
    <n v="9287.4599999999991"/>
    <x v="1"/>
    <x v="1"/>
    <s v="Lucknow"/>
    <x v="4"/>
    <x v="1"/>
    <n v="7"/>
    <x v="0"/>
    <n v="5"/>
    <s v="Shipped"/>
  </r>
  <r>
    <s v="ORD00333"/>
    <x v="138"/>
    <s v="CUST278"/>
    <s v="Rahul"/>
    <x v="0"/>
    <n v="27"/>
    <x v="6"/>
    <x v="0"/>
    <x v="6"/>
    <x v="0"/>
    <n v="1"/>
    <n v="48655"/>
    <n v="0"/>
    <n v="0"/>
    <n v="8757.9"/>
    <n v="391"/>
    <n v="57803.9"/>
    <x v="3"/>
    <x v="1"/>
    <s v="Patiala"/>
    <x v="1"/>
    <x v="1"/>
    <n v="1"/>
    <x v="0"/>
    <n v="3"/>
    <s v="Cancelled"/>
  </r>
  <r>
    <s v="ORD00334"/>
    <x v="98"/>
    <s v="CUST520"/>
    <s v="Riya"/>
    <x v="0"/>
    <n v="57"/>
    <x v="5"/>
    <x v="0"/>
    <x v="5"/>
    <x v="8"/>
    <n v="4"/>
    <n v="1414"/>
    <n v="20"/>
    <n v="1131.2"/>
    <n v="814.46"/>
    <n v="128"/>
    <n v="5467.26"/>
    <x v="2"/>
    <x v="0"/>
    <s v="Pune"/>
    <x v="0"/>
    <x v="0"/>
    <n v="10"/>
    <x v="0"/>
    <n v="3"/>
    <s v="Returned"/>
  </r>
  <r>
    <s v="ORD00335"/>
    <x v="210"/>
    <s v="CUST678"/>
    <s v="Arjun"/>
    <x v="0"/>
    <n v="53"/>
    <x v="1"/>
    <x v="0"/>
    <x v="1"/>
    <x v="2"/>
    <n v="2"/>
    <n v="48474"/>
    <n v="10"/>
    <n v="9694.7999999999993"/>
    <n v="15705.58"/>
    <n v="419"/>
    <n v="103377.78"/>
    <x v="1"/>
    <x v="1"/>
    <s v="Bangalore"/>
    <x v="3"/>
    <x v="2"/>
    <n v="6"/>
    <x v="1"/>
    <n v="3"/>
    <s v="Delivered"/>
  </r>
  <r>
    <s v="ORD00336"/>
    <x v="211"/>
    <s v="CUST631"/>
    <s v="Sneha"/>
    <x v="0"/>
    <n v="60"/>
    <x v="6"/>
    <x v="0"/>
    <x v="6"/>
    <x v="2"/>
    <n v="2"/>
    <n v="4505"/>
    <n v="15"/>
    <n v="1351.5"/>
    <n v="1378.53"/>
    <n v="135"/>
    <n v="9172.0300000000007"/>
    <x v="1"/>
    <x v="1"/>
    <s v="Chandigarh"/>
    <x v="1"/>
    <x v="1"/>
    <n v="8"/>
    <x v="0"/>
    <n v="1"/>
    <s v="Returned"/>
  </r>
  <r>
    <s v="ORD00337"/>
    <x v="160"/>
    <s v="CUST976"/>
    <s v="Neha"/>
    <x v="1"/>
    <n v="35"/>
    <x v="5"/>
    <x v="0"/>
    <x v="5"/>
    <x v="0"/>
    <n v="2"/>
    <n v="24276"/>
    <n v="0"/>
    <n v="0"/>
    <n v="8739.36"/>
    <n v="242"/>
    <n v="57533.36"/>
    <x v="3"/>
    <x v="0"/>
    <s v="Mumbai"/>
    <x v="0"/>
    <x v="0"/>
    <n v="5"/>
    <x v="1"/>
    <n v="3"/>
    <s v="Shipped"/>
  </r>
  <r>
    <s v="ORD00338"/>
    <x v="58"/>
    <s v="CUST579"/>
    <s v="Karan"/>
    <x v="1"/>
    <n v="60"/>
    <x v="2"/>
    <x v="1"/>
    <x v="2"/>
    <x v="0"/>
    <n v="3"/>
    <n v="2724"/>
    <n v="15"/>
    <n v="1225.8"/>
    <n v="1250.32"/>
    <n v="21"/>
    <n v="8217.52"/>
    <x v="1"/>
    <x v="0"/>
    <s v="Bangalore"/>
    <x v="3"/>
    <x v="2"/>
    <n v="2"/>
    <x v="1"/>
    <n v="2"/>
    <s v="Delivered"/>
  </r>
  <r>
    <s v="ORD00339"/>
    <x v="20"/>
    <s v="CUST712"/>
    <s v="Vikas"/>
    <x v="0"/>
    <n v="36"/>
    <x v="0"/>
    <x v="0"/>
    <x v="0"/>
    <x v="7"/>
    <n v="4"/>
    <n v="37327"/>
    <n v="15"/>
    <n v="22396.2"/>
    <n v="22844.12"/>
    <n v="36"/>
    <n v="149791.92000000001"/>
    <x v="3"/>
    <x v="1"/>
    <s v="Lucknow"/>
    <x v="4"/>
    <x v="1"/>
    <n v="10"/>
    <x v="0"/>
    <n v="4"/>
    <s v="Returned"/>
  </r>
  <r>
    <s v="ORD00340"/>
    <x v="155"/>
    <s v="CUST421"/>
    <s v="Anjali"/>
    <x v="0"/>
    <n v="28"/>
    <x v="5"/>
    <x v="0"/>
    <x v="5"/>
    <x v="6"/>
    <n v="5"/>
    <n v="26465"/>
    <n v="5"/>
    <n v="6616.25"/>
    <n v="22627.58"/>
    <n v="473"/>
    <n v="148809.32999999999"/>
    <x v="0"/>
    <x v="1"/>
    <s v="Mumbai"/>
    <x v="0"/>
    <x v="0"/>
    <n v="1"/>
    <x v="0"/>
    <n v="5"/>
    <s v="Cancelled"/>
  </r>
  <r>
    <s v="ORD00341"/>
    <x v="200"/>
    <s v="CUST272"/>
    <s v="Arjun"/>
    <x v="1"/>
    <n v="37"/>
    <x v="3"/>
    <x v="2"/>
    <x v="3"/>
    <x v="3"/>
    <n v="2"/>
    <n v="27129"/>
    <n v="15"/>
    <n v="8138.7"/>
    <n v="8301.4699999999993"/>
    <n v="47"/>
    <n v="54467.77"/>
    <x v="3"/>
    <x v="0"/>
    <s v="Lucknow"/>
    <x v="4"/>
    <x v="1"/>
    <n v="3"/>
    <x v="0"/>
    <n v="4"/>
    <s v="Cancelled"/>
  </r>
  <r>
    <s v="ORD00342"/>
    <x v="212"/>
    <s v="CUST610"/>
    <s v="Riya"/>
    <x v="1"/>
    <n v="44"/>
    <x v="8"/>
    <x v="0"/>
    <x v="8"/>
    <x v="3"/>
    <n v="2"/>
    <n v="37005"/>
    <n v="0"/>
    <n v="0"/>
    <n v="13321.8"/>
    <n v="458"/>
    <n v="87789.8"/>
    <x v="0"/>
    <x v="0"/>
    <s v="Mumbai"/>
    <x v="0"/>
    <x v="0"/>
    <n v="8"/>
    <x v="1"/>
    <n v="4"/>
    <s v="Returned"/>
  </r>
  <r>
    <s v="ORD00343"/>
    <x v="213"/>
    <s v="CUST455"/>
    <s v="Priya"/>
    <x v="0"/>
    <n v="36"/>
    <x v="0"/>
    <x v="0"/>
    <x v="0"/>
    <x v="4"/>
    <n v="1"/>
    <n v="42523"/>
    <n v="10"/>
    <n v="4252.3"/>
    <n v="6888.73"/>
    <n v="150"/>
    <n v="45309.43"/>
    <x v="0"/>
    <x v="0"/>
    <s v="Jaipur"/>
    <x v="2"/>
    <x v="1"/>
    <n v="9"/>
    <x v="1"/>
    <n v="2"/>
    <s v="Cancelled"/>
  </r>
  <r>
    <s v="ORD00344"/>
    <x v="214"/>
    <s v="CUST221"/>
    <s v="Rahul"/>
    <x v="1"/>
    <n v="45"/>
    <x v="1"/>
    <x v="0"/>
    <x v="1"/>
    <x v="2"/>
    <n v="4"/>
    <n v="20804"/>
    <n v="0"/>
    <n v="0"/>
    <n v="14978.88"/>
    <n v="308"/>
    <n v="98502.88"/>
    <x v="2"/>
    <x v="0"/>
    <s v="Patiala"/>
    <x v="1"/>
    <x v="1"/>
    <n v="4"/>
    <x v="0"/>
    <n v="1"/>
    <s v="Returned"/>
  </r>
  <r>
    <s v="ORD00345"/>
    <x v="215"/>
    <s v="CUST568"/>
    <s v="Sneha"/>
    <x v="1"/>
    <n v="28"/>
    <x v="5"/>
    <x v="0"/>
    <x v="5"/>
    <x v="1"/>
    <n v="1"/>
    <n v="15992"/>
    <n v="5"/>
    <n v="799.6"/>
    <n v="2734.63"/>
    <n v="229"/>
    <n v="18156.03"/>
    <x v="3"/>
    <x v="1"/>
    <s v="Pune"/>
    <x v="0"/>
    <x v="0"/>
    <n v="9"/>
    <x v="0"/>
    <n v="5"/>
    <s v="Cancelled"/>
  </r>
  <r>
    <s v="ORD00346"/>
    <x v="216"/>
    <s v="CUST666"/>
    <s v="Karan"/>
    <x v="1"/>
    <n v="25"/>
    <x v="2"/>
    <x v="1"/>
    <x v="2"/>
    <x v="1"/>
    <n v="5"/>
    <n v="11797"/>
    <n v="0"/>
    <n v="0"/>
    <n v="10617.3"/>
    <n v="45"/>
    <n v="69647.3"/>
    <x v="2"/>
    <x v="1"/>
    <s v="Mumbai"/>
    <x v="0"/>
    <x v="0"/>
    <n v="3"/>
    <x v="0"/>
    <n v="4"/>
    <s v="Delivered"/>
  </r>
  <r>
    <s v="ORD00347"/>
    <x v="217"/>
    <s v="CUST269"/>
    <s v="Riya"/>
    <x v="1"/>
    <n v="27"/>
    <x v="3"/>
    <x v="2"/>
    <x v="3"/>
    <x v="9"/>
    <n v="1"/>
    <n v="46166"/>
    <n v="15"/>
    <n v="6924.9"/>
    <n v="7063.4"/>
    <n v="461"/>
    <n v="46765.5"/>
    <x v="2"/>
    <x v="0"/>
    <s v="Pune"/>
    <x v="0"/>
    <x v="0"/>
    <n v="10"/>
    <x v="1"/>
    <n v="5"/>
    <s v="Returned"/>
  </r>
  <r>
    <s v="ORD00348"/>
    <x v="210"/>
    <s v="CUST911"/>
    <s v="Arjun"/>
    <x v="0"/>
    <n v="37"/>
    <x v="5"/>
    <x v="0"/>
    <x v="5"/>
    <x v="1"/>
    <n v="1"/>
    <n v="36991"/>
    <n v="10"/>
    <n v="3699.1"/>
    <n v="5992.54"/>
    <n v="357"/>
    <n v="39641.440000000002"/>
    <x v="2"/>
    <x v="1"/>
    <s v="Delhi"/>
    <x v="5"/>
    <x v="1"/>
    <n v="1"/>
    <x v="0"/>
    <n v="3"/>
    <s v="Delivered"/>
  </r>
  <r>
    <s v="ORD00349"/>
    <x v="154"/>
    <s v="CUST860"/>
    <s v="Sneha"/>
    <x v="0"/>
    <n v="30"/>
    <x v="2"/>
    <x v="1"/>
    <x v="2"/>
    <x v="8"/>
    <n v="4"/>
    <n v="28780"/>
    <n v="15"/>
    <n v="17268"/>
    <n v="17613.36"/>
    <n v="127"/>
    <n v="115592.36"/>
    <x v="3"/>
    <x v="1"/>
    <s v="Patiala"/>
    <x v="1"/>
    <x v="1"/>
    <n v="6"/>
    <x v="1"/>
    <n v="3"/>
    <s v="Delivered"/>
  </r>
  <r>
    <s v="ORD00350"/>
    <x v="10"/>
    <s v="CUST936"/>
    <s v="Arjun"/>
    <x v="0"/>
    <n v="54"/>
    <x v="6"/>
    <x v="0"/>
    <x v="6"/>
    <x v="4"/>
    <n v="4"/>
    <n v="18388"/>
    <n v="20"/>
    <n v="14710.4"/>
    <n v="10591.49"/>
    <n v="469"/>
    <n v="69902.09"/>
    <x v="3"/>
    <x v="1"/>
    <s v="Mumbai"/>
    <x v="0"/>
    <x v="0"/>
    <n v="4"/>
    <x v="1"/>
    <n v="4"/>
    <s v="Shipped"/>
  </r>
  <r>
    <s v="ORD00351"/>
    <x v="85"/>
    <s v="CUST213"/>
    <s v="Riya"/>
    <x v="1"/>
    <n v="50"/>
    <x v="1"/>
    <x v="0"/>
    <x v="1"/>
    <x v="1"/>
    <n v="4"/>
    <n v="31950"/>
    <n v="0"/>
    <n v="0"/>
    <n v="23004"/>
    <n v="50"/>
    <n v="150854"/>
    <x v="3"/>
    <x v="0"/>
    <s v="Mumbai"/>
    <x v="0"/>
    <x v="0"/>
    <n v="6"/>
    <x v="0"/>
    <n v="4"/>
    <s v="Cancelled"/>
  </r>
  <r>
    <s v="ORD00352"/>
    <x v="218"/>
    <s v="CUST200"/>
    <s v="Riya"/>
    <x v="0"/>
    <n v="38"/>
    <x v="1"/>
    <x v="0"/>
    <x v="1"/>
    <x v="4"/>
    <n v="1"/>
    <n v="35608"/>
    <n v="20"/>
    <n v="7121.6"/>
    <n v="5127.55"/>
    <n v="412"/>
    <n v="34025.949999999997"/>
    <x v="3"/>
    <x v="1"/>
    <s v="Patiala"/>
    <x v="1"/>
    <x v="1"/>
    <n v="10"/>
    <x v="1"/>
    <n v="2"/>
    <s v="Shipped"/>
  </r>
  <r>
    <s v="ORD00353"/>
    <x v="111"/>
    <s v="CUST380"/>
    <s v="Neha"/>
    <x v="0"/>
    <n v="56"/>
    <x v="0"/>
    <x v="0"/>
    <x v="0"/>
    <x v="5"/>
    <n v="5"/>
    <n v="23093"/>
    <n v="0"/>
    <n v="0"/>
    <n v="20783.7"/>
    <n v="59"/>
    <n v="136307.70000000001"/>
    <x v="1"/>
    <x v="1"/>
    <s v="Jaipur"/>
    <x v="2"/>
    <x v="1"/>
    <n v="6"/>
    <x v="0"/>
    <n v="2"/>
    <s v="Cancelled"/>
  </r>
  <r>
    <s v="ORD00354"/>
    <x v="219"/>
    <s v="CUST509"/>
    <s v="Neha"/>
    <x v="1"/>
    <n v="54"/>
    <x v="5"/>
    <x v="0"/>
    <x v="5"/>
    <x v="5"/>
    <n v="4"/>
    <n v="27882"/>
    <n v="10"/>
    <n v="11152.8"/>
    <n v="18067.54"/>
    <n v="288"/>
    <n v="118730.74"/>
    <x v="0"/>
    <x v="1"/>
    <s v="Mumbai"/>
    <x v="0"/>
    <x v="0"/>
    <n v="7"/>
    <x v="1"/>
    <n v="1"/>
    <s v="Returned"/>
  </r>
  <r>
    <s v="ORD00355"/>
    <x v="131"/>
    <s v="CUST408"/>
    <s v="Priya"/>
    <x v="1"/>
    <n v="39"/>
    <x v="8"/>
    <x v="0"/>
    <x v="8"/>
    <x v="8"/>
    <n v="2"/>
    <n v="44930"/>
    <n v="10"/>
    <n v="8986"/>
    <n v="14557.32"/>
    <n v="262"/>
    <n v="95693.32"/>
    <x v="2"/>
    <x v="0"/>
    <s v="Pune"/>
    <x v="0"/>
    <x v="0"/>
    <n v="4"/>
    <x v="0"/>
    <n v="1"/>
    <s v="Shipped"/>
  </r>
  <r>
    <s v="ORD00356"/>
    <x v="220"/>
    <s v="CUST923"/>
    <s v="Neha"/>
    <x v="1"/>
    <n v="51"/>
    <x v="9"/>
    <x v="0"/>
    <x v="9"/>
    <x v="1"/>
    <n v="2"/>
    <n v="32991"/>
    <n v="5"/>
    <n v="3299.1"/>
    <n v="11282.92"/>
    <n v="307"/>
    <n v="74272.820000000007"/>
    <x v="2"/>
    <x v="1"/>
    <s v="Mumbai"/>
    <x v="0"/>
    <x v="0"/>
    <n v="6"/>
    <x v="1"/>
    <n v="4"/>
    <s v="Returned"/>
  </r>
  <r>
    <s v="ORD00357"/>
    <x v="221"/>
    <s v="CUST813"/>
    <s v="Anjali"/>
    <x v="1"/>
    <n v="41"/>
    <x v="1"/>
    <x v="0"/>
    <x v="1"/>
    <x v="3"/>
    <n v="5"/>
    <n v="45961"/>
    <n v="15"/>
    <n v="34470.75"/>
    <n v="35160.17"/>
    <n v="329"/>
    <n v="230823.42"/>
    <x v="2"/>
    <x v="0"/>
    <s v="Bangalore"/>
    <x v="3"/>
    <x v="2"/>
    <n v="10"/>
    <x v="1"/>
    <n v="1"/>
    <s v="Cancelled"/>
  </r>
  <r>
    <s v="ORD00358"/>
    <x v="103"/>
    <s v="CUST792"/>
    <s v="Rahul"/>
    <x v="1"/>
    <n v="35"/>
    <x v="5"/>
    <x v="0"/>
    <x v="5"/>
    <x v="3"/>
    <n v="1"/>
    <n v="31904"/>
    <n v="5"/>
    <n v="1595.2"/>
    <n v="5455.58"/>
    <n v="374"/>
    <n v="36138.379999999997"/>
    <x v="2"/>
    <x v="1"/>
    <s v="Bangalore"/>
    <x v="3"/>
    <x v="2"/>
    <n v="6"/>
    <x v="1"/>
    <n v="3"/>
    <s v="Returned"/>
  </r>
  <r>
    <s v="ORD00359"/>
    <x v="222"/>
    <s v="CUST810"/>
    <s v="Anjali"/>
    <x v="1"/>
    <n v="46"/>
    <x v="8"/>
    <x v="0"/>
    <x v="8"/>
    <x v="7"/>
    <n v="1"/>
    <n v="33120"/>
    <n v="0"/>
    <n v="0"/>
    <n v="5961.6"/>
    <n v="154"/>
    <n v="39235.599999999999"/>
    <x v="3"/>
    <x v="1"/>
    <s v="Bangalore"/>
    <x v="3"/>
    <x v="2"/>
    <n v="2"/>
    <x v="1"/>
    <n v="4"/>
    <s v="Cancelled"/>
  </r>
  <r>
    <s v="ORD00360"/>
    <x v="106"/>
    <s v="CUST364"/>
    <s v="Priya"/>
    <x v="1"/>
    <n v="47"/>
    <x v="1"/>
    <x v="0"/>
    <x v="1"/>
    <x v="4"/>
    <n v="2"/>
    <n v="39261"/>
    <n v="0"/>
    <n v="0"/>
    <n v="14133.96"/>
    <n v="437"/>
    <n v="93092.96"/>
    <x v="2"/>
    <x v="1"/>
    <s v="Bangalore"/>
    <x v="3"/>
    <x v="2"/>
    <n v="8"/>
    <x v="1"/>
    <n v="1"/>
    <s v="Returned"/>
  </r>
  <r>
    <s v="ORD00361"/>
    <x v="144"/>
    <s v="CUST474"/>
    <s v="Amit"/>
    <x v="1"/>
    <n v="56"/>
    <x v="3"/>
    <x v="2"/>
    <x v="3"/>
    <x v="1"/>
    <n v="4"/>
    <n v="20027"/>
    <n v="10"/>
    <n v="8010.8"/>
    <n v="12977.5"/>
    <n v="0"/>
    <n v="85074.7"/>
    <x v="1"/>
    <x v="1"/>
    <s v="Delhi"/>
    <x v="5"/>
    <x v="1"/>
    <n v="1"/>
    <x v="0"/>
    <n v="5"/>
    <s v="Shipped"/>
  </r>
  <r>
    <s v="ORD00362"/>
    <x v="184"/>
    <s v="CUST932"/>
    <s v="Vikas"/>
    <x v="0"/>
    <n v="33"/>
    <x v="9"/>
    <x v="0"/>
    <x v="9"/>
    <x v="3"/>
    <n v="2"/>
    <n v="29124"/>
    <n v="0"/>
    <n v="0"/>
    <n v="10484.64"/>
    <n v="260"/>
    <n v="68992.639999999999"/>
    <x v="0"/>
    <x v="1"/>
    <s v="Delhi"/>
    <x v="5"/>
    <x v="1"/>
    <n v="8"/>
    <x v="0"/>
    <n v="5"/>
    <s v="Cancelled"/>
  </r>
  <r>
    <s v="ORD00363"/>
    <x v="223"/>
    <s v="CUST719"/>
    <s v="Karan"/>
    <x v="0"/>
    <n v="24"/>
    <x v="3"/>
    <x v="2"/>
    <x v="3"/>
    <x v="8"/>
    <n v="3"/>
    <n v="34423"/>
    <n v="10"/>
    <n v="10326.9"/>
    <n v="16729.580000000002"/>
    <n v="223"/>
    <n v="109894.68"/>
    <x v="3"/>
    <x v="0"/>
    <s v="Lucknow"/>
    <x v="4"/>
    <x v="1"/>
    <n v="7"/>
    <x v="1"/>
    <n v="4"/>
    <s v="Shipped"/>
  </r>
  <r>
    <s v="ORD00364"/>
    <x v="171"/>
    <s v="CUST631"/>
    <s v="Anjali"/>
    <x v="1"/>
    <n v="36"/>
    <x v="4"/>
    <x v="0"/>
    <x v="4"/>
    <x v="9"/>
    <n v="4"/>
    <n v="33019"/>
    <n v="20"/>
    <n v="26415.200000000001"/>
    <n v="19018.939999999999"/>
    <n v="47"/>
    <n v="124726.74"/>
    <x v="2"/>
    <x v="1"/>
    <s v="Mumbai"/>
    <x v="0"/>
    <x v="0"/>
    <n v="4"/>
    <x v="0"/>
    <n v="2"/>
    <s v="Shipped"/>
  </r>
  <r>
    <s v="ORD00365"/>
    <x v="224"/>
    <s v="CUST721"/>
    <s v="Anjali"/>
    <x v="1"/>
    <n v="40"/>
    <x v="1"/>
    <x v="0"/>
    <x v="1"/>
    <x v="4"/>
    <n v="3"/>
    <n v="42953"/>
    <n v="5"/>
    <n v="6442.95"/>
    <n v="22034.89"/>
    <n v="312"/>
    <n v="144762.94"/>
    <x v="0"/>
    <x v="1"/>
    <s v="Delhi"/>
    <x v="5"/>
    <x v="1"/>
    <n v="10"/>
    <x v="1"/>
    <n v="1"/>
    <s v="Shipped"/>
  </r>
  <r>
    <s v="ORD00366"/>
    <x v="154"/>
    <s v="CUST980"/>
    <s v="Riya"/>
    <x v="0"/>
    <n v="34"/>
    <x v="7"/>
    <x v="1"/>
    <x v="7"/>
    <x v="0"/>
    <n v="4"/>
    <n v="20988"/>
    <n v="10"/>
    <n v="8395.2000000000007"/>
    <n v="13600.22"/>
    <n v="300"/>
    <n v="89457.02"/>
    <x v="1"/>
    <x v="1"/>
    <s v="Lucknow"/>
    <x v="4"/>
    <x v="1"/>
    <n v="8"/>
    <x v="0"/>
    <n v="3"/>
    <s v="Shipped"/>
  </r>
  <r>
    <s v="ORD00367"/>
    <x v="60"/>
    <s v="CUST713"/>
    <s v="Vikas"/>
    <x v="0"/>
    <n v="40"/>
    <x v="1"/>
    <x v="0"/>
    <x v="1"/>
    <x v="0"/>
    <n v="5"/>
    <n v="29902"/>
    <n v="0"/>
    <n v="0"/>
    <n v="26911.8"/>
    <n v="252"/>
    <n v="176673.8"/>
    <x v="1"/>
    <x v="0"/>
    <s v="Lucknow"/>
    <x v="4"/>
    <x v="1"/>
    <n v="4"/>
    <x v="0"/>
    <n v="2"/>
    <s v="Shipped"/>
  </r>
  <r>
    <s v="ORD00368"/>
    <x v="220"/>
    <s v="CUST227"/>
    <s v="Vikas"/>
    <x v="1"/>
    <n v="35"/>
    <x v="5"/>
    <x v="0"/>
    <x v="5"/>
    <x v="0"/>
    <n v="5"/>
    <n v="8265"/>
    <n v="20"/>
    <n v="8265"/>
    <n v="5950.8"/>
    <n v="487"/>
    <n v="39497.800000000003"/>
    <x v="3"/>
    <x v="1"/>
    <s v="Jaipur"/>
    <x v="2"/>
    <x v="1"/>
    <n v="7"/>
    <x v="1"/>
    <n v="2"/>
    <s v="Delivered"/>
  </r>
  <r>
    <s v="ORD00369"/>
    <x v="214"/>
    <s v="CUST262"/>
    <s v="Rahul"/>
    <x v="0"/>
    <n v="31"/>
    <x v="9"/>
    <x v="0"/>
    <x v="9"/>
    <x v="1"/>
    <n v="1"/>
    <n v="44313"/>
    <n v="10"/>
    <n v="4431.3"/>
    <n v="7178.71"/>
    <n v="103"/>
    <n v="47163.41"/>
    <x v="1"/>
    <x v="0"/>
    <s v="Bangalore"/>
    <x v="3"/>
    <x v="2"/>
    <n v="1"/>
    <x v="1"/>
    <n v="5"/>
    <s v="Shipped"/>
  </r>
  <r>
    <s v="ORD00370"/>
    <x v="58"/>
    <s v="CUST356"/>
    <s v="Karan"/>
    <x v="1"/>
    <n v="35"/>
    <x v="5"/>
    <x v="0"/>
    <x v="5"/>
    <x v="8"/>
    <n v="5"/>
    <n v="30235"/>
    <n v="20"/>
    <n v="30235"/>
    <n v="21769.200000000001"/>
    <n v="120"/>
    <n v="142829.20000000001"/>
    <x v="2"/>
    <x v="0"/>
    <s v="Lucknow"/>
    <x v="4"/>
    <x v="1"/>
    <n v="4"/>
    <x v="0"/>
    <n v="1"/>
    <s v="Cancelled"/>
  </r>
  <r>
    <s v="ORD00371"/>
    <x v="225"/>
    <s v="CUST878"/>
    <s v="Priya"/>
    <x v="1"/>
    <n v="40"/>
    <x v="6"/>
    <x v="0"/>
    <x v="6"/>
    <x v="6"/>
    <n v="1"/>
    <n v="47817"/>
    <n v="20"/>
    <n v="9563.4"/>
    <n v="6885.65"/>
    <n v="434"/>
    <n v="45573.25"/>
    <x v="2"/>
    <x v="0"/>
    <s v="Mumbai"/>
    <x v="0"/>
    <x v="0"/>
    <n v="1"/>
    <x v="0"/>
    <n v="2"/>
    <s v="Delivered"/>
  </r>
  <r>
    <s v="ORD00372"/>
    <x v="125"/>
    <s v="CUST118"/>
    <s v="Riya"/>
    <x v="1"/>
    <n v="18"/>
    <x v="2"/>
    <x v="1"/>
    <x v="2"/>
    <x v="5"/>
    <n v="3"/>
    <n v="3210"/>
    <n v="0"/>
    <n v="0"/>
    <n v="1733.4"/>
    <n v="177"/>
    <n v="11540.4"/>
    <x v="0"/>
    <x v="0"/>
    <s v="Patiala"/>
    <x v="1"/>
    <x v="1"/>
    <n v="7"/>
    <x v="0"/>
    <n v="1"/>
    <s v="Returned"/>
  </r>
  <r>
    <s v="ORD00373"/>
    <x v="226"/>
    <s v="CUST684"/>
    <s v="Karan"/>
    <x v="0"/>
    <n v="37"/>
    <x v="3"/>
    <x v="2"/>
    <x v="3"/>
    <x v="7"/>
    <n v="3"/>
    <n v="9055"/>
    <n v="0"/>
    <n v="0"/>
    <n v="4889.7"/>
    <n v="444"/>
    <n v="32498.7"/>
    <x v="0"/>
    <x v="0"/>
    <s v="Lucknow"/>
    <x v="4"/>
    <x v="1"/>
    <n v="4"/>
    <x v="0"/>
    <n v="2"/>
    <s v="Shipped"/>
  </r>
  <r>
    <s v="ORD00374"/>
    <x v="227"/>
    <s v="CUST840"/>
    <s v="Neha"/>
    <x v="0"/>
    <n v="48"/>
    <x v="9"/>
    <x v="0"/>
    <x v="9"/>
    <x v="7"/>
    <n v="5"/>
    <n v="28376"/>
    <n v="10"/>
    <n v="14188"/>
    <n v="22984.560000000001"/>
    <n v="491"/>
    <n v="151167.56"/>
    <x v="2"/>
    <x v="0"/>
    <s v="Lucknow"/>
    <x v="4"/>
    <x v="1"/>
    <n v="2"/>
    <x v="1"/>
    <n v="4"/>
    <s v="Shipped"/>
  </r>
  <r>
    <s v="ORD00375"/>
    <x v="228"/>
    <s v="CUST350"/>
    <s v="Neha"/>
    <x v="1"/>
    <n v="59"/>
    <x v="3"/>
    <x v="2"/>
    <x v="3"/>
    <x v="7"/>
    <n v="1"/>
    <n v="32505"/>
    <n v="20"/>
    <n v="6501"/>
    <n v="4680.72"/>
    <n v="395"/>
    <n v="31079.72"/>
    <x v="1"/>
    <x v="0"/>
    <s v="Delhi"/>
    <x v="5"/>
    <x v="1"/>
    <n v="3"/>
    <x v="0"/>
    <n v="1"/>
    <s v="Returned"/>
  </r>
  <r>
    <s v="ORD00376"/>
    <x v="229"/>
    <s v="CUST824"/>
    <s v="Priya"/>
    <x v="0"/>
    <n v="37"/>
    <x v="9"/>
    <x v="0"/>
    <x v="9"/>
    <x v="2"/>
    <n v="4"/>
    <n v="38052"/>
    <n v="15"/>
    <n v="22831.200000000001"/>
    <n v="23287.82"/>
    <n v="488"/>
    <n v="153152.62"/>
    <x v="3"/>
    <x v="1"/>
    <s v="Delhi"/>
    <x v="5"/>
    <x v="1"/>
    <n v="7"/>
    <x v="1"/>
    <n v="2"/>
    <s v="Delivered"/>
  </r>
  <r>
    <s v="ORD00377"/>
    <x v="230"/>
    <s v="CUST810"/>
    <s v="Anjali"/>
    <x v="0"/>
    <n v="50"/>
    <x v="6"/>
    <x v="0"/>
    <x v="6"/>
    <x v="9"/>
    <n v="1"/>
    <n v="44961"/>
    <n v="5"/>
    <n v="2248.0500000000002"/>
    <n v="7688.33"/>
    <n v="362"/>
    <n v="50763.28"/>
    <x v="1"/>
    <x v="1"/>
    <s v="Lucknow"/>
    <x v="4"/>
    <x v="1"/>
    <n v="9"/>
    <x v="0"/>
    <n v="3"/>
    <s v="Shipped"/>
  </r>
  <r>
    <s v="ORD00378"/>
    <x v="182"/>
    <s v="CUST423"/>
    <s v="Sneha"/>
    <x v="0"/>
    <n v="30"/>
    <x v="6"/>
    <x v="0"/>
    <x v="6"/>
    <x v="8"/>
    <n v="2"/>
    <n v="33846"/>
    <n v="0"/>
    <n v="0"/>
    <n v="12184.56"/>
    <n v="189"/>
    <n v="80065.56"/>
    <x v="3"/>
    <x v="0"/>
    <s v="Lucknow"/>
    <x v="4"/>
    <x v="1"/>
    <n v="2"/>
    <x v="1"/>
    <n v="3"/>
    <s v="Delivered"/>
  </r>
  <r>
    <s v="ORD00379"/>
    <x v="231"/>
    <s v="CUST911"/>
    <s v="Sneha"/>
    <x v="1"/>
    <n v="43"/>
    <x v="5"/>
    <x v="0"/>
    <x v="5"/>
    <x v="7"/>
    <n v="4"/>
    <n v="10257"/>
    <n v="15"/>
    <n v="6154.2"/>
    <n v="6277.28"/>
    <n v="295"/>
    <n v="41446.080000000002"/>
    <x v="0"/>
    <x v="1"/>
    <s v="Chandigarh"/>
    <x v="1"/>
    <x v="1"/>
    <n v="7"/>
    <x v="0"/>
    <n v="3"/>
    <s v="Returned"/>
  </r>
  <r>
    <s v="ORD00380"/>
    <x v="196"/>
    <s v="CUST362"/>
    <s v="Riya"/>
    <x v="0"/>
    <n v="26"/>
    <x v="9"/>
    <x v="0"/>
    <x v="9"/>
    <x v="2"/>
    <n v="5"/>
    <n v="35399"/>
    <n v="0"/>
    <n v="0"/>
    <n v="31859.1"/>
    <n v="222"/>
    <n v="209076.1"/>
    <x v="1"/>
    <x v="1"/>
    <s v="Bangalore"/>
    <x v="3"/>
    <x v="2"/>
    <n v="2"/>
    <x v="1"/>
    <n v="4"/>
    <s v="Shipped"/>
  </r>
  <r>
    <s v="ORD00381"/>
    <x v="208"/>
    <s v="CUST618"/>
    <s v="Riya"/>
    <x v="0"/>
    <n v="48"/>
    <x v="3"/>
    <x v="2"/>
    <x v="3"/>
    <x v="7"/>
    <n v="3"/>
    <n v="38354"/>
    <n v="5"/>
    <n v="5753.1"/>
    <n v="19675.599999999999"/>
    <n v="229"/>
    <n v="129213.5"/>
    <x v="0"/>
    <x v="0"/>
    <s v="Pune"/>
    <x v="0"/>
    <x v="0"/>
    <n v="3"/>
    <x v="1"/>
    <n v="2"/>
    <s v="Returned"/>
  </r>
  <r>
    <s v="ORD00382"/>
    <x v="232"/>
    <s v="CUST933"/>
    <s v="Rahul"/>
    <x v="0"/>
    <n v="25"/>
    <x v="5"/>
    <x v="0"/>
    <x v="5"/>
    <x v="6"/>
    <n v="3"/>
    <n v="41789"/>
    <n v="10"/>
    <n v="12536.7"/>
    <n v="20309.45"/>
    <n v="460"/>
    <n v="133599.75"/>
    <x v="0"/>
    <x v="1"/>
    <s v="Pune"/>
    <x v="0"/>
    <x v="0"/>
    <n v="1"/>
    <x v="1"/>
    <n v="4"/>
    <s v="Shipped"/>
  </r>
  <r>
    <s v="ORD00383"/>
    <x v="150"/>
    <s v="CUST842"/>
    <s v="Karan"/>
    <x v="1"/>
    <n v="50"/>
    <x v="7"/>
    <x v="1"/>
    <x v="7"/>
    <x v="0"/>
    <n v="5"/>
    <n v="40354"/>
    <n v="15"/>
    <n v="30265.5"/>
    <n v="30870.81"/>
    <n v="5"/>
    <n v="202380.31"/>
    <x v="0"/>
    <x v="0"/>
    <s v="Patiala"/>
    <x v="1"/>
    <x v="1"/>
    <n v="9"/>
    <x v="0"/>
    <n v="5"/>
    <s v="Shipped"/>
  </r>
  <r>
    <s v="ORD00384"/>
    <x v="151"/>
    <s v="CUST823"/>
    <s v="Anjali"/>
    <x v="0"/>
    <n v="57"/>
    <x v="5"/>
    <x v="0"/>
    <x v="5"/>
    <x v="6"/>
    <n v="3"/>
    <n v="44552"/>
    <n v="20"/>
    <n v="26731.200000000001"/>
    <n v="19246.46"/>
    <n v="222"/>
    <n v="126393.26"/>
    <x v="1"/>
    <x v="0"/>
    <s v="Patiala"/>
    <x v="1"/>
    <x v="1"/>
    <n v="2"/>
    <x v="1"/>
    <n v="1"/>
    <s v="Delivered"/>
  </r>
  <r>
    <s v="ORD00385"/>
    <x v="233"/>
    <s v="CUST259"/>
    <s v="Neha"/>
    <x v="1"/>
    <n v="57"/>
    <x v="4"/>
    <x v="0"/>
    <x v="4"/>
    <x v="3"/>
    <n v="4"/>
    <n v="6838"/>
    <n v="5"/>
    <n v="1367.6"/>
    <n v="4677.1899999999996"/>
    <n v="1"/>
    <n v="30662.59"/>
    <x v="2"/>
    <x v="0"/>
    <s v="Delhi"/>
    <x v="5"/>
    <x v="1"/>
    <n v="1"/>
    <x v="0"/>
    <n v="3"/>
    <s v="Shipped"/>
  </r>
  <r>
    <s v="ORD00386"/>
    <x v="205"/>
    <s v="CUST289"/>
    <s v="Anjali"/>
    <x v="0"/>
    <n v="50"/>
    <x v="2"/>
    <x v="1"/>
    <x v="2"/>
    <x v="7"/>
    <n v="5"/>
    <n v="38147"/>
    <n v="15"/>
    <n v="28610.25"/>
    <n v="29182.45"/>
    <n v="184"/>
    <n v="191491.20000000001"/>
    <x v="2"/>
    <x v="0"/>
    <s v="Mumbai"/>
    <x v="0"/>
    <x v="0"/>
    <n v="5"/>
    <x v="1"/>
    <n v="5"/>
    <s v="Shipped"/>
  </r>
  <r>
    <s v="ORD00387"/>
    <x v="234"/>
    <s v="CUST854"/>
    <s v="Vikas"/>
    <x v="1"/>
    <n v="37"/>
    <x v="1"/>
    <x v="0"/>
    <x v="1"/>
    <x v="0"/>
    <n v="4"/>
    <n v="47651"/>
    <n v="5"/>
    <n v="9530.2000000000007"/>
    <n v="32593.279999999999"/>
    <n v="270"/>
    <n v="213937.08"/>
    <x v="0"/>
    <x v="0"/>
    <s v="Bangalore"/>
    <x v="3"/>
    <x v="2"/>
    <n v="10"/>
    <x v="1"/>
    <n v="2"/>
    <s v="Cancelled"/>
  </r>
  <r>
    <s v="ORD00388"/>
    <x v="235"/>
    <s v="CUST913"/>
    <s v="Arjun"/>
    <x v="0"/>
    <n v="51"/>
    <x v="3"/>
    <x v="2"/>
    <x v="3"/>
    <x v="5"/>
    <n v="1"/>
    <n v="35776"/>
    <n v="15"/>
    <n v="5366.4"/>
    <n v="5473.73"/>
    <n v="211"/>
    <n v="36094.33"/>
    <x v="2"/>
    <x v="0"/>
    <s v="Mumbai"/>
    <x v="0"/>
    <x v="0"/>
    <n v="1"/>
    <x v="1"/>
    <n v="2"/>
    <s v="Delivered"/>
  </r>
  <r>
    <s v="ORD00389"/>
    <x v="236"/>
    <s v="CUST779"/>
    <s v="Karan"/>
    <x v="1"/>
    <n v="48"/>
    <x v="9"/>
    <x v="0"/>
    <x v="9"/>
    <x v="1"/>
    <n v="5"/>
    <n v="38786"/>
    <n v="20"/>
    <n v="38786"/>
    <n v="27925.919999999998"/>
    <n v="346"/>
    <n v="183415.92"/>
    <x v="0"/>
    <x v="0"/>
    <s v="Bangalore"/>
    <x v="3"/>
    <x v="2"/>
    <n v="10"/>
    <x v="0"/>
    <n v="2"/>
    <s v="Delivered"/>
  </r>
  <r>
    <s v="ORD00390"/>
    <x v="237"/>
    <s v="CUST986"/>
    <s v="Arjun"/>
    <x v="1"/>
    <n v="39"/>
    <x v="0"/>
    <x v="0"/>
    <x v="0"/>
    <x v="0"/>
    <n v="4"/>
    <n v="44570"/>
    <n v="15"/>
    <n v="26742"/>
    <n v="27276.84"/>
    <n v="441"/>
    <n v="179255.84"/>
    <x v="0"/>
    <x v="0"/>
    <s v="Lucknow"/>
    <x v="4"/>
    <x v="1"/>
    <n v="5"/>
    <x v="1"/>
    <n v="5"/>
    <s v="Returned"/>
  </r>
  <r>
    <s v="ORD00391"/>
    <x v="109"/>
    <s v="CUST595"/>
    <s v="Anjali"/>
    <x v="1"/>
    <n v="27"/>
    <x v="7"/>
    <x v="1"/>
    <x v="7"/>
    <x v="2"/>
    <n v="2"/>
    <n v="17897"/>
    <n v="15"/>
    <n v="5369.1"/>
    <n v="5476.48"/>
    <n v="381"/>
    <n v="36282.379999999997"/>
    <x v="2"/>
    <x v="0"/>
    <s v="Jaipur"/>
    <x v="2"/>
    <x v="1"/>
    <n v="2"/>
    <x v="0"/>
    <n v="3"/>
    <s v="Delivered"/>
  </r>
  <r>
    <s v="ORD00392"/>
    <x v="238"/>
    <s v="CUST238"/>
    <s v="Riya"/>
    <x v="1"/>
    <n v="29"/>
    <x v="7"/>
    <x v="1"/>
    <x v="7"/>
    <x v="9"/>
    <n v="2"/>
    <n v="19659"/>
    <n v="5"/>
    <n v="1965.9"/>
    <n v="6723.38"/>
    <n v="60"/>
    <n v="44135.48"/>
    <x v="2"/>
    <x v="1"/>
    <s v="Chandigarh"/>
    <x v="1"/>
    <x v="1"/>
    <n v="8"/>
    <x v="1"/>
    <n v="2"/>
    <s v="Delivered"/>
  </r>
  <r>
    <s v="ORD00393"/>
    <x v="181"/>
    <s v="CUST677"/>
    <s v="Neha"/>
    <x v="0"/>
    <n v="19"/>
    <x v="1"/>
    <x v="0"/>
    <x v="1"/>
    <x v="9"/>
    <n v="2"/>
    <n v="5458"/>
    <n v="10"/>
    <n v="1091.5999999999999"/>
    <n v="1768.39"/>
    <n v="260"/>
    <n v="11852.79"/>
    <x v="2"/>
    <x v="1"/>
    <s v="Lucknow"/>
    <x v="4"/>
    <x v="1"/>
    <n v="6"/>
    <x v="1"/>
    <n v="1"/>
    <s v="Cancelled"/>
  </r>
  <r>
    <s v="ORD00394"/>
    <x v="239"/>
    <s v="CUST686"/>
    <s v="Amit"/>
    <x v="1"/>
    <n v="39"/>
    <x v="2"/>
    <x v="1"/>
    <x v="2"/>
    <x v="1"/>
    <n v="5"/>
    <n v="11477"/>
    <n v="20"/>
    <n v="11477"/>
    <n v="8263.44"/>
    <n v="383"/>
    <n v="54554.44"/>
    <x v="3"/>
    <x v="0"/>
    <s v="Delhi"/>
    <x v="5"/>
    <x v="1"/>
    <n v="8"/>
    <x v="0"/>
    <n v="1"/>
    <s v="Cancelled"/>
  </r>
  <r>
    <s v="ORD00395"/>
    <x v="240"/>
    <s v="CUST976"/>
    <s v="Sneha"/>
    <x v="1"/>
    <n v="56"/>
    <x v="8"/>
    <x v="0"/>
    <x v="8"/>
    <x v="8"/>
    <n v="5"/>
    <n v="8130"/>
    <n v="0"/>
    <n v="0"/>
    <n v="7317"/>
    <n v="365"/>
    <n v="48332"/>
    <x v="2"/>
    <x v="0"/>
    <s v="Jaipur"/>
    <x v="2"/>
    <x v="1"/>
    <n v="5"/>
    <x v="1"/>
    <n v="2"/>
    <s v="Cancelled"/>
  </r>
  <r>
    <s v="ORD00396"/>
    <x v="228"/>
    <s v="CUST626"/>
    <s v="Karan"/>
    <x v="1"/>
    <n v="45"/>
    <x v="7"/>
    <x v="1"/>
    <x v="7"/>
    <x v="3"/>
    <n v="5"/>
    <n v="49785"/>
    <n v="10"/>
    <n v="24892.5"/>
    <n v="40325.85"/>
    <n v="307"/>
    <n v="264665.34999999998"/>
    <x v="1"/>
    <x v="0"/>
    <s v="Jaipur"/>
    <x v="2"/>
    <x v="1"/>
    <n v="10"/>
    <x v="1"/>
    <n v="1"/>
    <s v="Returned"/>
  </r>
  <r>
    <s v="ORD00397"/>
    <x v="241"/>
    <s v="CUST271"/>
    <s v="Priya"/>
    <x v="1"/>
    <n v="45"/>
    <x v="0"/>
    <x v="0"/>
    <x v="0"/>
    <x v="6"/>
    <n v="1"/>
    <n v="45045"/>
    <n v="10"/>
    <n v="4504.5"/>
    <n v="7297.29"/>
    <n v="227"/>
    <n v="48064.79"/>
    <x v="0"/>
    <x v="1"/>
    <s v="Patiala"/>
    <x v="1"/>
    <x v="1"/>
    <n v="7"/>
    <x v="1"/>
    <n v="4"/>
    <s v="Shipped"/>
  </r>
  <r>
    <s v="ORD00398"/>
    <x v="242"/>
    <s v="CUST254"/>
    <s v="Priya"/>
    <x v="0"/>
    <n v="32"/>
    <x v="3"/>
    <x v="2"/>
    <x v="3"/>
    <x v="2"/>
    <n v="2"/>
    <n v="37886"/>
    <n v="20"/>
    <n v="15154.4"/>
    <n v="10911.17"/>
    <n v="333"/>
    <n v="71861.77"/>
    <x v="2"/>
    <x v="1"/>
    <s v="Delhi"/>
    <x v="5"/>
    <x v="1"/>
    <n v="5"/>
    <x v="1"/>
    <n v="1"/>
    <s v="Delivered"/>
  </r>
  <r>
    <s v="ORD00399"/>
    <x v="243"/>
    <s v="CUST999"/>
    <s v="Priya"/>
    <x v="0"/>
    <n v="41"/>
    <x v="8"/>
    <x v="0"/>
    <x v="8"/>
    <x v="7"/>
    <n v="1"/>
    <n v="10479"/>
    <n v="20"/>
    <n v="2095.8000000000002"/>
    <n v="1508.98"/>
    <n v="259"/>
    <n v="10151.18"/>
    <x v="3"/>
    <x v="0"/>
    <s v="Jaipur"/>
    <x v="2"/>
    <x v="1"/>
    <n v="9"/>
    <x v="0"/>
    <n v="3"/>
    <s v="Returned"/>
  </r>
  <r>
    <s v="ORD00400"/>
    <x v="89"/>
    <s v="CUST317"/>
    <s v="Riya"/>
    <x v="0"/>
    <n v="39"/>
    <x v="3"/>
    <x v="2"/>
    <x v="3"/>
    <x v="2"/>
    <n v="2"/>
    <n v="25677"/>
    <n v="20"/>
    <n v="10270.799999999999"/>
    <n v="7394.98"/>
    <n v="360"/>
    <n v="48838.18"/>
    <x v="1"/>
    <x v="1"/>
    <s v="Mumbai"/>
    <x v="0"/>
    <x v="0"/>
    <n v="4"/>
    <x v="1"/>
    <n v="4"/>
    <s v="Cancelled"/>
  </r>
  <r>
    <s v="ORD00401"/>
    <x v="115"/>
    <s v="CUST465"/>
    <s v="Arjun"/>
    <x v="1"/>
    <n v="45"/>
    <x v="7"/>
    <x v="1"/>
    <x v="7"/>
    <x v="9"/>
    <n v="1"/>
    <n v="38257"/>
    <n v="0"/>
    <n v="0"/>
    <n v="6886.26"/>
    <n v="77"/>
    <n v="45220.26"/>
    <x v="2"/>
    <x v="1"/>
    <s v="Chandigarh"/>
    <x v="1"/>
    <x v="1"/>
    <n v="5"/>
    <x v="0"/>
    <n v="1"/>
    <s v="Shipped"/>
  </r>
  <r>
    <s v="ORD00402"/>
    <x v="244"/>
    <s v="CUST747"/>
    <s v="Riya"/>
    <x v="0"/>
    <n v="18"/>
    <x v="3"/>
    <x v="2"/>
    <x v="3"/>
    <x v="4"/>
    <n v="3"/>
    <n v="42836"/>
    <n v="5"/>
    <n v="6425.4"/>
    <n v="21974.87"/>
    <n v="203"/>
    <n v="144260.47"/>
    <x v="2"/>
    <x v="1"/>
    <s v="Patiala"/>
    <x v="1"/>
    <x v="1"/>
    <n v="8"/>
    <x v="0"/>
    <n v="1"/>
    <s v="Returned"/>
  </r>
  <r>
    <s v="ORD00403"/>
    <x v="181"/>
    <s v="CUST285"/>
    <s v="Amit"/>
    <x v="1"/>
    <n v="33"/>
    <x v="9"/>
    <x v="0"/>
    <x v="9"/>
    <x v="2"/>
    <n v="5"/>
    <n v="6082"/>
    <n v="10"/>
    <n v="3041"/>
    <n v="4926.42"/>
    <n v="451"/>
    <n v="32746.42"/>
    <x v="2"/>
    <x v="1"/>
    <s v="Bangalore"/>
    <x v="3"/>
    <x v="2"/>
    <n v="6"/>
    <x v="0"/>
    <n v="4"/>
    <s v="Cancelled"/>
  </r>
  <r>
    <s v="ORD00404"/>
    <x v="245"/>
    <s v="CUST445"/>
    <s v="Amit"/>
    <x v="0"/>
    <n v="45"/>
    <x v="6"/>
    <x v="0"/>
    <x v="6"/>
    <x v="3"/>
    <n v="1"/>
    <n v="31058"/>
    <n v="20"/>
    <n v="6211.6"/>
    <n v="4472.3500000000004"/>
    <n v="107"/>
    <n v="29425.75"/>
    <x v="0"/>
    <x v="0"/>
    <s v="Pune"/>
    <x v="0"/>
    <x v="0"/>
    <n v="2"/>
    <x v="0"/>
    <n v="1"/>
    <s v="Delivered"/>
  </r>
  <r>
    <s v="ORD00405"/>
    <x v="246"/>
    <s v="CUST598"/>
    <s v="Arjun"/>
    <x v="0"/>
    <n v="20"/>
    <x v="0"/>
    <x v="0"/>
    <x v="0"/>
    <x v="3"/>
    <n v="5"/>
    <n v="23952"/>
    <n v="15"/>
    <n v="17964"/>
    <n v="18323.28"/>
    <n v="235"/>
    <n v="120354.28"/>
    <x v="2"/>
    <x v="0"/>
    <s v="Pune"/>
    <x v="0"/>
    <x v="0"/>
    <n v="8"/>
    <x v="0"/>
    <n v="3"/>
    <s v="Cancelled"/>
  </r>
  <r>
    <s v="ORD00406"/>
    <x v="247"/>
    <s v="CUST304"/>
    <s v="Riya"/>
    <x v="0"/>
    <n v="48"/>
    <x v="1"/>
    <x v="0"/>
    <x v="1"/>
    <x v="7"/>
    <n v="3"/>
    <n v="38091"/>
    <n v="20"/>
    <n v="22854.6"/>
    <n v="16455.310000000001"/>
    <n v="45"/>
    <n v="107918.71"/>
    <x v="1"/>
    <x v="1"/>
    <s v="Patiala"/>
    <x v="1"/>
    <x v="1"/>
    <n v="4"/>
    <x v="0"/>
    <n v="2"/>
    <s v="Shipped"/>
  </r>
  <r>
    <s v="ORD00407"/>
    <x v="33"/>
    <s v="CUST997"/>
    <s v="Neha"/>
    <x v="1"/>
    <n v="52"/>
    <x v="5"/>
    <x v="0"/>
    <x v="5"/>
    <x v="7"/>
    <n v="3"/>
    <n v="26216"/>
    <n v="20"/>
    <n v="15729.6"/>
    <n v="11325.31"/>
    <n v="81"/>
    <n v="74324.710000000006"/>
    <x v="0"/>
    <x v="0"/>
    <s v="Mumbai"/>
    <x v="0"/>
    <x v="0"/>
    <n v="10"/>
    <x v="1"/>
    <n v="2"/>
    <s v="Cancelled"/>
  </r>
  <r>
    <s v="ORD00408"/>
    <x v="171"/>
    <s v="CUST660"/>
    <s v="Rahul"/>
    <x v="0"/>
    <n v="27"/>
    <x v="9"/>
    <x v="0"/>
    <x v="9"/>
    <x v="9"/>
    <n v="1"/>
    <n v="39817"/>
    <n v="0"/>
    <n v="0"/>
    <n v="7167.06"/>
    <n v="338"/>
    <n v="47322.06"/>
    <x v="3"/>
    <x v="0"/>
    <s v="Patiala"/>
    <x v="1"/>
    <x v="1"/>
    <n v="5"/>
    <x v="0"/>
    <n v="2"/>
    <s v="Delivered"/>
  </r>
  <r>
    <s v="ORD00409"/>
    <x v="62"/>
    <s v="CUST881"/>
    <s v="Karan"/>
    <x v="1"/>
    <n v="21"/>
    <x v="8"/>
    <x v="0"/>
    <x v="8"/>
    <x v="9"/>
    <n v="2"/>
    <n v="13948"/>
    <n v="20"/>
    <n v="5579.2"/>
    <n v="4017.02"/>
    <n v="146"/>
    <n v="26479.82"/>
    <x v="2"/>
    <x v="0"/>
    <s v="Mumbai"/>
    <x v="0"/>
    <x v="0"/>
    <n v="2"/>
    <x v="1"/>
    <n v="1"/>
    <s v="Delivered"/>
  </r>
  <r>
    <s v="ORD00410"/>
    <x v="248"/>
    <s v="CUST394"/>
    <s v="Rahul"/>
    <x v="1"/>
    <n v="26"/>
    <x v="3"/>
    <x v="2"/>
    <x v="3"/>
    <x v="9"/>
    <n v="2"/>
    <n v="23299"/>
    <n v="10"/>
    <n v="4659.8"/>
    <n v="7548.88"/>
    <n v="416"/>
    <n v="49903.08"/>
    <x v="0"/>
    <x v="1"/>
    <s v="Bangalore"/>
    <x v="3"/>
    <x v="2"/>
    <n v="1"/>
    <x v="1"/>
    <n v="2"/>
    <s v="Cancelled"/>
  </r>
  <r>
    <s v="ORD00411"/>
    <x v="19"/>
    <s v="CUST749"/>
    <s v="Arjun"/>
    <x v="0"/>
    <n v="32"/>
    <x v="5"/>
    <x v="0"/>
    <x v="5"/>
    <x v="1"/>
    <n v="2"/>
    <n v="32677"/>
    <n v="10"/>
    <n v="6535.4"/>
    <n v="10587.35"/>
    <n v="159"/>
    <n v="69564.95"/>
    <x v="3"/>
    <x v="0"/>
    <s v="Mumbai"/>
    <x v="0"/>
    <x v="0"/>
    <n v="3"/>
    <x v="1"/>
    <n v="4"/>
    <s v="Delivered"/>
  </r>
  <r>
    <s v="ORD00412"/>
    <x v="249"/>
    <s v="CUST950"/>
    <s v="Anjali"/>
    <x v="0"/>
    <n v="21"/>
    <x v="2"/>
    <x v="1"/>
    <x v="2"/>
    <x v="3"/>
    <n v="2"/>
    <n v="31723"/>
    <n v="15"/>
    <n v="9516.9"/>
    <n v="9707.24"/>
    <n v="178"/>
    <n v="63814.34"/>
    <x v="1"/>
    <x v="1"/>
    <s v="Lucknow"/>
    <x v="4"/>
    <x v="1"/>
    <n v="2"/>
    <x v="0"/>
    <n v="2"/>
    <s v="Returned"/>
  </r>
  <r>
    <s v="ORD00413"/>
    <x v="161"/>
    <s v="CUST825"/>
    <s v="Neha"/>
    <x v="1"/>
    <n v="18"/>
    <x v="5"/>
    <x v="0"/>
    <x v="5"/>
    <x v="5"/>
    <n v="3"/>
    <n v="32699"/>
    <n v="15"/>
    <n v="14714.55"/>
    <n v="15008.84"/>
    <n v="232"/>
    <n v="98623.29"/>
    <x v="3"/>
    <x v="0"/>
    <s v="Bangalore"/>
    <x v="3"/>
    <x v="2"/>
    <n v="4"/>
    <x v="0"/>
    <n v="1"/>
    <s v="Shipped"/>
  </r>
  <r>
    <s v="ORD00414"/>
    <x v="250"/>
    <s v="CUST144"/>
    <s v="Sneha"/>
    <x v="1"/>
    <n v="40"/>
    <x v="3"/>
    <x v="2"/>
    <x v="3"/>
    <x v="7"/>
    <n v="5"/>
    <n v="13093"/>
    <n v="15"/>
    <n v="9819.75"/>
    <n v="10016.15"/>
    <n v="119"/>
    <n v="65780.399999999994"/>
    <x v="1"/>
    <x v="0"/>
    <s v="Mumbai"/>
    <x v="0"/>
    <x v="0"/>
    <n v="9"/>
    <x v="1"/>
    <n v="2"/>
    <s v="Returned"/>
  </r>
  <r>
    <s v="ORD00415"/>
    <x v="251"/>
    <s v="CUST282"/>
    <s v="Karan"/>
    <x v="0"/>
    <n v="44"/>
    <x v="9"/>
    <x v="0"/>
    <x v="9"/>
    <x v="3"/>
    <n v="1"/>
    <n v="29058"/>
    <n v="15"/>
    <n v="4358.7"/>
    <n v="4445.87"/>
    <n v="483"/>
    <n v="29628.17"/>
    <x v="0"/>
    <x v="1"/>
    <s v="Patiala"/>
    <x v="1"/>
    <x v="1"/>
    <n v="4"/>
    <x v="1"/>
    <n v="2"/>
    <s v="Cancelled"/>
  </r>
  <r>
    <s v="ORD00416"/>
    <x v="133"/>
    <s v="CUST151"/>
    <s v="Arjun"/>
    <x v="0"/>
    <n v="34"/>
    <x v="5"/>
    <x v="0"/>
    <x v="5"/>
    <x v="6"/>
    <n v="4"/>
    <n v="893"/>
    <n v="15"/>
    <n v="535.79999999999995"/>
    <n v="546.52"/>
    <n v="235"/>
    <n v="3817.72"/>
    <x v="1"/>
    <x v="1"/>
    <s v="Lucknow"/>
    <x v="4"/>
    <x v="1"/>
    <n v="3"/>
    <x v="0"/>
    <n v="5"/>
    <s v="Cancelled"/>
  </r>
  <r>
    <s v="ORD00417"/>
    <x v="252"/>
    <s v="CUST564"/>
    <s v="Karan"/>
    <x v="0"/>
    <n v="43"/>
    <x v="2"/>
    <x v="1"/>
    <x v="2"/>
    <x v="2"/>
    <n v="2"/>
    <n v="30884"/>
    <n v="15"/>
    <n v="9265.2000000000007"/>
    <n v="9450.5"/>
    <n v="377"/>
    <n v="62330.3"/>
    <x v="2"/>
    <x v="0"/>
    <s v="Chandigarh"/>
    <x v="1"/>
    <x v="1"/>
    <n v="4"/>
    <x v="0"/>
    <n v="5"/>
    <s v="Cancelled"/>
  </r>
  <r>
    <s v="ORD00418"/>
    <x v="77"/>
    <s v="CUST776"/>
    <s v="Priya"/>
    <x v="0"/>
    <n v="32"/>
    <x v="6"/>
    <x v="0"/>
    <x v="6"/>
    <x v="5"/>
    <n v="1"/>
    <n v="18649"/>
    <n v="10"/>
    <n v="1864.9"/>
    <n v="3021.14"/>
    <n v="223"/>
    <n v="20028.240000000002"/>
    <x v="0"/>
    <x v="1"/>
    <s v="Delhi"/>
    <x v="5"/>
    <x v="1"/>
    <n v="2"/>
    <x v="1"/>
    <n v="2"/>
    <s v="Cancelled"/>
  </r>
  <r>
    <s v="ORD00419"/>
    <x v="253"/>
    <s v="CUST407"/>
    <s v="Rahul"/>
    <x v="1"/>
    <n v="57"/>
    <x v="0"/>
    <x v="0"/>
    <x v="0"/>
    <x v="4"/>
    <n v="4"/>
    <n v="25831"/>
    <n v="0"/>
    <n v="0"/>
    <n v="18598.32"/>
    <n v="290"/>
    <n v="122212.32"/>
    <x v="2"/>
    <x v="1"/>
    <s v="Pune"/>
    <x v="0"/>
    <x v="0"/>
    <n v="9"/>
    <x v="0"/>
    <n v="5"/>
    <s v="Cancelled"/>
  </r>
  <r>
    <s v="ORD00420"/>
    <x v="179"/>
    <s v="CUST173"/>
    <s v="Riya"/>
    <x v="1"/>
    <n v="22"/>
    <x v="7"/>
    <x v="1"/>
    <x v="7"/>
    <x v="2"/>
    <n v="3"/>
    <n v="5184"/>
    <n v="10"/>
    <n v="1555.2"/>
    <n v="2519.42"/>
    <n v="384"/>
    <n v="16900.22"/>
    <x v="0"/>
    <x v="1"/>
    <s v="Patiala"/>
    <x v="1"/>
    <x v="1"/>
    <n v="10"/>
    <x v="1"/>
    <n v="3"/>
    <s v="Shipped"/>
  </r>
  <r>
    <s v="ORD00421"/>
    <x v="85"/>
    <s v="CUST876"/>
    <s v="Arjun"/>
    <x v="0"/>
    <n v="30"/>
    <x v="2"/>
    <x v="1"/>
    <x v="2"/>
    <x v="5"/>
    <n v="2"/>
    <n v="6464"/>
    <n v="5"/>
    <n v="646.4"/>
    <n v="2210.69"/>
    <n v="494"/>
    <n v="14986.29"/>
    <x v="1"/>
    <x v="1"/>
    <s v="Patiala"/>
    <x v="1"/>
    <x v="1"/>
    <n v="2"/>
    <x v="0"/>
    <n v="1"/>
    <s v="Shipped"/>
  </r>
  <r>
    <s v="ORD00422"/>
    <x v="234"/>
    <s v="CUST814"/>
    <s v="Rahul"/>
    <x v="1"/>
    <n v="19"/>
    <x v="4"/>
    <x v="0"/>
    <x v="4"/>
    <x v="7"/>
    <n v="1"/>
    <n v="41930"/>
    <n v="20"/>
    <n v="8386"/>
    <n v="6037.92"/>
    <n v="39"/>
    <n v="39620.92"/>
    <x v="3"/>
    <x v="1"/>
    <s v="Lucknow"/>
    <x v="4"/>
    <x v="1"/>
    <n v="1"/>
    <x v="0"/>
    <n v="3"/>
    <s v="Cancelled"/>
  </r>
  <r>
    <s v="ORD00423"/>
    <x v="171"/>
    <s v="CUST867"/>
    <s v="Priya"/>
    <x v="0"/>
    <n v="30"/>
    <x v="7"/>
    <x v="1"/>
    <x v="7"/>
    <x v="8"/>
    <n v="2"/>
    <n v="602"/>
    <n v="5"/>
    <n v="60.2"/>
    <n v="205.88"/>
    <n v="330"/>
    <n v="1679.68"/>
    <x v="0"/>
    <x v="1"/>
    <s v="Pune"/>
    <x v="0"/>
    <x v="0"/>
    <n v="4"/>
    <x v="1"/>
    <n v="3"/>
    <s v="Delivered"/>
  </r>
  <r>
    <s v="ORD00424"/>
    <x v="254"/>
    <s v="CUST212"/>
    <s v="Riya"/>
    <x v="0"/>
    <n v="44"/>
    <x v="3"/>
    <x v="2"/>
    <x v="3"/>
    <x v="8"/>
    <n v="4"/>
    <n v="32958"/>
    <n v="15"/>
    <n v="19774.8"/>
    <n v="20170.3"/>
    <n v="359"/>
    <n v="132586.5"/>
    <x v="0"/>
    <x v="1"/>
    <s v="Delhi"/>
    <x v="5"/>
    <x v="1"/>
    <n v="4"/>
    <x v="0"/>
    <n v="3"/>
    <s v="Returned"/>
  </r>
  <r>
    <s v="ORD00425"/>
    <x v="161"/>
    <s v="CUST649"/>
    <s v="Vikas"/>
    <x v="0"/>
    <n v="29"/>
    <x v="0"/>
    <x v="0"/>
    <x v="0"/>
    <x v="0"/>
    <n v="1"/>
    <n v="22795"/>
    <n v="20"/>
    <n v="4559"/>
    <n v="3282.48"/>
    <n v="408"/>
    <n v="21926.48"/>
    <x v="1"/>
    <x v="1"/>
    <s v="Bangalore"/>
    <x v="3"/>
    <x v="2"/>
    <n v="10"/>
    <x v="0"/>
    <n v="1"/>
    <s v="Delivered"/>
  </r>
  <r>
    <s v="ORD00426"/>
    <x v="255"/>
    <s v="CUST119"/>
    <s v="Arjun"/>
    <x v="1"/>
    <n v="34"/>
    <x v="8"/>
    <x v="0"/>
    <x v="8"/>
    <x v="3"/>
    <n v="2"/>
    <n v="44955"/>
    <n v="15"/>
    <n v="13486.5"/>
    <n v="13756.23"/>
    <n v="122"/>
    <n v="90301.73"/>
    <x v="0"/>
    <x v="0"/>
    <s v="Chandigarh"/>
    <x v="1"/>
    <x v="1"/>
    <n v="2"/>
    <x v="0"/>
    <n v="3"/>
    <s v="Delivered"/>
  </r>
  <r>
    <s v="ORD00427"/>
    <x v="256"/>
    <s v="CUST108"/>
    <s v="Sneha"/>
    <x v="0"/>
    <n v="32"/>
    <x v="7"/>
    <x v="1"/>
    <x v="7"/>
    <x v="3"/>
    <n v="3"/>
    <n v="29894"/>
    <n v="5"/>
    <n v="4484.1000000000004"/>
    <n v="15335.62"/>
    <n v="374"/>
    <n v="100907.52"/>
    <x v="1"/>
    <x v="0"/>
    <s v="Pune"/>
    <x v="0"/>
    <x v="0"/>
    <n v="2"/>
    <x v="0"/>
    <n v="4"/>
    <s v="Delivered"/>
  </r>
  <r>
    <s v="ORD00428"/>
    <x v="101"/>
    <s v="CUST739"/>
    <s v="Rahul"/>
    <x v="0"/>
    <n v="53"/>
    <x v="9"/>
    <x v="0"/>
    <x v="9"/>
    <x v="4"/>
    <n v="1"/>
    <n v="18999"/>
    <n v="20"/>
    <n v="3799.8"/>
    <n v="2735.86"/>
    <n v="252"/>
    <n v="18187.060000000001"/>
    <x v="2"/>
    <x v="0"/>
    <s v="Patiala"/>
    <x v="1"/>
    <x v="1"/>
    <n v="1"/>
    <x v="1"/>
    <n v="5"/>
    <s v="Returned"/>
  </r>
  <r>
    <s v="ORD00429"/>
    <x v="58"/>
    <s v="CUST649"/>
    <s v="Rahul"/>
    <x v="0"/>
    <n v="20"/>
    <x v="2"/>
    <x v="1"/>
    <x v="2"/>
    <x v="1"/>
    <n v="2"/>
    <n v="5211"/>
    <n v="10"/>
    <n v="1042.2"/>
    <n v="1688.36"/>
    <n v="185"/>
    <n v="11253.16"/>
    <x v="2"/>
    <x v="1"/>
    <s v="Lucknow"/>
    <x v="4"/>
    <x v="1"/>
    <n v="2"/>
    <x v="0"/>
    <n v="3"/>
    <s v="Shipped"/>
  </r>
  <r>
    <s v="ORD00430"/>
    <x v="106"/>
    <s v="CUST191"/>
    <s v="Neha"/>
    <x v="1"/>
    <n v="26"/>
    <x v="8"/>
    <x v="0"/>
    <x v="8"/>
    <x v="2"/>
    <n v="2"/>
    <n v="35117"/>
    <n v="20"/>
    <n v="14046.8"/>
    <n v="10113.700000000001"/>
    <n v="188"/>
    <n v="66488.899999999994"/>
    <x v="0"/>
    <x v="0"/>
    <s v="Bangalore"/>
    <x v="3"/>
    <x v="2"/>
    <n v="8"/>
    <x v="0"/>
    <n v="5"/>
    <s v="Returned"/>
  </r>
  <r>
    <s v="ORD00431"/>
    <x v="220"/>
    <s v="CUST850"/>
    <s v="Rahul"/>
    <x v="1"/>
    <n v="22"/>
    <x v="0"/>
    <x v="0"/>
    <x v="0"/>
    <x v="5"/>
    <n v="5"/>
    <n v="49331"/>
    <n v="10"/>
    <n v="24665.5"/>
    <n v="39958.11"/>
    <n v="272"/>
    <n v="262219.61"/>
    <x v="1"/>
    <x v="1"/>
    <s v="Delhi"/>
    <x v="5"/>
    <x v="1"/>
    <n v="6"/>
    <x v="0"/>
    <n v="2"/>
    <s v="Delivered"/>
  </r>
  <r>
    <s v="ORD00432"/>
    <x v="193"/>
    <s v="CUST746"/>
    <s v="Priya"/>
    <x v="0"/>
    <n v="22"/>
    <x v="9"/>
    <x v="0"/>
    <x v="9"/>
    <x v="6"/>
    <n v="4"/>
    <n v="41823"/>
    <n v="5"/>
    <n v="8364.6"/>
    <n v="28606.93"/>
    <n v="269"/>
    <n v="187803.33"/>
    <x v="3"/>
    <x v="0"/>
    <s v="Bangalore"/>
    <x v="3"/>
    <x v="2"/>
    <n v="3"/>
    <x v="1"/>
    <n v="5"/>
    <s v="Returned"/>
  </r>
  <r>
    <s v="ORD00433"/>
    <x v="6"/>
    <s v="CUST320"/>
    <s v="Karan"/>
    <x v="1"/>
    <n v="60"/>
    <x v="4"/>
    <x v="0"/>
    <x v="4"/>
    <x v="7"/>
    <n v="2"/>
    <n v="34809"/>
    <n v="15"/>
    <n v="10442.700000000001"/>
    <n v="10651.55"/>
    <n v="154"/>
    <n v="69980.850000000006"/>
    <x v="0"/>
    <x v="1"/>
    <s v="Patiala"/>
    <x v="1"/>
    <x v="1"/>
    <n v="8"/>
    <x v="0"/>
    <n v="5"/>
    <s v="Returned"/>
  </r>
  <r>
    <s v="ORD00434"/>
    <x v="17"/>
    <s v="CUST277"/>
    <s v="Amit"/>
    <x v="0"/>
    <n v="50"/>
    <x v="4"/>
    <x v="0"/>
    <x v="4"/>
    <x v="5"/>
    <n v="3"/>
    <n v="4209"/>
    <n v="10"/>
    <n v="1262.7"/>
    <n v="2045.57"/>
    <n v="362"/>
    <n v="13771.87"/>
    <x v="0"/>
    <x v="0"/>
    <s v="Chandigarh"/>
    <x v="1"/>
    <x v="1"/>
    <n v="9"/>
    <x v="1"/>
    <n v="4"/>
    <s v="Shipped"/>
  </r>
  <r>
    <s v="ORD00435"/>
    <x v="257"/>
    <s v="CUST851"/>
    <s v="Neha"/>
    <x v="1"/>
    <n v="44"/>
    <x v="1"/>
    <x v="0"/>
    <x v="1"/>
    <x v="4"/>
    <n v="1"/>
    <n v="42001"/>
    <n v="5"/>
    <n v="2100.0500000000002"/>
    <n v="7182.17"/>
    <n v="105"/>
    <n v="47188.12"/>
    <x v="0"/>
    <x v="0"/>
    <s v="Bangalore"/>
    <x v="3"/>
    <x v="2"/>
    <n v="2"/>
    <x v="0"/>
    <n v="4"/>
    <s v="Cancelled"/>
  </r>
  <r>
    <s v="ORD00436"/>
    <x v="111"/>
    <s v="CUST914"/>
    <s v="Priya"/>
    <x v="1"/>
    <n v="18"/>
    <x v="6"/>
    <x v="0"/>
    <x v="6"/>
    <x v="1"/>
    <n v="3"/>
    <n v="49226"/>
    <n v="20"/>
    <n v="29535.599999999999"/>
    <n v="21265.63"/>
    <n v="215"/>
    <n v="139623.03"/>
    <x v="2"/>
    <x v="1"/>
    <s v="Chandigarh"/>
    <x v="1"/>
    <x v="1"/>
    <n v="7"/>
    <x v="1"/>
    <n v="5"/>
    <s v="Cancelled"/>
  </r>
  <r>
    <s v="ORD00437"/>
    <x v="258"/>
    <s v="CUST567"/>
    <s v="Amit"/>
    <x v="0"/>
    <n v="21"/>
    <x v="5"/>
    <x v="0"/>
    <x v="5"/>
    <x v="3"/>
    <n v="1"/>
    <n v="5104"/>
    <n v="20"/>
    <n v="1020.8"/>
    <n v="734.98"/>
    <n v="17"/>
    <n v="4835.18"/>
    <x v="0"/>
    <x v="0"/>
    <s v="Chandigarh"/>
    <x v="1"/>
    <x v="1"/>
    <n v="2"/>
    <x v="1"/>
    <n v="5"/>
    <s v="Shipped"/>
  </r>
  <r>
    <s v="ORD00438"/>
    <x v="259"/>
    <s v="CUST550"/>
    <s v="Rahul"/>
    <x v="0"/>
    <n v="38"/>
    <x v="9"/>
    <x v="0"/>
    <x v="9"/>
    <x v="2"/>
    <n v="5"/>
    <n v="27737"/>
    <n v="5"/>
    <n v="6934.25"/>
    <n v="23715.13"/>
    <n v="280"/>
    <n v="155745.89000000001"/>
    <x v="1"/>
    <x v="1"/>
    <s v="Pune"/>
    <x v="0"/>
    <x v="0"/>
    <n v="1"/>
    <x v="1"/>
    <n v="3"/>
    <s v="Delivered"/>
  </r>
  <r>
    <s v="ORD00439"/>
    <x v="260"/>
    <s v="CUST645"/>
    <s v="Priya"/>
    <x v="1"/>
    <n v="31"/>
    <x v="0"/>
    <x v="0"/>
    <x v="0"/>
    <x v="3"/>
    <n v="2"/>
    <n v="2476"/>
    <n v="5"/>
    <n v="247.6"/>
    <n v="846.79"/>
    <n v="332"/>
    <n v="5883.19"/>
    <x v="3"/>
    <x v="0"/>
    <s v="Chandigarh"/>
    <x v="1"/>
    <x v="1"/>
    <n v="10"/>
    <x v="0"/>
    <n v="4"/>
    <s v="Returned"/>
  </r>
  <r>
    <s v="ORD00440"/>
    <x v="209"/>
    <s v="CUST690"/>
    <s v="Vikas"/>
    <x v="1"/>
    <n v="46"/>
    <x v="2"/>
    <x v="1"/>
    <x v="2"/>
    <x v="4"/>
    <n v="5"/>
    <n v="41823"/>
    <n v="10"/>
    <n v="20911.5"/>
    <n v="33876.629999999997"/>
    <n v="228"/>
    <n v="222308.13"/>
    <x v="2"/>
    <x v="0"/>
    <s v="Jaipur"/>
    <x v="2"/>
    <x v="1"/>
    <n v="1"/>
    <x v="0"/>
    <n v="5"/>
    <s v="Cancelled"/>
  </r>
  <r>
    <s v="ORD00441"/>
    <x v="219"/>
    <s v="CUST578"/>
    <s v="Sneha"/>
    <x v="0"/>
    <n v="28"/>
    <x v="0"/>
    <x v="0"/>
    <x v="0"/>
    <x v="6"/>
    <n v="4"/>
    <n v="24006"/>
    <n v="0"/>
    <n v="0"/>
    <n v="17284.32"/>
    <n v="134"/>
    <n v="113442.32"/>
    <x v="1"/>
    <x v="0"/>
    <s v="Pune"/>
    <x v="0"/>
    <x v="0"/>
    <n v="2"/>
    <x v="1"/>
    <n v="5"/>
    <s v="Delivered"/>
  </r>
  <r>
    <s v="ORD00442"/>
    <x v="137"/>
    <s v="CUST272"/>
    <s v="Rahul"/>
    <x v="1"/>
    <n v="44"/>
    <x v="5"/>
    <x v="0"/>
    <x v="5"/>
    <x v="0"/>
    <n v="5"/>
    <n v="23260"/>
    <n v="10"/>
    <n v="11630"/>
    <n v="18840.599999999999"/>
    <n v="403"/>
    <n v="123913.60000000001"/>
    <x v="3"/>
    <x v="0"/>
    <s v="Patiala"/>
    <x v="1"/>
    <x v="1"/>
    <n v="10"/>
    <x v="1"/>
    <n v="2"/>
    <s v="Cancelled"/>
  </r>
  <r>
    <s v="ORD00443"/>
    <x v="160"/>
    <s v="CUST109"/>
    <s v="Neha"/>
    <x v="1"/>
    <n v="36"/>
    <x v="1"/>
    <x v="0"/>
    <x v="1"/>
    <x v="8"/>
    <n v="5"/>
    <n v="3544"/>
    <n v="0"/>
    <n v="0"/>
    <n v="3189.6"/>
    <n v="294"/>
    <n v="21203.599999999999"/>
    <x v="0"/>
    <x v="1"/>
    <s v="Bangalore"/>
    <x v="3"/>
    <x v="2"/>
    <n v="2"/>
    <x v="1"/>
    <n v="1"/>
    <s v="Shipped"/>
  </r>
  <r>
    <s v="ORD00444"/>
    <x v="87"/>
    <s v="CUST435"/>
    <s v="Karan"/>
    <x v="1"/>
    <n v="57"/>
    <x v="4"/>
    <x v="0"/>
    <x v="4"/>
    <x v="7"/>
    <n v="3"/>
    <n v="45381"/>
    <n v="15"/>
    <n v="20421.45"/>
    <n v="20829.88"/>
    <n v="110"/>
    <n v="136661.43"/>
    <x v="2"/>
    <x v="0"/>
    <s v="Lucknow"/>
    <x v="4"/>
    <x v="1"/>
    <n v="6"/>
    <x v="1"/>
    <n v="3"/>
    <s v="Returned"/>
  </r>
  <r>
    <s v="ORD00445"/>
    <x v="220"/>
    <s v="CUST772"/>
    <s v="Rahul"/>
    <x v="0"/>
    <n v="52"/>
    <x v="8"/>
    <x v="0"/>
    <x v="8"/>
    <x v="9"/>
    <n v="1"/>
    <n v="12252"/>
    <n v="5"/>
    <n v="612.6"/>
    <n v="2095.09"/>
    <n v="379"/>
    <n v="14113.49"/>
    <x v="0"/>
    <x v="1"/>
    <s v="Mumbai"/>
    <x v="0"/>
    <x v="0"/>
    <n v="8"/>
    <x v="0"/>
    <n v="1"/>
    <s v="Shipped"/>
  </r>
  <r>
    <s v="ORD00446"/>
    <x v="242"/>
    <s v="CUST456"/>
    <s v="Sneha"/>
    <x v="1"/>
    <n v="47"/>
    <x v="3"/>
    <x v="2"/>
    <x v="3"/>
    <x v="7"/>
    <n v="4"/>
    <n v="30619"/>
    <n v="0"/>
    <n v="0"/>
    <n v="22045.68"/>
    <n v="231"/>
    <n v="144752.68"/>
    <x v="1"/>
    <x v="0"/>
    <s v="Patiala"/>
    <x v="1"/>
    <x v="1"/>
    <n v="4"/>
    <x v="0"/>
    <n v="2"/>
    <s v="Returned"/>
  </r>
  <r>
    <s v="ORD00447"/>
    <x v="174"/>
    <s v="CUST907"/>
    <s v="Neha"/>
    <x v="1"/>
    <n v="20"/>
    <x v="0"/>
    <x v="0"/>
    <x v="0"/>
    <x v="1"/>
    <n v="1"/>
    <n v="23553"/>
    <n v="20"/>
    <n v="4710.6000000000004"/>
    <n v="3391.63"/>
    <n v="243"/>
    <n v="22477.03"/>
    <x v="1"/>
    <x v="0"/>
    <s v="Mumbai"/>
    <x v="0"/>
    <x v="0"/>
    <n v="8"/>
    <x v="1"/>
    <n v="4"/>
    <s v="Shipped"/>
  </r>
  <r>
    <s v="ORD00448"/>
    <x v="9"/>
    <s v="CUST207"/>
    <s v="Karan"/>
    <x v="1"/>
    <n v="52"/>
    <x v="1"/>
    <x v="0"/>
    <x v="1"/>
    <x v="1"/>
    <n v="2"/>
    <n v="6603"/>
    <n v="5"/>
    <n v="660.3"/>
    <n v="2258.23"/>
    <n v="343"/>
    <n v="15146.93"/>
    <x v="1"/>
    <x v="0"/>
    <s v="Pune"/>
    <x v="0"/>
    <x v="0"/>
    <n v="7"/>
    <x v="1"/>
    <n v="3"/>
    <s v="Returned"/>
  </r>
  <r>
    <s v="ORD00449"/>
    <x v="4"/>
    <s v="CUST934"/>
    <s v="Arjun"/>
    <x v="1"/>
    <n v="28"/>
    <x v="3"/>
    <x v="2"/>
    <x v="3"/>
    <x v="1"/>
    <n v="4"/>
    <n v="22851"/>
    <n v="20"/>
    <n v="18280.8"/>
    <n v="13162.18"/>
    <n v="359"/>
    <n v="86644.38"/>
    <x v="1"/>
    <x v="0"/>
    <s v="Bangalore"/>
    <x v="3"/>
    <x v="2"/>
    <n v="7"/>
    <x v="1"/>
    <n v="3"/>
    <s v="Returned"/>
  </r>
  <r>
    <s v="ORD00450"/>
    <x v="76"/>
    <s v="CUST764"/>
    <s v="Rahul"/>
    <x v="0"/>
    <n v="36"/>
    <x v="8"/>
    <x v="0"/>
    <x v="8"/>
    <x v="3"/>
    <n v="1"/>
    <n v="25609"/>
    <n v="5"/>
    <n v="1280.45"/>
    <n v="4379.1400000000003"/>
    <n v="97"/>
    <n v="28804.69"/>
    <x v="2"/>
    <x v="0"/>
    <s v="Patiala"/>
    <x v="1"/>
    <x v="1"/>
    <n v="1"/>
    <x v="0"/>
    <n v="5"/>
    <s v="Returned"/>
  </r>
  <r>
    <s v="ORD00451"/>
    <x v="136"/>
    <s v="CUST804"/>
    <s v="Rahul"/>
    <x v="1"/>
    <n v="39"/>
    <x v="0"/>
    <x v="0"/>
    <x v="0"/>
    <x v="5"/>
    <n v="2"/>
    <n v="14636"/>
    <n v="5"/>
    <n v="1463.6"/>
    <n v="5005.51"/>
    <n v="189"/>
    <n v="33002.910000000003"/>
    <x v="3"/>
    <x v="1"/>
    <s v="Mumbai"/>
    <x v="0"/>
    <x v="0"/>
    <n v="2"/>
    <x v="0"/>
    <n v="4"/>
    <s v="Returned"/>
  </r>
  <r>
    <s v="ORD00452"/>
    <x v="136"/>
    <s v="CUST633"/>
    <s v="Vikas"/>
    <x v="1"/>
    <n v="47"/>
    <x v="1"/>
    <x v="0"/>
    <x v="1"/>
    <x v="2"/>
    <n v="2"/>
    <n v="38206"/>
    <n v="0"/>
    <n v="0"/>
    <n v="13754.16"/>
    <n v="460"/>
    <n v="90626.16"/>
    <x v="0"/>
    <x v="0"/>
    <s v="Delhi"/>
    <x v="5"/>
    <x v="1"/>
    <n v="7"/>
    <x v="0"/>
    <n v="5"/>
    <s v="Returned"/>
  </r>
  <r>
    <s v="ORD00453"/>
    <x v="116"/>
    <s v="CUST838"/>
    <s v="Arjun"/>
    <x v="1"/>
    <n v="52"/>
    <x v="0"/>
    <x v="0"/>
    <x v="0"/>
    <x v="2"/>
    <n v="4"/>
    <n v="16160"/>
    <n v="20"/>
    <n v="12928"/>
    <n v="9308.16"/>
    <n v="422"/>
    <n v="61442.16"/>
    <x v="0"/>
    <x v="1"/>
    <s v="Bangalore"/>
    <x v="3"/>
    <x v="2"/>
    <n v="5"/>
    <x v="0"/>
    <n v="1"/>
    <s v="Cancelled"/>
  </r>
  <r>
    <s v="ORD00454"/>
    <x v="261"/>
    <s v="CUST448"/>
    <s v="Anjali"/>
    <x v="0"/>
    <n v="32"/>
    <x v="9"/>
    <x v="0"/>
    <x v="9"/>
    <x v="7"/>
    <n v="5"/>
    <n v="31197"/>
    <n v="15"/>
    <n v="23397.75"/>
    <n v="23865.7"/>
    <n v="389"/>
    <n v="156841.95000000001"/>
    <x v="0"/>
    <x v="1"/>
    <s v="Lucknow"/>
    <x v="4"/>
    <x v="1"/>
    <n v="6"/>
    <x v="0"/>
    <n v="2"/>
    <s v="Delivered"/>
  </r>
  <r>
    <s v="ORD00455"/>
    <x v="37"/>
    <s v="CUST889"/>
    <s v="Anjali"/>
    <x v="0"/>
    <n v="29"/>
    <x v="0"/>
    <x v="0"/>
    <x v="0"/>
    <x v="2"/>
    <n v="4"/>
    <n v="10812"/>
    <n v="0"/>
    <n v="0"/>
    <n v="7784.64"/>
    <n v="76"/>
    <n v="51108.639999999999"/>
    <x v="0"/>
    <x v="0"/>
    <s v="Delhi"/>
    <x v="5"/>
    <x v="1"/>
    <n v="6"/>
    <x v="1"/>
    <n v="3"/>
    <s v="Cancelled"/>
  </r>
  <r>
    <s v="ORD00456"/>
    <x v="231"/>
    <s v="CUST772"/>
    <s v="Rahul"/>
    <x v="0"/>
    <n v="40"/>
    <x v="9"/>
    <x v="0"/>
    <x v="9"/>
    <x v="9"/>
    <n v="1"/>
    <n v="13238"/>
    <n v="20"/>
    <n v="2647.6"/>
    <n v="1906.27"/>
    <n v="33"/>
    <n v="12529.67"/>
    <x v="0"/>
    <x v="1"/>
    <s v="Bangalore"/>
    <x v="3"/>
    <x v="2"/>
    <n v="7"/>
    <x v="1"/>
    <n v="1"/>
    <s v="Cancelled"/>
  </r>
  <r>
    <s v="ORD00457"/>
    <x v="262"/>
    <s v="CUST174"/>
    <s v="Amit"/>
    <x v="1"/>
    <n v="44"/>
    <x v="6"/>
    <x v="0"/>
    <x v="6"/>
    <x v="3"/>
    <n v="2"/>
    <n v="19330"/>
    <n v="5"/>
    <n v="1933"/>
    <n v="6610.86"/>
    <n v="455"/>
    <n v="43792.86"/>
    <x v="3"/>
    <x v="0"/>
    <s v="Lucknow"/>
    <x v="4"/>
    <x v="1"/>
    <n v="10"/>
    <x v="1"/>
    <n v="3"/>
    <s v="Delivered"/>
  </r>
  <r>
    <s v="ORD00458"/>
    <x v="120"/>
    <s v="CUST208"/>
    <s v="Karan"/>
    <x v="0"/>
    <n v="26"/>
    <x v="4"/>
    <x v="0"/>
    <x v="4"/>
    <x v="1"/>
    <n v="5"/>
    <n v="36209"/>
    <n v="10"/>
    <n v="18104.5"/>
    <n v="29329.29"/>
    <n v="361"/>
    <n v="192630.79"/>
    <x v="1"/>
    <x v="1"/>
    <s v="Jaipur"/>
    <x v="2"/>
    <x v="1"/>
    <n v="3"/>
    <x v="0"/>
    <n v="3"/>
    <s v="Shipped"/>
  </r>
  <r>
    <s v="ORD00459"/>
    <x v="12"/>
    <s v="CUST503"/>
    <s v="Rahul"/>
    <x v="1"/>
    <n v="48"/>
    <x v="2"/>
    <x v="1"/>
    <x v="2"/>
    <x v="4"/>
    <n v="1"/>
    <n v="29971"/>
    <n v="10"/>
    <n v="2997.1"/>
    <n v="4855.3"/>
    <n v="401"/>
    <n v="32230.2"/>
    <x v="3"/>
    <x v="1"/>
    <s v="Mumbai"/>
    <x v="0"/>
    <x v="0"/>
    <n v="3"/>
    <x v="1"/>
    <n v="5"/>
    <s v="Shipped"/>
  </r>
  <r>
    <s v="ORD00460"/>
    <x v="121"/>
    <s v="CUST569"/>
    <s v="Anjali"/>
    <x v="1"/>
    <n v="24"/>
    <x v="9"/>
    <x v="0"/>
    <x v="9"/>
    <x v="3"/>
    <n v="2"/>
    <n v="32711"/>
    <n v="10"/>
    <n v="6542.2"/>
    <n v="10598.36"/>
    <n v="374"/>
    <n v="69852.160000000003"/>
    <x v="2"/>
    <x v="1"/>
    <s v="Lucknow"/>
    <x v="4"/>
    <x v="1"/>
    <n v="9"/>
    <x v="1"/>
    <n v="5"/>
    <s v="Cancelled"/>
  </r>
  <r>
    <s v="ORD00461"/>
    <x v="44"/>
    <s v="CUST359"/>
    <s v="Anjali"/>
    <x v="0"/>
    <n v="38"/>
    <x v="9"/>
    <x v="0"/>
    <x v="9"/>
    <x v="2"/>
    <n v="2"/>
    <n v="8328"/>
    <n v="5"/>
    <n v="832.8"/>
    <n v="2848.18"/>
    <n v="251"/>
    <n v="18922.38"/>
    <x v="0"/>
    <x v="1"/>
    <s v="Bangalore"/>
    <x v="3"/>
    <x v="2"/>
    <n v="3"/>
    <x v="1"/>
    <n v="3"/>
    <s v="Shipped"/>
  </r>
  <r>
    <s v="ORD00462"/>
    <x v="25"/>
    <s v="CUST698"/>
    <s v="Vikas"/>
    <x v="0"/>
    <n v="31"/>
    <x v="6"/>
    <x v="0"/>
    <x v="6"/>
    <x v="9"/>
    <n v="4"/>
    <n v="35256"/>
    <n v="10"/>
    <n v="14102.4"/>
    <n v="22845.89"/>
    <n v="104"/>
    <n v="149871.49"/>
    <x v="3"/>
    <x v="1"/>
    <s v="Patiala"/>
    <x v="1"/>
    <x v="1"/>
    <n v="9"/>
    <x v="1"/>
    <n v="5"/>
    <s v="Returned"/>
  </r>
  <r>
    <s v="ORD00463"/>
    <x v="227"/>
    <s v="CUST957"/>
    <s v="Amit"/>
    <x v="1"/>
    <n v="28"/>
    <x v="0"/>
    <x v="0"/>
    <x v="0"/>
    <x v="3"/>
    <n v="2"/>
    <n v="45154"/>
    <n v="20"/>
    <n v="18061.599999999999"/>
    <n v="13004.35"/>
    <n v="214"/>
    <n v="85464.75"/>
    <x v="3"/>
    <x v="0"/>
    <s v="Mumbai"/>
    <x v="0"/>
    <x v="0"/>
    <n v="6"/>
    <x v="0"/>
    <n v="3"/>
    <s v="Delivered"/>
  </r>
  <r>
    <s v="ORD00464"/>
    <x v="124"/>
    <s v="CUST272"/>
    <s v="Karan"/>
    <x v="0"/>
    <n v="41"/>
    <x v="0"/>
    <x v="0"/>
    <x v="0"/>
    <x v="1"/>
    <n v="4"/>
    <n v="12691"/>
    <n v="5"/>
    <n v="2538.1999999999998"/>
    <n v="8680.64"/>
    <n v="366"/>
    <n v="57272.44"/>
    <x v="1"/>
    <x v="1"/>
    <s v="Bangalore"/>
    <x v="3"/>
    <x v="2"/>
    <n v="3"/>
    <x v="1"/>
    <n v="4"/>
    <s v="Shipped"/>
  </r>
  <r>
    <s v="ORD00465"/>
    <x v="70"/>
    <s v="CUST382"/>
    <s v="Rahul"/>
    <x v="0"/>
    <n v="57"/>
    <x v="2"/>
    <x v="1"/>
    <x v="2"/>
    <x v="8"/>
    <n v="1"/>
    <n v="34542"/>
    <n v="20"/>
    <n v="6908.4"/>
    <n v="4974.05"/>
    <n v="179"/>
    <n v="32786.65"/>
    <x v="3"/>
    <x v="1"/>
    <s v="Jaipur"/>
    <x v="2"/>
    <x v="1"/>
    <n v="8"/>
    <x v="0"/>
    <n v="2"/>
    <s v="Cancelled"/>
  </r>
  <r>
    <s v="ORD00466"/>
    <x v="105"/>
    <s v="CUST391"/>
    <s v="Karan"/>
    <x v="1"/>
    <n v="21"/>
    <x v="9"/>
    <x v="0"/>
    <x v="9"/>
    <x v="4"/>
    <n v="2"/>
    <n v="43091"/>
    <n v="5"/>
    <n v="4309.1000000000004"/>
    <n v="14737.12"/>
    <n v="410"/>
    <n v="97020.02"/>
    <x v="1"/>
    <x v="1"/>
    <s v="Pune"/>
    <x v="0"/>
    <x v="0"/>
    <n v="1"/>
    <x v="1"/>
    <n v="2"/>
    <s v="Shipped"/>
  </r>
  <r>
    <s v="ORD00467"/>
    <x v="208"/>
    <s v="CUST932"/>
    <s v="Rahul"/>
    <x v="0"/>
    <n v="53"/>
    <x v="7"/>
    <x v="1"/>
    <x v="7"/>
    <x v="1"/>
    <n v="4"/>
    <n v="8212"/>
    <n v="5"/>
    <n v="1642.4"/>
    <n v="5617.01"/>
    <n v="456"/>
    <n v="37278.61"/>
    <x v="3"/>
    <x v="0"/>
    <s v="Patiala"/>
    <x v="1"/>
    <x v="1"/>
    <n v="5"/>
    <x v="1"/>
    <n v="2"/>
    <s v="Delivered"/>
  </r>
  <r>
    <s v="ORD00468"/>
    <x v="47"/>
    <s v="CUST150"/>
    <s v="Priya"/>
    <x v="0"/>
    <n v="41"/>
    <x v="7"/>
    <x v="1"/>
    <x v="7"/>
    <x v="0"/>
    <n v="2"/>
    <n v="20842"/>
    <n v="5"/>
    <n v="2084.1999999999998"/>
    <n v="7127.96"/>
    <n v="476"/>
    <n v="47203.76"/>
    <x v="3"/>
    <x v="0"/>
    <s v="Jaipur"/>
    <x v="2"/>
    <x v="1"/>
    <n v="6"/>
    <x v="0"/>
    <n v="5"/>
    <s v="Delivered"/>
  </r>
  <r>
    <s v="ORD00469"/>
    <x v="160"/>
    <s v="CUST330"/>
    <s v="Sneha"/>
    <x v="0"/>
    <n v="24"/>
    <x v="1"/>
    <x v="0"/>
    <x v="1"/>
    <x v="1"/>
    <n v="1"/>
    <n v="47724"/>
    <n v="0"/>
    <n v="0"/>
    <n v="8590.32"/>
    <n v="1"/>
    <n v="56315.32"/>
    <x v="0"/>
    <x v="1"/>
    <s v="Delhi"/>
    <x v="5"/>
    <x v="1"/>
    <n v="9"/>
    <x v="1"/>
    <n v="5"/>
    <s v="Returned"/>
  </r>
  <r>
    <s v="ORD00470"/>
    <x v="263"/>
    <s v="CUST732"/>
    <s v="Rahul"/>
    <x v="0"/>
    <n v="40"/>
    <x v="5"/>
    <x v="0"/>
    <x v="5"/>
    <x v="7"/>
    <n v="4"/>
    <n v="10839"/>
    <n v="0"/>
    <n v="0"/>
    <n v="7804.08"/>
    <n v="263"/>
    <n v="51423.08"/>
    <x v="3"/>
    <x v="1"/>
    <s v="Patiala"/>
    <x v="1"/>
    <x v="1"/>
    <n v="10"/>
    <x v="1"/>
    <n v="2"/>
    <s v="Delivered"/>
  </r>
  <r>
    <s v="ORD00471"/>
    <x v="30"/>
    <s v="CUST155"/>
    <s v="Amit"/>
    <x v="0"/>
    <n v="59"/>
    <x v="0"/>
    <x v="0"/>
    <x v="0"/>
    <x v="3"/>
    <n v="3"/>
    <n v="26534"/>
    <n v="20"/>
    <n v="15920.4"/>
    <n v="11462.69"/>
    <n v="204"/>
    <n v="75348.289999999994"/>
    <x v="1"/>
    <x v="0"/>
    <s v="Patiala"/>
    <x v="1"/>
    <x v="1"/>
    <n v="1"/>
    <x v="0"/>
    <n v="3"/>
    <s v="Shipped"/>
  </r>
  <r>
    <s v="ORD00472"/>
    <x v="264"/>
    <s v="CUST813"/>
    <s v="Amit"/>
    <x v="0"/>
    <n v="30"/>
    <x v="8"/>
    <x v="0"/>
    <x v="8"/>
    <x v="2"/>
    <n v="4"/>
    <n v="31580"/>
    <n v="0"/>
    <n v="0"/>
    <n v="22737.599999999999"/>
    <n v="323"/>
    <n v="149380.6"/>
    <x v="3"/>
    <x v="1"/>
    <s v="Mumbai"/>
    <x v="0"/>
    <x v="0"/>
    <n v="9"/>
    <x v="1"/>
    <n v="4"/>
    <s v="Returned"/>
  </r>
  <r>
    <s v="ORD00473"/>
    <x v="265"/>
    <s v="CUST586"/>
    <s v="Priya"/>
    <x v="1"/>
    <n v="42"/>
    <x v="1"/>
    <x v="0"/>
    <x v="1"/>
    <x v="7"/>
    <n v="2"/>
    <n v="35161"/>
    <n v="15"/>
    <n v="10548.3"/>
    <n v="10759.27"/>
    <n v="349"/>
    <n v="70881.97"/>
    <x v="1"/>
    <x v="1"/>
    <s v="Jaipur"/>
    <x v="2"/>
    <x v="1"/>
    <n v="3"/>
    <x v="0"/>
    <n v="2"/>
    <s v="Cancelled"/>
  </r>
  <r>
    <s v="ORD00474"/>
    <x v="65"/>
    <s v="CUST156"/>
    <s v="Anjali"/>
    <x v="0"/>
    <n v="46"/>
    <x v="8"/>
    <x v="0"/>
    <x v="8"/>
    <x v="4"/>
    <n v="3"/>
    <n v="48636"/>
    <n v="0"/>
    <n v="0"/>
    <n v="26263.439999999999"/>
    <n v="268"/>
    <n v="172439.44"/>
    <x v="2"/>
    <x v="0"/>
    <s v="Pune"/>
    <x v="0"/>
    <x v="0"/>
    <n v="6"/>
    <x v="0"/>
    <n v="3"/>
    <s v="Cancelled"/>
  </r>
  <r>
    <s v="ORD00475"/>
    <x v="237"/>
    <s v="CUST781"/>
    <s v="Anjali"/>
    <x v="1"/>
    <n v="31"/>
    <x v="3"/>
    <x v="2"/>
    <x v="3"/>
    <x v="4"/>
    <n v="2"/>
    <n v="31744"/>
    <n v="20"/>
    <n v="12697.6"/>
    <n v="9142.27"/>
    <n v="209"/>
    <n v="60141.67"/>
    <x v="3"/>
    <x v="0"/>
    <s v="Chandigarh"/>
    <x v="1"/>
    <x v="1"/>
    <n v="7"/>
    <x v="0"/>
    <n v="5"/>
    <s v="Shipped"/>
  </r>
  <r>
    <s v="ORD00476"/>
    <x v="221"/>
    <s v="CUST381"/>
    <s v="Priya"/>
    <x v="1"/>
    <n v="32"/>
    <x v="0"/>
    <x v="0"/>
    <x v="0"/>
    <x v="5"/>
    <n v="4"/>
    <n v="31822"/>
    <n v="0"/>
    <n v="0"/>
    <n v="22911.84"/>
    <n v="60"/>
    <n v="150259.84"/>
    <x v="1"/>
    <x v="1"/>
    <s v="Lucknow"/>
    <x v="4"/>
    <x v="1"/>
    <n v="1"/>
    <x v="0"/>
    <n v="3"/>
    <s v="Returned"/>
  </r>
  <r>
    <s v="ORD00477"/>
    <x v="10"/>
    <s v="CUST124"/>
    <s v="Riya"/>
    <x v="0"/>
    <n v="33"/>
    <x v="7"/>
    <x v="1"/>
    <x v="7"/>
    <x v="1"/>
    <n v="4"/>
    <n v="2368"/>
    <n v="20"/>
    <n v="1894.4"/>
    <n v="1363.97"/>
    <n v="373"/>
    <n v="9314.57"/>
    <x v="1"/>
    <x v="0"/>
    <s v="Jaipur"/>
    <x v="2"/>
    <x v="1"/>
    <n v="6"/>
    <x v="1"/>
    <n v="1"/>
    <s v="Returned"/>
  </r>
  <r>
    <s v="ORD00478"/>
    <x v="266"/>
    <s v="CUST363"/>
    <s v="Priya"/>
    <x v="0"/>
    <n v="20"/>
    <x v="7"/>
    <x v="1"/>
    <x v="7"/>
    <x v="0"/>
    <n v="5"/>
    <n v="48760"/>
    <n v="5"/>
    <n v="12190"/>
    <n v="41689.800000000003"/>
    <n v="420"/>
    <n v="273719.8"/>
    <x v="0"/>
    <x v="0"/>
    <s v="Lucknow"/>
    <x v="4"/>
    <x v="1"/>
    <n v="7"/>
    <x v="1"/>
    <n v="4"/>
    <s v="Returned"/>
  </r>
  <r>
    <s v="ORD00479"/>
    <x v="70"/>
    <s v="CUST349"/>
    <s v="Amit"/>
    <x v="1"/>
    <n v="38"/>
    <x v="0"/>
    <x v="0"/>
    <x v="0"/>
    <x v="2"/>
    <n v="5"/>
    <n v="39991"/>
    <n v="10"/>
    <n v="19995.5"/>
    <n v="32392.71"/>
    <n v="310"/>
    <n v="212662.21"/>
    <x v="0"/>
    <x v="0"/>
    <s v="Pune"/>
    <x v="0"/>
    <x v="0"/>
    <n v="8"/>
    <x v="0"/>
    <n v="5"/>
    <s v="Returned"/>
  </r>
  <r>
    <s v="ORD00480"/>
    <x v="60"/>
    <s v="CUST970"/>
    <s v="Vikas"/>
    <x v="1"/>
    <n v="53"/>
    <x v="5"/>
    <x v="0"/>
    <x v="5"/>
    <x v="6"/>
    <n v="1"/>
    <n v="47402"/>
    <n v="5"/>
    <n v="2370.1"/>
    <n v="8105.74"/>
    <n v="192"/>
    <n v="53329.64"/>
    <x v="2"/>
    <x v="1"/>
    <s v="Chandigarh"/>
    <x v="1"/>
    <x v="1"/>
    <n v="5"/>
    <x v="0"/>
    <n v="2"/>
    <s v="Cancelled"/>
  </r>
  <r>
    <s v="ORD00481"/>
    <x v="65"/>
    <s v="CUST614"/>
    <s v="Priya"/>
    <x v="1"/>
    <n v="34"/>
    <x v="6"/>
    <x v="0"/>
    <x v="6"/>
    <x v="8"/>
    <n v="3"/>
    <n v="42924"/>
    <n v="20"/>
    <n v="25754.400000000001"/>
    <n v="18543.169999999998"/>
    <n v="373"/>
    <n v="121933.77"/>
    <x v="2"/>
    <x v="0"/>
    <s v="Patiala"/>
    <x v="1"/>
    <x v="1"/>
    <n v="2"/>
    <x v="1"/>
    <n v="4"/>
    <s v="Shipped"/>
  </r>
  <r>
    <s v="ORD00482"/>
    <x v="267"/>
    <s v="CUST239"/>
    <s v="Anjali"/>
    <x v="1"/>
    <n v="29"/>
    <x v="1"/>
    <x v="0"/>
    <x v="1"/>
    <x v="2"/>
    <n v="2"/>
    <n v="43493"/>
    <n v="5"/>
    <n v="4349.3"/>
    <n v="14874.61"/>
    <n v="499"/>
    <n v="98010.31"/>
    <x v="3"/>
    <x v="1"/>
    <s v="Mumbai"/>
    <x v="0"/>
    <x v="0"/>
    <n v="10"/>
    <x v="1"/>
    <n v="4"/>
    <s v="Delivered"/>
  </r>
  <r>
    <s v="ORD00483"/>
    <x v="49"/>
    <s v="CUST477"/>
    <s v="Neha"/>
    <x v="0"/>
    <n v="52"/>
    <x v="7"/>
    <x v="1"/>
    <x v="7"/>
    <x v="4"/>
    <n v="1"/>
    <n v="23370"/>
    <n v="0"/>
    <n v="0"/>
    <n v="4206.6000000000004"/>
    <n v="413"/>
    <n v="27989.599999999999"/>
    <x v="3"/>
    <x v="1"/>
    <s v="Bangalore"/>
    <x v="3"/>
    <x v="2"/>
    <n v="6"/>
    <x v="0"/>
    <n v="4"/>
    <s v="Returned"/>
  </r>
  <r>
    <s v="ORD00484"/>
    <x v="173"/>
    <s v="CUST128"/>
    <s v="Neha"/>
    <x v="1"/>
    <n v="58"/>
    <x v="0"/>
    <x v="0"/>
    <x v="0"/>
    <x v="1"/>
    <n v="3"/>
    <n v="47124"/>
    <n v="10"/>
    <n v="14137.2"/>
    <n v="22902.26"/>
    <n v="40"/>
    <n v="150177.06"/>
    <x v="2"/>
    <x v="1"/>
    <s v="Delhi"/>
    <x v="5"/>
    <x v="1"/>
    <n v="4"/>
    <x v="0"/>
    <n v="3"/>
    <s v="Shipped"/>
  </r>
  <r>
    <s v="ORD00485"/>
    <x v="268"/>
    <s v="CUST113"/>
    <s v="Karan"/>
    <x v="0"/>
    <n v="30"/>
    <x v="9"/>
    <x v="0"/>
    <x v="9"/>
    <x v="9"/>
    <n v="1"/>
    <n v="27733"/>
    <n v="5"/>
    <n v="1386.65"/>
    <n v="4742.34"/>
    <n v="481"/>
    <n v="31569.69"/>
    <x v="3"/>
    <x v="0"/>
    <s v="Pune"/>
    <x v="0"/>
    <x v="0"/>
    <n v="8"/>
    <x v="0"/>
    <n v="3"/>
    <s v="Delivered"/>
  </r>
  <r>
    <s v="ORD00486"/>
    <x v="38"/>
    <s v="CUST364"/>
    <s v="Neha"/>
    <x v="0"/>
    <n v="26"/>
    <x v="4"/>
    <x v="0"/>
    <x v="4"/>
    <x v="9"/>
    <n v="1"/>
    <n v="16619"/>
    <n v="5"/>
    <n v="830.95"/>
    <n v="2841.85"/>
    <n v="416"/>
    <n v="19045.900000000001"/>
    <x v="2"/>
    <x v="0"/>
    <s v="Bangalore"/>
    <x v="3"/>
    <x v="2"/>
    <n v="4"/>
    <x v="0"/>
    <n v="1"/>
    <s v="Returned"/>
  </r>
  <r>
    <s v="ORD00487"/>
    <x v="118"/>
    <s v="CUST930"/>
    <s v="Rahul"/>
    <x v="1"/>
    <n v="39"/>
    <x v="7"/>
    <x v="1"/>
    <x v="7"/>
    <x v="6"/>
    <n v="3"/>
    <n v="16882"/>
    <n v="10"/>
    <n v="5064.6000000000004"/>
    <n v="8204.65"/>
    <n v="146"/>
    <n v="53932.05"/>
    <x v="0"/>
    <x v="1"/>
    <s v="Delhi"/>
    <x v="5"/>
    <x v="1"/>
    <n v="2"/>
    <x v="0"/>
    <n v="5"/>
    <s v="Shipped"/>
  </r>
  <r>
    <s v="ORD00488"/>
    <x v="6"/>
    <s v="CUST494"/>
    <s v="Amit"/>
    <x v="0"/>
    <n v="52"/>
    <x v="4"/>
    <x v="0"/>
    <x v="4"/>
    <x v="7"/>
    <n v="3"/>
    <n v="42848"/>
    <n v="15"/>
    <n v="19281.599999999999"/>
    <n v="19667.23"/>
    <n v="22"/>
    <n v="128951.63"/>
    <x v="2"/>
    <x v="0"/>
    <s v="Patiala"/>
    <x v="1"/>
    <x v="1"/>
    <n v="3"/>
    <x v="0"/>
    <n v="2"/>
    <s v="Returned"/>
  </r>
  <r>
    <s v="ORD00489"/>
    <x v="51"/>
    <s v="CUST202"/>
    <s v="Sneha"/>
    <x v="1"/>
    <n v="25"/>
    <x v="3"/>
    <x v="2"/>
    <x v="3"/>
    <x v="2"/>
    <n v="3"/>
    <n v="17988"/>
    <n v="10"/>
    <n v="5396.4"/>
    <n v="8742.17"/>
    <n v="462"/>
    <n v="57771.77"/>
    <x v="3"/>
    <x v="0"/>
    <s v="Jaipur"/>
    <x v="2"/>
    <x v="1"/>
    <n v="10"/>
    <x v="0"/>
    <n v="2"/>
    <s v="Shipped"/>
  </r>
  <r>
    <s v="ORD00490"/>
    <x v="32"/>
    <s v="CUST228"/>
    <s v="Vikas"/>
    <x v="1"/>
    <n v="51"/>
    <x v="7"/>
    <x v="1"/>
    <x v="7"/>
    <x v="5"/>
    <n v="4"/>
    <n v="20757"/>
    <n v="0"/>
    <n v="0"/>
    <n v="14945.04"/>
    <n v="65"/>
    <n v="98038.04"/>
    <x v="2"/>
    <x v="0"/>
    <s v="Patiala"/>
    <x v="1"/>
    <x v="1"/>
    <n v="6"/>
    <x v="1"/>
    <n v="4"/>
    <s v="Cancelled"/>
  </r>
  <r>
    <s v="ORD00491"/>
    <x v="137"/>
    <s v="CUST636"/>
    <s v="Arjun"/>
    <x v="1"/>
    <n v="54"/>
    <x v="8"/>
    <x v="0"/>
    <x v="8"/>
    <x v="4"/>
    <n v="2"/>
    <n v="36202"/>
    <n v="10"/>
    <n v="7240.4"/>
    <n v="11729.45"/>
    <n v="49"/>
    <n v="76942.05"/>
    <x v="2"/>
    <x v="1"/>
    <s v="Delhi"/>
    <x v="5"/>
    <x v="1"/>
    <n v="10"/>
    <x v="1"/>
    <n v="3"/>
    <s v="Cancelled"/>
  </r>
  <r>
    <s v="ORD00492"/>
    <x v="269"/>
    <s v="CUST362"/>
    <s v="Amit"/>
    <x v="1"/>
    <n v="55"/>
    <x v="5"/>
    <x v="0"/>
    <x v="5"/>
    <x v="2"/>
    <n v="5"/>
    <n v="8252"/>
    <n v="20"/>
    <n v="8252"/>
    <n v="5941.44"/>
    <n v="389"/>
    <n v="39338.44"/>
    <x v="2"/>
    <x v="0"/>
    <s v="Pune"/>
    <x v="0"/>
    <x v="0"/>
    <n v="5"/>
    <x v="1"/>
    <n v="3"/>
    <s v="Shipped"/>
  </r>
  <r>
    <s v="ORD00493"/>
    <x v="40"/>
    <s v="CUST228"/>
    <s v="Amit"/>
    <x v="0"/>
    <n v="50"/>
    <x v="3"/>
    <x v="2"/>
    <x v="3"/>
    <x v="2"/>
    <n v="1"/>
    <n v="49467"/>
    <n v="20"/>
    <n v="9893.4"/>
    <n v="7123.25"/>
    <n v="217"/>
    <n v="46913.85"/>
    <x v="2"/>
    <x v="1"/>
    <s v="Bangalore"/>
    <x v="3"/>
    <x v="2"/>
    <n v="5"/>
    <x v="0"/>
    <n v="3"/>
    <s v="Cancelled"/>
  </r>
  <r>
    <s v="ORD00494"/>
    <x v="115"/>
    <s v="CUST395"/>
    <s v="Neha"/>
    <x v="0"/>
    <n v="55"/>
    <x v="2"/>
    <x v="1"/>
    <x v="2"/>
    <x v="5"/>
    <n v="4"/>
    <n v="21774"/>
    <n v="20"/>
    <n v="17419.2"/>
    <n v="12541.82"/>
    <n v="11"/>
    <n v="82229.62"/>
    <x v="2"/>
    <x v="1"/>
    <s v="Lucknow"/>
    <x v="4"/>
    <x v="1"/>
    <n v="5"/>
    <x v="1"/>
    <n v="1"/>
    <s v="Shipped"/>
  </r>
  <r>
    <s v="ORD00495"/>
    <x v="148"/>
    <s v="CUST540"/>
    <s v="Amit"/>
    <x v="1"/>
    <n v="54"/>
    <x v="4"/>
    <x v="0"/>
    <x v="4"/>
    <x v="6"/>
    <n v="4"/>
    <n v="47507"/>
    <n v="5"/>
    <n v="9501.4"/>
    <n v="32494.79"/>
    <n v="181"/>
    <n v="213202.39"/>
    <x v="0"/>
    <x v="1"/>
    <s v="Lucknow"/>
    <x v="4"/>
    <x v="1"/>
    <n v="7"/>
    <x v="1"/>
    <n v="2"/>
    <s v="Shipped"/>
  </r>
  <r>
    <s v="ORD00496"/>
    <x v="260"/>
    <s v="CUST302"/>
    <s v="Sneha"/>
    <x v="1"/>
    <n v="29"/>
    <x v="9"/>
    <x v="0"/>
    <x v="9"/>
    <x v="6"/>
    <n v="3"/>
    <n v="36790"/>
    <n v="10"/>
    <n v="11037"/>
    <n v="17879.939999999999"/>
    <n v="0"/>
    <n v="117212.94"/>
    <x v="0"/>
    <x v="1"/>
    <s v="Lucknow"/>
    <x v="4"/>
    <x v="1"/>
    <n v="7"/>
    <x v="0"/>
    <n v="1"/>
    <s v="Shipped"/>
  </r>
  <r>
    <s v="ORD00497"/>
    <x v="116"/>
    <s v="CUST549"/>
    <s v="Vikas"/>
    <x v="0"/>
    <n v="22"/>
    <x v="4"/>
    <x v="0"/>
    <x v="4"/>
    <x v="2"/>
    <n v="1"/>
    <n v="29785"/>
    <n v="20"/>
    <n v="5957"/>
    <n v="4289.04"/>
    <n v="223"/>
    <n v="28340.04"/>
    <x v="0"/>
    <x v="1"/>
    <s v="Pune"/>
    <x v="0"/>
    <x v="0"/>
    <n v="1"/>
    <x v="1"/>
    <n v="1"/>
    <s v="Shipped"/>
  </r>
  <r>
    <s v="ORD00498"/>
    <x v="20"/>
    <s v="CUST384"/>
    <s v="Sneha"/>
    <x v="0"/>
    <n v="21"/>
    <x v="6"/>
    <x v="0"/>
    <x v="6"/>
    <x v="4"/>
    <n v="3"/>
    <n v="44354"/>
    <n v="0"/>
    <n v="0"/>
    <n v="23951.16"/>
    <n v="395"/>
    <n v="157408.16"/>
    <x v="2"/>
    <x v="0"/>
    <s v="Patiala"/>
    <x v="1"/>
    <x v="1"/>
    <n v="4"/>
    <x v="1"/>
    <n v="3"/>
    <s v="Returned"/>
  </r>
  <r>
    <s v="ORD00499"/>
    <x v="270"/>
    <s v="CUST559"/>
    <s v="Amit"/>
    <x v="0"/>
    <n v="26"/>
    <x v="3"/>
    <x v="2"/>
    <x v="3"/>
    <x v="3"/>
    <n v="4"/>
    <n v="42490"/>
    <n v="10"/>
    <n v="16996"/>
    <n v="27533.52"/>
    <n v="135"/>
    <n v="180632.52"/>
    <x v="2"/>
    <x v="1"/>
    <s v="Delhi"/>
    <x v="5"/>
    <x v="1"/>
    <n v="3"/>
    <x v="0"/>
    <n v="3"/>
    <s v="Shipped"/>
  </r>
  <r>
    <s v="ORD00500"/>
    <x v="21"/>
    <s v="CUST936"/>
    <s v="Riya"/>
    <x v="1"/>
    <n v="28"/>
    <x v="6"/>
    <x v="0"/>
    <x v="6"/>
    <x v="8"/>
    <n v="1"/>
    <n v="7815"/>
    <n v="0"/>
    <n v="0"/>
    <n v="1406.7"/>
    <n v="306"/>
    <n v="9527.7000000000007"/>
    <x v="1"/>
    <x v="1"/>
    <s v="Delhi"/>
    <x v="5"/>
    <x v="1"/>
    <n v="7"/>
    <x v="1"/>
    <n v="1"/>
    <s v="Delivered"/>
  </r>
  <r>
    <s v="ORD00501"/>
    <x v="129"/>
    <s v="CUST497"/>
    <s v="Anjali"/>
    <x v="0"/>
    <n v="47"/>
    <x v="6"/>
    <x v="0"/>
    <x v="6"/>
    <x v="6"/>
    <n v="1"/>
    <n v="36934"/>
    <n v="20"/>
    <n v="7386.8"/>
    <n v="5318.5"/>
    <n v="83"/>
    <n v="34948.699999999997"/>
    <x v="2"/>
    <x v="0"/>
    <s v="Pune"/>
    <x v="0"/>
    <x v="0"/>
    <n v="4"/>
    <x v="0"/>
    <n v="3"/>
    <s v="Returned"/>
  </r>
  <r>
    <s v="ORD00502"/>
    <x v="152"/>
    <s v="CUST999"/>
    <s v="Vikas"/>
    <x v="1"/>
    <n v="25"/>
    <x v="5"/>
    <x v="0"/>
    <x v="5"/>
    <x v="0"/>
    <n v="4"/>
    <n v="22888"/>
    <n v="0"/>
    <n v="0"/>
    <n v="16479.36"/>
    <n v="377"/>
    <n v="108408.36"/>
    <x v="3"/>
    <x v="0"/>
    <s v="Patiala"/>
    <x v="1"/>
    <x v="1"/>
    <n v="10"/>
    <x v="0"/>
    <n v="1"/>
    <s v="Delivered"/>
  </r>
  <r>
    <s v="ORD00503"/>
    <x v="232"/>
    <s v="CUST157"/>
    <s v="Rahul"/>
    <x v="1"/>
    <n v="27"/>
    <x v="7"/>
    <x v="1"/>
    <x v="7"/>
    <x v="2"/>
    <n v="4"/>
    <n v="36131"/>
    <n v="0"/>
    <n v="0"/>
    <n v="26014.32"/>
    <n v="402"/>
    <n v="170940.32"/>
    <x v="1"/>
    <x v="1"/>
    <s v="Patiala"/>
    <x v="1"/>
    <x v="1"/>
    <n v="4"/>
    <x v="0"/>
    <n v="4"/>
    <s v="Cancelled"/>
  </r>
  <r>
    <s v="ORD00504"/>
    <x v="90"/>
    <s v="CUST469"/>
    <s v="Vikas"/>
    <x v="1"/>
    <n v="43"/>
    <x v="1"/>
    <x v="0"/>
    <x v="1"/>
    <x v="1"/>
    <n v="2"/>
    <n v="1030"/>
    <n v="0"/>
    <n v="0"/>
    <n v="370.8"/>
    <n v="174"/>
    <n v="2604.8000000000002"/>
    <x v="1"/>
    <x v="0"/>
    <s v="Mumbai"/>
    <x v="0"/>
    <x v="0"/>
    <n v="7"/>
    <x v="1"/>
    <n v="2"/>
    <s v="Shipped"/>
  </r>
  <r>
    <s v="ORD00505"/>
    <x v="204"/>
    <s v="CUST453"/>
    <s v="Sneha"/>
    <x v="0"/>
    <n v="55"/>
    <x v="3"/>
    <x v="2"/>
    <x v="3"/>
    <x v="0"/>
    <n v="3"/>
    <n v="22483"/>
    <n v="15"/>
    <n v="10117.35"/>
    <n v="10319.700000000001"/>
    <n v="275"/>
    <n v="67926.350000000006"/>
    <x v="2"/>
    <x v="0"/>
    <s v="Pune"/>
    <x v="0"/>
    <x v="0"/>
    <n v="7"/>
    <x v="0"/>
    <n v="5"/>
    <s v="Cancelled"/>
  </r>
  <r>
    <s v="ORD00506"/>
    <x v="184"/>
    <s v="CUST947"/>
    <s v="Rahul"/>
    <x v="1"/>
    <n v="26"/>
    <x v="5"/>
    <x v="0"/>
    <x v="5"/>
    <x v="1"/>
    <n v="4"/>
    <n v="7865"/>
    <n v="0"/>
    <n v="0"/>
    <n v="5662.8"/>
    <n v="311"/>
    <n v="37433.800000000003"/>
    <x v="0"/>
    <x v="0"/>
    <s v="Delhi"/>
    <x v="5"/>
    <x v="1"/>
    <n v="8"/>
    <x v="0"/>
    <n v="3"/>
    <s v="Cancelled"/>
  </r>
  <r>
    <s v="ORD00507"/>
    <x v="42"/>
    <s v="CUST523"/>
    <s v="Vikas"/>
    <x v="0"/>
    <n v="27"/>
    <x v="7"/>
    <x v="1"/>
    <x v="7"/>
    <x v="5"/>
    <n v="5"/>
    <n v="20520"/>
    <n v="20"/>
    <n v="20520"/>
    <n v="14774.4"/>
    <n v="70"/>
    <n v="96924.4"/>
    <x v="0"/>
    <x v="1"/>
    <s v="Lucknow"/>
    <x v="4"/>
    <x v="1"/>
    <n v="10"/>
    <x v="0"/>
    <n v="5"/>
    <s v="Shipped"/>
  </r>
  <r>
    <s v="ORD00508"/>
    <x v="271"/>
    <s v="CUST968"/>
    <s v="Neha"/>
    <x v="1"/>
    <n v="32"/>
    <x v="8"/>
    <x v="0"/>
    <x v="8"/>
    <x v="3"/>
    <n v="3"/>
    <n v="31680"/>
    <n v="0"/>
    <n v="0"/>
    <n v="17107.2"/>
    <n v="218"/>
    <n v="112365.2"/>
    <x v="3"/>
    <x v="1"/>
    <s v="Chandigarh"/>
    <x v="1"/>
    <x v="1"/>
    <n v="7"/>
    <x v="0"/>
    <n v="5"/>
    <s v="Returned"/>
  </r>
  <r>
    <s v="ORD00509"/>
    <x v="179"/>
    <s v="CUST258"/>
    <s v="Priya"/>
    <x v="0"/>
    <n v="56"/>
    <x v="4"/>
    <x v="0"/>
    <x v="4"/>
    <x v="1"/>
    <n v="5"/>
    <n v="9895"/>
    <n v="20"/>
    <n v="9895"/>
    <n v="7124.4"/>
    <n v="285"/>
    <n v="46989.4"/>
    <x v="1"/>
    <x v="1"/>
    <s v="Chandigarh"/>
    <x v="1"/>
    <x v="1"/>
    <n v="10"/>
    <x v="0"/>
    <n v="3"/>
    <s v="Cancelled"/>
  </r>
  <r>
    <s v="ORD00510"/>
    <x v="272"/>
    <s v="CUST266"/>
    <s v="Karan"/>
    <x v="0"/>
    <n v="48"/>
    <x v="0"/>
    <x v="0"/>
    <x v="0"/>
    <x v="9"/>
    <n v="4"/>
    <n v="11370"/>
    <n v="10"/>
    <n v="4548"/>
    <n v="7367.76"/>
    <n v="129"/>
    <n v="48428.76"/>
    <x v="3"/>
    <x v="1"/>
    <s v="Pune"/>
    <x v="0"/>
    <x v="0"/>
    <n v="4"/>
    <x v="1"/>
    <n v="4"/>
    <s v="Delivered"/>
  </r>
  <r>
    <s v="ORD00511"/>
    <x v="218"/>
    <s v="CUST140"/>
    <s v="Neha"/>
    <x v="1"/>
    <n v="51"/>
    <x v="7"/>
    <x v="1"/>
    <x v="7"/>
    <x v="8"/>
    <n v="1"/>
    <n v="47284"/>
    <n v="15"/>
    <n v="7092.6"/>
    <n v="7234.45"/>
    <n v="432"/>
    <n v="47857.85"/>
    <x v="0"/>
    <x v="0"/>
    <s v="Jaipur"/>
    <x v="2"/>
    <x v="1"/>
    <n v="9"/>
    <x v="0"/>
    <n v="4"/>
    <s v="Shipped"/>
  </r>
  <r>
    <s v="ORD00512"/>
    <x v="115"/>
    <s v="CUST676"/>
    <s v="Riya"/>
    <x v="0"/>
    <n v="49"/>
    <x v="6"/>
    <x v="0"/>
    <x v="6"/>
    <x v="2"/>
    <n v="5"/>
    <n v="15893"/>
    <n v="15"/>
    <n v="11919.75"/>
    <n v="12158.15"/>
    <n v="282"/>
    <n v="79985.399999999994"/>
    <x v="0"/>
    <x v="0"/>
    <s v="Bangalore"/>
    <x v="3"/>
    <x v="2"/>
    <n v="9"/>
    <x v="1"/>
    <n v="4"/>
    <s v="Shipped"/>
  </r>
  <r>
    <s v="ORD00513"/>
    <x v="118"/>
    <s v="CUST214"/>
    <s v="Rahul"/>
    <x v="1"/>
    <n v="24"/>
    <x v="4"/>
    <x v="0"/>
    <x v="4"/>
    <x v="6"/>
    <n v="5"/>
    <n v="27748"/>
    <n v="10"/>
    <n v="13874"/>
    <n v="22475.88"/>
    <n v="237"/>
    <n v="147578.88"/>
    <x v="0"/>
    <x v="0"/>
    <s v="Jaipur"/>
    <x v="2"/>
    <x v="1"/>
    <n v="9"/>
    <x v="1"/>
    <n v="2"/>
    <s v="Shipped"/>
  </r>
  <r>
    <s v="ORD00514"/>
    <x v="238"/>
    <s v="CUST420"/>
    <s v="Karan"/>
    <x v="1"/>
    <n v="30"/>
    <x v="3"/>
    <x v="2"/>
    <x v="3"/>
    <x v="6"/>
    <n v="1"/>
    <n v="48180"/>
    <n v="0"/>
    <n v="0"/>
    <n v="8672.4"/>
    <n v="48"/>
    <n v="56900.4"/>
    <x v="0"/>
    <x v="1"/>
    <s v="Pune"/>
    <x v="0"/>
    <x v="0"/>
    <n v="7"/>
    <x v="0"/>
    <n v="3"/>
    <s v="Delivered"/>
  </r>
  <r>
    <s v="ORD00515"/>
    <x v="273"/>
    <s v="CUST167"/>
    <s v="Sneha"/>
    <x v="0"/>
    <n v="49"/>
    <x v="7"/>
    <x v="1"/>
    <x v="7"/>
    <x v="9"/>
    <n v="3"/>
    <n v="13292"/>
    <n v="15"/>
    <n v="5981.4"/>
    <n v="6101.03"/>
    <n v="233"/>
    <n v="40228.629999999997"/>
    <x v="3"/>
    <x v="0"/>
    <s v="Patiala"/>
    <x v="1"/>
    <x v="1"/>
    <n v="1"/>
    <x v="0"/>
    <n v="4"/>
    <s v="Cancelled"/>
  </r>
  <r>
    <s v="ORD00516"/>
    <x v="39"/>
    <s v="CUST735"/>
    <s v="Vikas"/>
    <x v="0"/>
    <n v="19"/>
    <x v="8"/>
    <x v="0"/>
    <x v="8"/>
    <x v="9"/>
    <n v="4"/>
    <n v="48469"/>
    <n v="20"/>
    <n v="38775.199999999997"/>
    <n v="27918.14"/>
    <n v="368"/>
    <n v="183386.94"/>
    <x v="1"/>
    <x v="1"/>
    <s v="Mumbai"/>
    <x v="0"/>
    <x v="0"/>
    <n v="6"/>
    <x v="0"/>
    <n v="2"/>
    <s v="Shipped"/>
  </r>
  <r>
    <s v="ORD00517"/>
    <x v="144"/>
    <s v="CUST722"/>
    <s v="Riya"/>
    <x v="1"/>
    <n v="53"/>
    <x v="9"/>
    <x v="0"/>
    <x v="9"/>
    <x v="4"/>
    <n v="5"/>
    <n v="31571"/>
    <n v="5"/>
    <n v="7892.75"/>
    <n v="26993.200000000001"/>
    <n v="388"/>
    <n v="177343.45"/>
    <x v="2"/>
    <x v="1"/>
    <s v="Delhi"/>
    <x v="5"/>
    <x v="1"/>
    <n v="2"/>
    <x v="0"/>
    <n v="2"/>
    <s v="Returned"/>
  </r>
  <r>
    <s v="ORD00518"/>
    <x v="209"/>
    <s v="CUST326"/>
    <s v="Riya"/>
    <x v="1"/>
    <n v="23"/>
    <x v="2"/>
    <x v="1"/>
    <x v="2"/>
    <x v="2"/>
    <n v="3"/>
    <n v="48754"/>
    <n v="10"/>
    <n v="14626.2"/>
    <n v="23694.44"/>
    <n v="56"/>
    <n v="155386.23999999999"/>
    <x v="3"/>
    <x v="1"/>
    <s v="Delhi"/>
    <x v="5"/>
    <x v="1"/>
    <n v="4"/>
    <x v="1"/>
    <n v="2"/>
    <s v="Delivered"/>
  </r>
  <r>
    <s v="ORD00519"/>
    <x v="76"/>
    <s v="CUST528"/>
    <s v="Arjun"/>
    <x v="1"/>
    <n v="59"/>
    <x v="7"/>
    <x v="1"/>
    <x v="7"/>
    <x v="7"/>
    <n v="5"/>
    <n v="49241"/>
    <n v="20"/>
    <n v="49241"/>
    <n v="35453.519999999997"/>
    <n v="323"/>
    <n v="232740.52"/>
    <x v="1"/>
    <x v="1"/>
    <s v="Mumbai"/>
    <x v="0"/>
    <x v="0"/>
    <n v="9"/>
    <x v="1"/>
    <n v="3"/>
    <s v="Cancelled"/>
  </r>
  <r>
    <s v="ORD00520"/>
    <x v="150"/>
    <s v="CUST688"/>
    <s v="Amit"/>
    <x v="1"/>
    <n v="52"/>
    <x v="8"/>
    <x v="0"/>
    <x v="8"/>
    <x v="4"/>
    <n v="2"/>
    <n v="17576"/>
    <n v="10"/>
    <n v="3515.2"/>
    <n v="5694.62"/>
    <n v="234"/>
    <n v="37565.42"/>
    <x v="2"/>
    <x v="0"/>
    <s v="Chandigarh"/>
    <x v="1"/>
    <x v="1"/>
    <n v="8"/>
    <x v="1"/>
    <n v="4"/>
    <s v="Shipped"/>
  </r>
  <r>
    <s v="ORD00521"/>
    <x v="65"/>
    <s v="CUST315"/>
    <s v="Sneha"/>
    <x v="1"/>
    <n v="48"/>
    <x v="7"/>
    <x v="1"/>
    <x v="7"/>
    <x v="9"/>
    <n v="4"/>
    <n v="14213"/>
    <n v="5"/>
    <n v="2842.6"/>
    <n v="9721.69"/>
    <n v="74"/>
    <n v="63805.09"/>
    <x v="1"/>
    <x v="0"/>
    <s v="Mumbai"/>
    <x v="0"/>
    <x v="0"/>
    <n v="8"/>
    <x v="1"/>
    <n v="5"/>
    <s v="Shipped"/>
  </r>
  <r>
    <s v="ORD00522"/>
    <x v="64"/>
    <s v="CUST118"/>
    <s v="Riya"/>
    <x v="1"/>
    <n v="35"/>
    <x v="3"/>
    <x v="2"/>
    <x v="3"/>
    <x v="9"/>
    <n v="1"/>
    <n v="43439"/>
    <n v="0"/>
    <n v="0"/>
    <n v="7819.02"/>
    <n v="403"/>
    <n v="51661.02"/>
    <x v="1"/>
    <x v="1"/>
    <s v="Mumbai"/>
    <x v="0"/>
    <x v="0"/>
    <n v="3"/>
    <x v="0"/>
    <n v="1"/>
    <s v="Cancelled"/>
  </r>
  <r>
    <s v="ORD00523"/>
    <x v="274"/>
    <s v="CUST464"/>
    <s v="Sneha"/>
    <x v="1"/>
    <n v="42"/>
    <x v="2"/>
    <x v="1"/>
    <x v="2"/>
    <x v="6"/>
    <n v="1"/>
    <n v="35941"/>
    <n v="5"/>
    <n v="1797.05"/>
    <n v="6145.91"/>
    <n v="20"/>
    <n v="40309.86"/>
    <x v="1"/>
    <x v="1"/>
    <s v="Pune"/>
    <x v="0"/>
    <x v="0"/>
    <n v="2"/>
    <x v="0"/>
    <n v="2"/>
    <s v="Cancelled"/>
  </r>
  <r>
    <s v="ORD00524"/>
    <x v="181"/>
    <s v="CUST436"/>
    <s v="Rahul"/>
    <x v="1"/>
    <n v="56"/>
    <x v="0"/>
    <x v="0"/>
    <x v="0"/>
    <x v="1"/>
    <n v="2"/>
    <n v="6043"/>
    <n v="15"/>
    <n v="1812.9"/>
    <n v="1849.16"/>
    <n v="480"/>
    <n v="12602.26"/>
    <x v="0"/>
    <x v="0"/>
    <s v="Jaipur"/>
    <x v="2"/>
    <x v="1"/>
    <n v="7"/>
    <x v="1"/>
    <n v="5"/>
    <s v="Returned"/>
  </r>
  <r>
    <s v="ORD00525"/>
    <x v="140"/>
    <s v="CUST339"/>
    <s v="Priya"/>
    <x v="1"/>
    <n v="58"/>
    <x v="5"/>
    <x v="0"/>
    <x v="5"/>
    <x v="5"/>
    <n v="3"/>
    <n v="26460"/>
    <n v="5"/>
    <n v="3969"/>
    <n v="13573.98"/>
    <n v="340"/>
    <n v="89324.98"/>
    <x v="2"/>
    <x v="1"/>
    <s v="Chandigarh"/>
    <x v="1"/>
    <x v="1"/>
    <n v="2"/>
    <x v="0"/>
    <n v="4"/>
    <s v="Shipped"/>
  </r>
  <r>
    <s v="ORD00526"/>
    <x v="56"/>
    <s v="CUST440"/>
    <s v="Rahul"/>
    <x v="0"/>
    <n v="51"/>
    <x v="0"/>
    <x v="0"/>
    <x v="0"/>
    <x v="8"/>
    <n v="5"/>
    <n v="37592"/>
    <n v="10"/>
    <n v="18796"/>
    <n v="30449.52"/>
    <n v="380"/>
    <n v="199993.52"/>
    <x v="2"/>
    <x v="1"/>
    <s v="Jaipur"/>
    <x v="2"/>
    <x v="1"/>
    <n v="4"/>
    <x v="1"/>
    <n v="1"/>
    <s v="Shipped"/>
  </r>
  <r>
    <s v="ORD00527"/>
    <x v="138"/>
    <s v="CUST543"/>
    <s v="Karan"/>
    <x v="0"/>
    <n v="57"/>
    <x v="4"/>
    <x v="0"/>
    <x v="4"/>
    <x v="0"/>
    <n v="1"/>
    <n v="21149"/>
    <n v="20"/>
    <n v="4229.8"/>
    <n v="3045.46"/>
    <n v="298"/>
    <n v="20262.66"/>
    <x v="3"/>
    <x v="1"/>
    <s v="Chandigarh"/>
    <x v="1"/>
    <x v="1"/>
    <n v="1"/>
    <x v="1"/>
    <n v="5"/>
    <s v="Delivered"/>
  </r>
  <r>
    <s v="ORD00528"/>
    <x v="26"/>
    <s v="CUST497"/>
    <s v="Neha"/>
    <x v="0"/>
    <n v="29"/>
    <x v="9"/>
    <x v="0"/>
    <x v="9"/>
    <x v="7"/>
    <n v="2"/>
    <n v="7542"/>
    <n v="0"/>
    <n v="0"/>
    <n v="2715.12"/>
    <n v="336"/>
    <n v="18135.12"/>
    <x v="3"/>
    <x v="0"/>
    <s v="Chandigarh"/>
    <x v="1"/>
    <x v="1"/>
    <n v="4"/>
    <x v="0"/>
    <n v="2"/>
    <s v="Delivered"/>
  </r>
  <r>
    <s v="ORD00529"/>
    <x v="207"/>
    <s v="CUST174"/>
    <s v="Neha"/>
    <x v="1"/>
    <n v="44"/>
    <x v="4"/>
    <x v="0"/>
    <x v="4"/>
    <x v="6"/>
    <n v="1"/>
    <n v="13196"/>
    <n v="15"/>
    <n v="1979.4"/>
    <n v="2018.99"/>
    <n v="439"/>
    <n v="13674.59"/>
    <x v="1"/>
    <x v="1"/>
    <s v="Chandigarh"/>
    <x v="1"/>
    <x v="1"/>
    <n v="8"/>
    <x v="1"/>
    <n v="2"/>
    <s v="Delivered"/>
  </r>
  <r>
    <s v="ORD00530"/>
    <x v="248"/>
    <s v="CUST276"/>
    <s v="Anjali"/>
    <x v="0"/>
    <n v="18"/>
    <x v="4"/>
    <x v="0"/>
    <x v="4"/>
    <x v="0"/>
    <n v="4"/>
    <n v="14222"/>
    <n v="0"/>
    <n v="0"/>
    <n v="10239.84"/>
    <n v="498"/>
    <n v="67625.84"/>
    <x v="3"/>
    <x v="0"/>
    <s v="Lucknow"/>
    <x v="4"/>
    <x v="1"/>
    <n v="8"/>
    <x v="1"/>
    <n v="4"/>
    <s v="Cancelled"/>
  </r>
  <r>
    <s v="ORD00531"/>
    <x v="235"/>
    <s v="CUST597"/>
    <s v="Vikas"/>
    <x v="1"/>
    <n v="33"/>
    <x v="1"/>
    <x v="0"/>
    <x v="1"/>
    <x v="7"/>
    <n v="4"/>
    <n v="19887"/>
    <n v="10"/>
    <n v="7954.8"/>
    <n v="12886.78"/>
    <n v="318"/>
    <n v="84797.98"/>
    <x v="0"/>
    <x v="1"/>
    <s v="Mumbai"/>
    <x v="0"/>
    <x v="0"/>
    <n v="2"/>
    <x v="1"/>
    <n v="4"/>
    <s v="Shipped"/>
  </r>
  <r>
    <s v="ORD00532"/>
    <x v="16"/>
    <s v="CUST637"/>
    <s v="Arjun"/>
    <x v="0"/>
    <n v="51"/>
    <x v="9"/>
    <x v="0"/>
    <x v="9"/>
    <x v="0"/>
    <n v="2"/>
    <n v="7873"/>
    <n v="5"/>
    <n v="787.3"/>
    <n v="2692.57"/>
    <n v="155"/>
    <n v="17806.27"/>
    <x v="0"/>
    <x v="0"/>
    <s v="Lucknow"/>
    <x v="4"/>
    <x v="1"/>
    <n v="7"/>
    <x v="1"/>
    <n v="5"/>
    <s v="Shipped"/>
  </r>
  <r>
    <s v="ORD00533"/>
    <x v="10"/>
    <s v="CUST339"/>
    <s v="Rahul"/>
    <x v="0"/>
    <n v="46"/>
    <x v="1"/>
    <x v="0"/>
    <x v="1"/>
    <x v="0"/>
    <n v="1"/>
    <n v="42929"/>
    <n v="20"/>
    <n v="8585.7999999999993"/>
    <n v="6181.78"/>
    <n v="228"/>
    <n v="40752.980000000003"/>
    <x v="3"/>
    <x v="0"/>
    <s v="Delhi"/>
    <x v="5"/>
    <x v="1"/>
    <n v="10"/>
    <x v="0"/>
    <n v="3"/>
    <s v="Shipped"/>
  </r>
  <r>
    <s v="ORD00534"/>
    <x v="33"/>
    <s v="CUST694"/>
    <s v="Karan"/>
    <x v="0"/>
    <n v="43"/>
    <x v="5"/>
    <x v="0"/>
    <x v="5"/>
    <x v="4"/>
    <n v="1"/>
    <n v="41961"/>
    <n v="10"/>
    <n v="4196.1000000000004"/>
    <n v="6797.68"/>
    <n v="63"/>
    <n v="44625.58"/>
    <x v="2"/>
    <x v="1"/>
    <s v="Jaipur"/>
    <x v="2"/>
    <x v="1"/>
    <n v="8"/>
    <x v="1"/>
    <n v="5"/>
    <s v="Shipped"/>
  </r>
  <r>
    <s v="ORD00535"/>
    <x v="68"/>
    <s v="CUST607"/>
    <s v="Amit"/>
    <x v="0"/>
    <n v="60"/>
    <x v="8"/>
    <x v="0"/>
    <x v="8"/>
    <x v="6"/>
    <n v="5"/>
    <n v="6154"/>
    <n v="15"/>
    <n v="4615.5"/>
    <n v="4707.8100000000004"/>
    <n v="460"/>
    <n v="31322.31"/>
    <x v="2"/>
    <x v="1"/>
    <s v="Chandigarh"/>
    <x v="1"/>
    <x v="1"/>
    <n v="10"/>
    <x v="1"/>
    <n v="1"/>
    <s v="Delivered"/>
  </r>
  <r>
    <s v="ORD00536"/>
    <x v="275"/>
    <s v="CUST156"/>
    <s v="Amit"/>
    <x v="1"/>
    <n v="44"/>
    <x v="3"/>
    <x v="2"/>
    <x v="3"/>
    <x v="8"/>
    <n v="2"/>
    <n v="43139"/>
    <n v="20"/>
    <n v="17255.599999999999"/>
    <n v="12424.03"/>
    <n v="165"/>
    <n v="81611.429999999993"/>
    <x v="2"/>
    <x v="0"/>
    <s v="Chandigarh"/>
    <x v="1"/>
    <x v="1"/>
    <n v="1"/>
    <x v="0"/>
    <n v="5"/>
    <s v="Returned"/>
  </r>
  <r>
    <s v="ORD00537"/>
    <x v="79"/>
    <s v="CUST871"/>
    <s v="Amit"/>
    <x v="1"/>
    <n v="26"/>
    <x v="2"/>
    <x v="1"/>
    <x v="2"/>
    <x v="2"/>
    <n v="4"/>
    <n v="39551"/>
    <n v="0"/>
    <n v="0"/>
    <n v="28476.720000000001"/>
    <n v="416"/>
    <n v="187096.72"/>
    <x v="0"/>
    <x v="1"/>
    <s v="Bangalore"/>
    <x v="3"/>
    <x v="2"/>
    <n v="5"/>
    <x v="1"/>
    <n v="4"/>
    <s v="Returned"/>
  </r>
  <r>
    <s v="ORD00538"/>
    <x v="197"/>
    <s v="CUST927"/>
    <s v="Karan"/>
    <x v="0"/>
    <n v="27"/>
    <x v="8"/>
    <x v="0"/>
    <x v="8"/>
    <x v="0"/>
    <n v="4"/>
    <n v="48917"/>
    <n v="0"/>
    <n v="0"/>
    <n v="35220.239999999998"/>
    <n v="296"/>
    <n v="231184.24"/>
    <x v="3"/>
    <x v="1"/>
    <s v="Patiala"/>
    <x v="1"/>
    <x v="1"/>
    <n v="6"/>
    <x v="1"/>
    <n v="4"/>
    <s v="Delivered"/>
  </r>
  <r>
    <s v="ORD00539"/>
    <x v="276"/>
    <s v="CUST185"/>
    <s v="Rahul"/>
    <x v="1"/>
    <n v="47"/>
    <x v="4"/>
    <x v="0"/>
    <x v="4"/>
    <x v="8"/>
    <n v="3"/>
    <n v="40702"/>
    <n v="20"/>
    <n v="24421.200000000001"/>
    <n v="17583.259999999998"/>
    <n v="193"/>
    <n v="115461.06"/>
    <x v="3"/>
    <x v="1"/>
    <s v="Bangalore"/>
    <x v="3"/>
    <x v="2"/>
    <n v="5"/>
    <x v="0"/>
    <n v="2"/>
    <s v="Delivered"/>
  </r>
  <r>
    <s v="ORD00540"/>
    <x v="74"/>
    <s v="CUST546"/>
    <s v="Amit"/>
    <x v="0"/>
    <n v="58"/>
    <x v="8"/>
    <x v="0"/>
    <x v="8"/>
    <x v="8"/>
    <n v="2"/>
    <n v="4559"/>
    <n v="0"/>
    <n v="0"/>
    <n v="1641.24"/>
    <n v="387"/>
    <n v="11146.24"/>
    <x v="0"/>
    <x v="1"/>
    <s v="Patiala"/>
    <x v="1"/>
    <x v="1"/>
    <n v="6"/>
    <x v="1"/>
    <n v="1"/>
    <s v="Returned"/>
  </r>
  <r>
    <s v="ORD00541"/>
    <x v="141"/>
    <s v="CUST504"/>
    <s v="Rahul"/>
    <x v="1"/>
    <n v="34"/>
    <x v="4"/>
    <x v="0"/>
    <x v="4"/>
    <x v="0"/>
    <n v="5"/>
    <n v="2350"/>
    <n v="10"/>
    <n v="1175"/>
    <n v="1903.5"/>
    <n v="454"/>
    <n v="12932.5"/>
    <x v="0"/>
    <x v="1"/>
    <s v="Chandigarh"/>
    <x v="1"/>
    <x v="1"/>
    <n v="2"/>
    <x v="0"/>
    <n v="3"/>
    <s v="Cancelled"/>
  </r>
  <r>
    <s v="ORD00542"/>
    <x v="100"/>
    <s v="CUST543"/>
    <s v="Riya"/>
    <x v="0"/>
    <n v="19"/>
    <x v="4"/>
    <x v="0"/>
    <x v="4"/>
    <x v="3"/>
    <n v="2"/>
    <n v="25923"/>
    <n v="0"/>
    <n v="0"/>
    <n v="9332.2800000000007"/>
    <n v="274"/>
    <n v="61452.28"/>
    <x v="0"/>
    <x v="0"/>
    <s v="Pune"/>
    <x v="0"/>
    <x v="0"/>
    <n v="6"/>
    <x v="1"/>
    <n v="3"/>
    <s v="Delivered"/>
  </r>
  <r>
    <s v="ORD00543"/>
    <x v="9"/>
    <s v="CUST784"/>
    <s v="Sneha"/>
    <x v="0"/>
    <n v="41"/>
    <x v="2"/>
    <x v="1"/>
    <x v="2"/>
    <x v="9"/>
    <n v="5"/>
    <n v="27464"/>
    <n v="20"/>
    <n v="27464"/>
    <n v="19774.080000000002"/>
    <n v="74"/>
    <n v="129704.08"/>
    <x v="1"/>
    <x v="1"/>
    <s v="Mumbai"/>
    <x v="0"/>
    <x v="0"/>
    <n v="8"/>
    <x v="1"/>
    <n v="5"/>
    <s v="Returned"/>
  </r>
  <r>
    <s v="ORD00544"/>
    <x v="277"/>
    <s v="CUST625"/>
    <s v="Vikas"/>
    <x v="0"/>
    <n v="39"/>
    <x v="2"/>
    <x v="1"/>
    <x v="2"/>
    <x v="8"/>
    <n v="3"/>
    <n v="17597"/>
    <n v="5"/>
    <n v="2639.55"/>
    <n v="9027.26"/>
    <n v="297"/>
    <n v="59475.71"/>
    <x v="3"/>
    <x v="1"/>
    <s v="Bangalore"/>
    <x v="3"/>
    <x v="2"/>
    <n v="5"/>
    <x v="1"/>
    <n v="1"/>
    <s v="Cancelled"/>
  </r>
  <r>
    <s v="ORD00545"/>
    <x v="278"/>
    <s v="CUST722"/>
    <s v="Neha"/>
    <x v="1"/>
    <n v="44"/>
    <x v="0"/>
    <x v="0"/>
    <x v="0"/>
    <x v="6"/>
    <n v="5"/>
    <n v="4399"/>
    <n v="0"/>
    <n v="0"/>
    <n v="3959.1"/>
    <n v="41"/>
    <n v="25995.1"/>
    <x v="0"/>
    <x v="1"/>
    <s v="Lucknow"/>
    <x v="4"/>
    <x v="1"/>
    <n v="3"/>
    <x v="1"/>
    <n v="3"/>
    <s v="Delivered"/>
  </r>
  <r>
    <s v="ORD00546"/>
    <x v="128"/>
    <s v="CUST499"/>
    <s v="Amit"/>
    <x v="0"/>
    <n v="46"/>
    <x v="0"/>
    <x v="0"/>
    <x v="0"/>
    <x v="2"/>
    <n v="4"/>
    <n v="16338"/>
    <n v="5"/>
    <n v="3267.6"/>
    <n v="11175.19"/>
    <n v="104"/>
    <n v="73363.59"/>
    <x v="0"/>
    <x v="0"/>
    <s v="Bangalore"/>
    <x v="3"/>
    <x v="2"/>
    <n v="9"/>
    <x v="1"/>
    <n v="5"/>
    <s v="Cancelled"/>
  </r>
  <r>
    <s v="ORD00547"/>
    <x v="279"/>
    <s v="CUST421"/>
    <s v="Priya"/>
    <x v="1"/>
    <n v="23"/>
    <x v="9"/>
    <x v="0"/>
    <x v="9"/>
    <x v="2"/>
    <n v="5"/>
    <n v="41403"/>
    <n v="5"/>
    <n v="10350.75"/>
    <n v="35399.56"/>
    <n v="376"/>
    <n v="232439.82"/>
    <x v="3"/>
    <x v="0"/>
    <s v="Patiala"/>
    <x v="1"/>
    <x v="1"/>
    <n v="4"/>
    <x v="1"/>
    <n v="5"/>
    <s v="Shipped"/>
  </r>
  <r>
    <s v="ORD00548"/>
    <x v="260"/>
    <s v="CUST159"/>
    <s v="Neha"/>
    <x v="0"/>
    <n v="29"/>
    <x v="8"/>
    <x v="0"/>
    <x v="8"/>
    <x v="1"/>
    <n v="2"/>
    <n v="19158"/>
    <n v="5"/>
    <n v="1915.8"/>
    <n v="6552.04"/>
    <n v="419"/>
    <n v="43371.24"/>
    <x v="1"/>
    <x v="1"/>
    <s v="Jaipur"/>
    <x v="2"/>
    <x v="1"/>
    <n v="4"/>
    <x v="1"/>
    <n v="2"/>
    <s v="Cancelled"/>
  </r>
  <r>
    <s v="ORD00549"/>
    <x v="75"/>
    <s v="CUST754"/>
    <s v="Anjali"/>
    <x v="1"/>
    <n v="19"/>
    <x v="4"/>
    <x v="0"/>
    <x v="4"/>
    <x v="1"/>
    <n v="4"/>
    <n v="9541"/>
    <n v="20"/>
    <n v="7632.8"/>
    <n v="5495.62"/>
    <n v="462"/>
    <n v="36488.82"/>
    <x v="1"/>
    <x v="0"/>
    <s v="Mumbai"/>
    <x v="0"/>
    <x v="0"/>
    <n v="10"/>
    <x v="1"/>
    <n v="3"/>
    <s v="Cancelled"/>
  </r>
  <r>
    <s v="ORD00550"/>
    <x v="280"/>
    <s v="CUST731"/>
    <s v="Rahul"/>
    <x v="1"/>
    <n v="23"/>
    <x v="5"/>
    <x v="0"/>
    <x v="5"/>
    <x v="9"/>
    <n v="2"/>
    <n v="37411"/>
    <n v="15"/>
    <n v="11223.3"/>
    <n v="11447.77"/>
    <n v="407"/>
    <n v="75453.47"/>
    <x v="0"/>
    <x v="0"/>
    <s v="Delhi"/>
    <x v="5"/>
    <x v="1"/>
    <n v="1"/>
    <x v="0"/>
    <n v="3"/>
    <s v="Delivered"/>
  </r>
  <r>
    <s v="ORD00551"/>
    <x v="175"/>
    <s v="CUST399"/>
    <s v="Amit"/>
    <x v="1"/>
    <n v="35"/>
    <x v="9"/>
    <x v="0"/>
    <x v="9"/>
    <x v="7"/>
    <n v="3"/>
    <n v="20654"/>
    <n v="10"/>
    <n v="6196.2"/>
    <n v="10037.84"/>
    <n v="467"/>
    <n v="66270.64"/>
    <x v="1"/>
    <x v="1"/>
    <s v="Bangalore"/>
    <x v="3"/>
    <x v="2"/>
    <n v="2"/>
    <x v="1"/>
    <n v="4"/>
    <s v="Shipped"/>
  </r>
  <r>
    <s v="ORD00552"/>
    <x v="70"/>
    <s v="CUST233"/>
    <s v="Riya"/>
    <x v="1"/>
    <n v="55"/>
    <x v="4"/>
    <x v="0"/>
    <x v="4"/>
    <x v="4"/>
    <n v="1"/>
    <n v="20050"/>
    <n v="5"/>
    <n v="1002.5"/>
    <n v="3428.55"/>
    <n v="205"/>
    <n v="22681.05"/>
    <x v="2"/>
    <x v="0"/>
    <s v="Jaipur"/>
    <x v="2"/>
    <x v="1"/>
    <n v="5"/>
    <x v="1"/>
    <n v="2"/>
    <s v="Shipped"/>
  </r>
  <r>
    <s v="ORD00553"/>
    <x v="281"/>
    <s v="CUST112"/>
    <s v="Sneha"/>
    <x v="1"/>
    <n v="60"/>
    <x v="5"/>
    <x v="0"/>
    <x v="5"/>
    <x v="4"/>
    <n v="5"/>
    <n v="26702"/>
    <n v="0"/>
    <n v="0"/>
    <n v="24031.8"/>
    <n v="215"/>
    <n v="157756.79999999999"/>
    <x v="2"/>
    <x v="1"/>
    <s v="Mumbai"/>
    <x v="0"/>
    <x v="0"/>
    <n v="4"/>
    <x v="1"/>
    <n v="4"/>
    <s v="Returned"/>
  </r>
  <r>
    <s v="ORD00554"/>
    <x v="282"/>
    <s v="CUST624"/>
    <s v="Karan"/>
    <x v="1"/>
    <n v="38"/>
    <x v="5"/>
    <x v="0"/>
    <x v="5"/>
    <x v="1"/>
    <n v="1"/>
    <n v="49429"/>
    <n v="0"/>
    <n v="0"/>
    <n v="8897.2199999999993"/>
    <n v="491"/>
    <n v="58817.22"/>
    <x v="2"/>
    <x v="1"/>
    <s v="Patiala"/>
    <x v="1"/>
    <x v="1"/>
    <n v="5"/>
    <x v="1"/>
    <n v="2"/>
    <s v="Cancelled"/>
  </r>
  <r>
    <s v="ORD00555"/>
    <x v="272"/>
    <s v="CUST410"/>
    <s v="Anjali"/>
    <x v="0"/>
    <n v="20"/>
    <x v="1"/>
    <x v="0"/>
    <x v="1"/>
    <x v="7"/>
    <n v="5"/>
    <n v="5569"/>
    <n v="10"/>
    <n v="2784.5"/>
    <n v="4510.8900000000003"/>
    <n v="202"/>
    <n v="29773.39"/>
    <x v="2"/>
    <x v="1"/>
    <s v="Patiala"/>
    <x v="1"/>
    <x v="1"/>
    <n v="1"/>
    <x v="1"/>
    <n v="3"/>
    <s v="Delivered"/>
  </r>
  <r>
    <s v="ORD00556"/>
    <x v="6"/>
    <s v="CUST994"/>
    <s v="Neha"/>
    <x v="0"/>
    <n v="19"/>
    <x v="1"/>
    <x v="0"/>
    <x v="1"/>
    <x v="6"/>
    <n v="1"/>
    <n v="4090"/>
    <n v="0"/>
    <n v="0"/>
    <n v="736.2"/>
    <n v="158"/>
    <n v="4984.2"/>
    <x v="1"/>
    <x v="0"/>
    <s v="Jaipur"/>
    <x v="2"/>
    <x v="1"/>
    <n v="1"/>
    <x v="0"/>
    <n v="2"/>
    <s v="Shipped"/>
  </r>
  <r>
    <s v="ORD00557"/>
    <x v="153"/>
    <s v="CUST131"/>
    <s v="Vikas"/>
    <x v="0"/>
    <n v="41"/>
    <x v="7"/>
    <x v="1"/>
    <x v="7"/>
    <x v="2"/>
    <n v="2"/>
    <n v="36676"/>
    <n v="10"/>
    <n v="7335.2"/>
    <n v="11883.02"/>
    <n v="71"/>
    <n v="77970.820000000007"/>
    <x v="1"/>
    <x v="0"/>
    <s v="Chandigarh"/>
    <x v="1"/>
    <x v="1"/>
    <n v="2"/>
    <x v="1"/>
    <n v="4"/>
    <s v="Shipped"/>
  </r>
  <r>
    <s v="ORD00558"/>
    <x v="283"/>
    <s v="CUST503"/>
    <s v="Vikas"/>
    <x v="0"/>
    <n v="36"/>
    <x v="5"/>
    <x v="0"/>
    <x v="5"/>
    <x v="9"/>
    <n v="3"/>
    <n v="7820"/>
    <n v="5"/>
    <n v="1173"/>
    <n v="4011.66"/>
    <n v="161"/>
    <n v="26459.66"/>
    <x v="0"/>
    <x v="1"/>
    <s v="Chandigarh"/>
    <x v="1"/>
    <x v="1"/>
    <n v="7"/>
    <x v="0"/>
    <n v="5"/>
    <s v="Returned"/>
  </r>
  <r>
    <s v="ORD00559"/>
    <x v="8"/>
    <s v="CUST358"/>
    <s v="Priya"/>
    <x v="1"/>
    <n v="55"/>
    <x v="7"/>
    <x v="1"/>
    <x v="7"/>
    <x v="1"/>
    <n v="2"/>
    <n v="13342"/>
    <n v="0"/>
    <n v="0"/>
    <n v="4803.12"/>
    <n v="174"/>
    <n v="31661.119999999999"/>
    <x v="1"/>
    <x v="0"/>
    <s v="Bangalore"/>
    <x v="3"/>
    <x v="2"/>
    <n v="4"/>
    <x v="0"/>
    <n v="5"/>
    <s v="Cancelled"/>
  </r>
  <r>
    <s v="ORD00560"/>
    <x v="145"/>
    <s v="CUST936"/>
    <s v="Rahul"/>
    <x v="1"/>
    <n v="60"/>
    <x v="7"/>
    <x v="1"/>
    <x v="7"/>
    <x v="0"/>
    <n v="1"/>
    <n v="22384"/>
    <n v="0"/>
    <n v="0"/>
    <n v="4029.12"/>
    <n v="175"/>
    <n v="26588.12"/>
    <x v="0"/>
    <x v="1"/>
    <s v="Delhi"/>
    <x v="5"/>
    <x v="1"/>
    <n v="2"/>
    <x v="1"/>
    <n v="2"/>
    <s v="Returned"/>
  </r>
  <r>
    <s v="ORD00561"/>
    <x v="181"/>
    <s v="CUST242"/>
    <s v="Vikas"/>
    <x v="1"/>
    <n v="45"/>
    <x v="1"/>
    <x v="0"/>
    <x v="1"/>
    <x v="9"/>
    <n v="2"/>
    <n v="22350"/>
    <n v="0"/>
    <n v="0"/>
    <n v="8046"/>
    <n v="119"/>
    <n v="52865"/>
    <x v="2"/>
    <x v="0"/>
    <s v="Jaipur"/>
    <x v="2"/>
    <x v="1"/>
    <n v="9"/>
    <x v="1"/>
    <n v="3"/>
    <s v="Cancelled"/>
  </r>
  <r>
    <s v="ORD00562"/>
    <x v="51"/>
    <s v="CUST697"/>
    <s v="Arjun"/>
    <x v="1"/>
    <n v="36"/>
    <x v="1"/>
    <x v="0"/>
    <x v="1"/>
    <x v="2"/>
    <n v="1"/>
    <n v="30336"/>
    <n v="5"/>
    <n v="1516.8"/>
    <n v="5187.46"/>
    <n v="83"/>
    <n v="34089.660000000003"/>
    <x v="0"/>
    <x v="0"/>
    <s v="Delhi"/>
    <x v="5"/>
    <x v="1"/>
    <n v="9"/>
    <x v="0"/>
    <n v="4"/>
    <s v="Delivered"/>
  </r>
  <r>
    <s v="ORD00563"/>
    <x v="186"/>
    <s v="CUST246"/>
    <s v="Arjun"/>
    <x v="0"/>
    <n v="47"/>
    <x v="6"/>
    <x v="0"/>
    <x v="6"/>
    <x v="4"/>
    <n v="5"/>
    <n v="14793"/>
    <n v="10"/>
    <n v="7396.5"/>
    <n v="11982.33"/>
    <n v="384"/>
    <n v="78934.83"/>
    <x v="3"/>
    <x v="0"/>
    <s v="Delhi"/>
    <x v="5"/>
    <x v="1"/>
    <n v="10"/>
    <x v="1"/>
    <n v="3"/>
    <s v="Shipped"/>
  </r>
  <r>
    <s v="ORD00564"/>
    <x v="1"/>
    <s v="CUST316"/>
    <s v="Neha"/>
    <x v="0"/>
    <n v="33"/>
    <x v="4"/>
    <x v="0"/>
    <x v="4"/>
    <x v="6"/>
    <n v="3"/>
    <n v="38101"/>
    <n v="10"/>
    <n v="11430.3"/>
    <n v="18517.09"/>
    <n v="123"/>
    <n v="121512.79"/>
    <x v="3"/>
    <x v="1"/>
    <s v="Lucknow"/>
    <x v="4"/>
    <x v="1"/>
    <n v="4"/>
    <x v="0"/>
    <n v="1"/>
    <s v="Shipped"/>
  </r>
  <r>
    <s v="ORD00565"/>
    <x v="284"/>
    <s v="CUST777"/>
    <s v="Karan"/>
    <x v="0"/>
    <n v="27"/>
    <x v="3"/>
    <x v="2"/>
    <x v="3"/>
    <x v="2"/>
    <n v="2"/>
    <n v="20386"/>
    <n v="20"/>
    <n v="8154.4"/>
    <n v="5871.17"/>
    <n v="48"/>
    <n v="38536.769999999997"/>
    <x v="3"/>
    <x v="1"/>
    <s v="Pune"/>
    <x v="0"/>
    <x v="0"/>
    <n v="10"/>
    <x v="0"/>
    <n v="1"/>
    <s v="Shipped"/>
  </r>
  <r>
    <s v="ORD00566"/>
    <x v="285"/>
    <s v="CUST689"/>
    <s v="Sneha"/>
    <x v="0"/>
    <n v="28"/>
    <x v="5"/>
    <x v="0"/>
    <x v="5"/>
    <x v="0"/>
    <n v="2"/>
    <n v="12947"/>
    <n v="10"/>
    <n v="2589.4"/>
    <n v="4194.83"/>
    <n v="401"/>
    <n v="27900.43"/>
    <x v="2"/>
    <x v="0"/>
    <s v="Pune"/>
    <x v="0"/>
    <x v="0"/>
    <n v="1"/>
    <x v="1"/>
    <n v="1"/>
    <s v="Cancelled"/>
  </r>
  <r>
    <s v="ORD00567"/>
    <x v="95"/>
    <s v="CUST990"/>
    <s v="Rahul"/>
    <x v="1"/>
    <n v="29"/>
    <x v="3"/>
    <x v="2"/>
    <x v="3"/>
    <x v="7"/>
    <n v="1"/>
    <n v="45669"/>
    <n v="20"/>
    <n v="9133.7999999999993"/>
    <n v="6576.34"/>
    <n v="84"/>
    <n v="43195.54"/>
    <x v="3"/>
    <x v="0"/>
    <s v="Delhi"/>
    <x v="5"/>
    <x v="1"/>
    <n v="9"/>
    <x v="1"/>
    <n v="1"/>
    <s v="Cancelled"/>
  </r>
  <r>
    <s v="ORD00568"/>
    <x v="130"/>
    <s v="CUST662"/>
    <s v="Vikas"/>
    <x v="0"/>
    <n v="27"/>
    <x v="1"/>
    <x v="0"/>
    <x v="1"/>
    <x v="8"/>
    <n v="5"/>
    <n v="32363"/>
    <n v="15"/>
    <n v="24272.25"/>
    <n v="24757.69"/>
    <n v="55"/>
    <n v="162355.45000000001"/>
    <x v="0"/>
    <x v="1"/>
    <s v="Delhi"/>
    <x v="5"/>
    <x v="1"/>
    <n v="4"/>
    <x v="1"/>
    <n v="3"/>
    <s v="Delivered"/>
  </r>
  <r>
    <s v="ORD00569"/>
    <x v="286"/>
    <s v="CUST179"/>
    <s v="Anjali"/>
    <x v="0"/>
    <n v="18"/>
    <x v="5"/>
    <x v="0"/>
    <x v="5"/>
    <x v="9"/>
    <n v="2"/>
    <n v="26083"/>
    <n v="5"/>
    <n v="2608.3000000000002"/>
    <n v="8920.39"/>
    <n v="148"/>
    <n v="58626.09"/>
    <x v="1"/>
    <x v="0"/>
    <s v="Lucknow"/>
    <x v="4"/>
    <x v="1"/>
    <n v="4"/>
    <x v="0"/>
    <n v="2"/>
    <s v="Delivered"/>
  </r>
  <r>
    <s v="ORD00570"/>
    <x v="280"/>
    <s v="CUST155"/>
    <s v="Neha"/>
    <x v="1"/>
    <n v="28"/>
    <x v="5"/>
    <x v="0"/>
    <x v="5"/>
    <x v="6"/>
    <n v="4"/>
    <n v="18529"/>
    <n v="20"/>
    <n v="14823.2"/>
    <n v="10672.7"/>
    <n v="326"/>
    <n v="70291.5"/>
    <x v="0"/>
    <x v="1"/>
    <s v="Bangalore"/>
    <x v="3"/>
    <x v="2"/>
    <n v="10"/>
    <x v="0"/>
    <n v="4"/>
    <s v="Shipped"/>
  </r>
  <r>
    <s v="ORD00571"/>
    <x v="215"/>
    <s v="CUST611"/>
    <s v="Sneha"/>
    <x v="0"/>
    <n v="22"/>
    <x v="1"/>
    <x v="0"/>
    <x v="1"/>
    <x v="0"/>
    <n v="5"/>
    <n v="48092"/>
    <n v="0"/>
    <n v="0"/>
    <n v="43282.8"/>
    <n v="210"/>
    <n v="283952.8"/>
    <x v="2"/>
    <x v="0"/>
    <s v="Lucknow"/>
    <x v="4"/>
    <x v="1"/>
    <n v="3"/>
    <x v="0"/>
    <n v="1"/>
    <s v="Returned"/>
  </r>
  <r>
    <s v="ORD00572"/>
    <x v="63"/>
    <s v="CUST436"/>
    <s v="Riya"/>
    <x v="1"/>
    <n v="28"/>
    <x v="2"/>
    <x v="1"/>
    <x v="2"/>
    <x v="5"/>
    <n v="1"/>
    <n v="46450"/>
    <n v="10"/>
    <n v="4645"/>
    <n v="7524.9"/>
    <n v="11"/>
    <n v="49340.9"/>
    <x v="2"/>
    <x v="0"/>
    <s v="Bangalore"/>
    <x v="3"/>
    <x v="2"/>
    <n v="8"/>
    <x v="0"/>
    <n v="5"/>
    <s v="Delivered"/>
  </r>
  <r>
    <s v="ORD00573"/>
    <x v="287"/>
    <s v="CUST934"/>
    <s v="Anjali"/>
    <x v="1"/>
    <n v="19"/>
    <x v="1"/>
    <x v="0"/>
    <x v="1"/>
    <x v="1"/>
    <n v="2"/>
    <n v="7461"/>
    <n v="5"/>
    <n v="746.1"/>
    <n v="2551.66"/>
    <n v="462"/>
    <n v="17189.560000000001"/>
    <x v="2"/>
    <x v="1"/>
    <s v="Bangalore"/>
    <x v="3"/>
    <x v="2"/>
    <n v="4"/>
    <x v="1"/>
    <n v="5"/>
    <s v="Shipped"/>
  </r>
  <r>
    <s v="ORD00574"/>
    <x v="288"/>
    <s v="CUST596"/>
    <s v="Karan"/>
    <x v="0"/>
    <n v="26"/>
    <x v="6"/>
    <x v="0"/>
    <x v="6"/>
    <x v="9"/>
    <n v="4"/>
    <n v="34693"/>
    <n v="20"/>
    <n v="27754.400000000001"/>
    <n v="19983.169999999998"/>
    <n v="92"/>
    <n v="131092.76999999999"/>
    <x v="3"/>
    <x v="0"/>
    <s v="Mumbai"/>
    <x v="0"/>
    <x v="0"/>
    <n v="6"/>
    <x v="1"/>
    <n v="3"/>
    <s v="Shipped"/>
  </r>
  <r>
    <s v="ORD00575"/>
    <x v="289"/>
    <s v="CUST732"/>
    <s v="Arjun"/>
    <x v="1"/>
    <n v="29"/>
    <x v="5"/>
    <x v="0"/>
    <x v="5"/>
    <x v="6"/>
    <n v="1"/>
    <n v="32825"/>
    <n v="10"/>
    <n v="3282.5"/>
    <n v="5317.65"/>
    <n v="116"/>
    <n v="34976.15"/>
    <x v="1"/>
    <x v="1"/>
    <s v="Delhi"/>
    <x v="5"/>
    <x v="1"/>
    <n v="7"/>
    <x v="1"/>
    <n v="4"/>
    <s v="Delivered"/>
  </r>
  <r>
    <s v="ORD00576"/>
    <x v="117"/>
    <s v="CUST254"/>
    <s v="Neha"/>
    <x v="0"/>
    <n v="33"/>
    <x v="1"/>
    <x v="0"/>
    <x v="1"/>
    <x v="6"/>
    <n v="3"/>
    <n v="10600"/>
    <n v="20"/>
    <n v="6360"/>
    <n v="4579.2"/>
    <n v="129"/>
    <n v="30148.2"/>
    <x v="3"/>
    <x v="0"/>
    <s v="Chandigarh"/>
    <x v="1"/>
    <x v="1"/>
    <n v="10"/>
    <x v="1"/>
    <n v="2"/>
    <s v="Shipped"/>
  </r>
  <r>
    <s v="ORD00577"/>
    <x v="232"/>
    <s v="CUST537"/>
    <s v="Priya"/>
    <x v="0"/>
    <n v="50"/>
    <x v="3"/>
    <x v="2"/>
    <x v="3"/>
    <x v="1"/>
    <n v="3"/>
    <n v="36848"/>
    <n v="5"/>
    <n v="5527.2"/>
    <n v="18903.02"/>
    <n v="368"/>
    <n v="124287.82"/>
    <x v="1"/>
    <x v="1"/>
    <s v="Chandigarh"/>
    <x v="1"/>
    <x v="1"/>
    <n v="3"/>
    <x v="0"/>
    <n v="1"/>
    <s v="Cancelled"/>
  </r>
  <r>
    <s v="ORD00578"/>
    <x v="246"/>
    <s v="CUST858"/>
    <s v="Amit"/>
    <x v="1"/>
    <n v="32"/>
    <x v="3"/>
    <x v="2"/>
    <x v="3"/>
    <x v="6"/>
    <n v="3"/>
    <n v="35709"/>
    <n v="0"/>
    <n v="0"/>
    <n v="19282.86"/>
    <n v="36"/>
    <n v="126445.86"/>
    <x v="0"/>
    <x v="0"/>
    <s v="Delhi"/>
    <x v="5"/>
    <x v="1"/>
    <n v="7"/>
    <x v="0"/>
    <n v="4"/>
    <s v="Shipped"/>
  </r>
  <r>
    <s v="ORD00579"/>
    <x v="173"/>
    <s v="CUST272"/>
    <s v="Priya"/>
    <x v="1"/>
    <n v="27"/>
    <x v="5"/>
    <x v="0"/>
    <x v="5"/>
    <x v="7"/>
    <n v="4"/>
    <n v="20644"/>
    <n v="5"/>
    <n v="4128.8"/>
    <n v="14120.5"/>
    <n v="344"/>
    <n v="92911.7"/>
    <x v="3"/>
    <x v="1"/>
    <s v="Patiala"/>
    <x v="1"/>
    <x v="1"/>
    <n v="6"/>
    <x v="0"/>
    <n v="3"/>
    <s v="Shipped"/>
  </r>
  <r>
    <s v="ORD00580"/>
    <x v="152"/>
    <s v="CUST839"/>
    <s v="Neha"/>
    <x v="1"/>
    <n v="40"/>
    <x v="0"/>
    <x v="0"/>
    <x v="0"/>
    <x v="8"/>
    <n v="2"/>
    <n v="6782"/>
    <n v="10"/>
    <n v="1356.4"/>
    <n v="2197.37"/>
    <n v="59"/>
    <n v="14463.97"/>
    <x v="3"/>
    <x v="0"/>
    <s v="Lucknow"/>
    <x v="4"/>
    <x v="1"/>
    <n v="2"/>
    <x v="0"/>
    <n v="1"/>
    <s v="Delivered"/>
  </r>
  <r>
    <s v="ORD00581"/>
    <x v="290"/>
    <s v="CUST585"/>
    <s v="Neha"/>
    <x v="1"/>
    <n v="33"/>
    <x v="7"/>
    <x v="1"/>
    <x v="7"/>
    <x v="7"/>
    <n v="3"/>
    <n v="30995"/>
    <n v="5"/>
    <n v="4649.25"/>
    <n v="15900.43"/>
    <n v="207"/>
    <n v="104443.18"/>
    <x v="1"/>
    <x v="1"/>
    <s v="Chandigarh"/>
    <x v="1"/>
    <x v="1"/>
    <n v="6"/>
    <x v="0"/>
    <n v="5"/>
    <s v="Shipped"/>
  </r>
  <r>
    <s v="ORD00582"/>
    <x v="4"/>
    <s v="CUST817"/>
    <s v="Priya"/>
    <x v="1"/>
    <n v="19"/>
    <x v="1"/>
    <x v="0"/>
    <x v="1"/>
    <x v="5"/>
    <n v="1"/>
    <n v="31065"/>
    <n v="20"/>
    <n v="6213"/>
    <n v="4473.3599999999997"/>
    <n v="485"/>
    <n v="29810.36"/>
    <x v="1"/>
    <x v="1"/>
    <s v="Patiala"/>
    <x v="1"/>
    <x v="1"/>
    <n v="8"/>
    <x v="1"/>
    <n v="4"/>
    <s v="Delivered"/>
  </r>
  <r>
    <s v="ORD00583"/>
    <x v="158"/>
    <s v="CUST795"/>
    <s v="Arjun"/>
    <x v="1"/>
    <n v="23"/>
    <x v="2"/>
    <x v="1"/>
    <x v="2"/>
    <x v="6"/>
    <n v="4"/>
    <n v="25638"/>
    <n v="5"/>
    <n v="5127.6000000000004"/>
    <n v="17536.39"/>
    <n v="105"/>
    <n v="115065.79"/>
    <x v="0"/>
    <x v="1"/>
    <s v="Patiala"/>
    <x v="1"/>
    <x v="1"/>
    <n v="6"/>
    <x v="0"/>
    <n v="5"/>
    <s v="Shipped"/>
  </r>
  <r>
    <s v="ORD00584"/>
    <x v="253"/>
    <s v="CUST363"/>
    <s v="Neha"/>
    <x v="1"/>
    <n v="44"/>
    <x v="2"/>
    <x v="1"/>
    <x v="2"/>
    <x v="9"/>
    <n v="3"/>
    <n v="36997"/>
    <n v="20"/>
    <n v="22198.2"/>
    <n v="15982.7"/>
    <n v="276"/>
    <n v="105051.5"/>
    <x v="0"/>
    <x v="1"/>
    <s v="Lucknow"/>
    <x v="4"/>
    <x v="1"/>
    <n v="7"/>
    <x v="1"/>
    <n v="2"/>
    <s v="Returned"/>
  </r>
  <r>
    <s v="ORD00585"/>
    <x v="285"/>
    <s v="CUST689"/>
    <s v="Priya"/>
    <x v="0"/>
    <n v="57"/>
    <x v="7"/>
    <x v="1"/>
    <x v="7"/>
    <x v="7"/>
    <n v="2"/>
    <n v="22302"/>
    <n v="0"/>
    <n v="0"/>
    <n v="8028.72"/>
    <n v="137"/>
    <n v="52769.72"/>
    <x v="3"/>
    <x v="0"/>
    <s v="Lucknow"/>
    <x v="4"/>
    <x v="1"/>
    <n v="9"/>
    <x v="1"/>
    <n v="2"/>
    <s v="Cancelled"/>
  </r>
  <r>
    <s v="ORD00586"/>
    <x v="291"/>
    <s v="CUST137"/>
    <s v="Rahul"/>
    <x v="0"/>
    <n v="54"/>
    <x v="7"/>
    <x v="1"/>
    <x v="7"/>
    <x v="3"/>
    <n v="4"/>
    <n v="27890"/>
    <n v="5"/>
    <n v="5578"/>
    <n v="19076.759999999998"/>
    <n v="263"/>
    <n v="125321.76"/>
    <x v="3"/>
    <x v="1"/>
    <s v="Jaipur"/>
    <x v="2"/>
    <x v="1"/>
    <n v="4"/>
    <x v="0"/>
    <n v="5"/>
    <s v="Shipped"/>
  </r>
  <r>
    <s v="ORD00587"/>
    <x v="172"/>
    <s v="CUST910"/>
    <s v="Arjun"/>
    <x v="1"/>
    <n v="43"/>
    <x v="7"/>
    <x v="1"/>
    <x v="7"/>
    <x v="1"/>
    <n v="1"/>
    <n v="3325"/>
    <n v="15"/>
    <n v="498.75"/>
    <n v="508.72"/>
    <n v="182"/>
    <n v="3516.97"/>
    <x v="0"/>
    <x v="1"/>
    <s v="Delhi"/>
    <x v="5"/>
    <x v="1"/>
    <n v="6"/>
    <x v="1"/>
    <n v="5"/>
    <s v="Returned"/>
  </r>
  <r>
    <s v="ORD00588"/>
    <x v="292"/>
    <s v="CUST874"/>
    <s v="Sneha"/>
    <x v="1"/>
    <n v="42"/>
    <x v="1"/>
    <x v="0"/>
    <x v="1"/>
    <x v="9"/>
    <n v="1"/>
    <n v="46035"/>
    <n v="0"/>
    <n v="0"/>
    <n v="8286.2999999999993"/>
    <n v="39"/>
    <n v="54360.3"/>
    <x v="0"/>
    <x v="1"/>
    <s v="Bangalore"/>
    <x v="3"/>
    <x v="2"/>
    <n v="2"/>
    <x v="0"/>
    <n v="2"/>
    <s v="Returned"/>
  </r>
  <r>
    <s v="ORD00589"/>
    <x v="61"/>
    <s v="CUST536"/>
    <s v="Karan"/>
    <x v="1"/>
    <n v="26"/>
    <x v="1"/>
    <x v="0"/>
    <x v="1"/>
    <x v="3"/>
    <n v="4"/>
    <n v="43793"/>
    <n v="0"/>
    <n v="0"/>
    <n v="31530.959999999999"/>
    <n v="187"/>
    <n v="206889.96"/>
    <x v="0"/>
    <x v="1"/>
    <s v="Delhi"/>
    <x v="5"/>
    <x v="1"/>
    <n v="2"/>
    <x v="0"/>
    <n v="5"/>
    <s v="Returned"/>
  </r>
  <r>
    <s v="ORD00590"/>
    <x v="91"/>
    <s v="CUST447"/>
    <s v="Amit"/>
    <x v="1"/>
    <n v="51"/>
    <x v="2"/>
    <x v="1"/>
    <x v="2"/>
    <x v="4"/>
    <n v="1"/>
    <n v="36558"/>
    <n v="10"/>
    <n v="3655.8"/>
    <n v="5922.4"/>
    <n v="204"/>
    <n v="39028.6"/>
    <x v="0"/>
    <x v="0"/>
    <s v="Delhi"/>
    <x v="5"/>
    <x v="1"/>
    <n v="10"/>
    <x v="1"/>
    <n v="2"/>
    <s v="Delivered"/>
  </r>
  <r>
    <s v="ORD00591"/>
    <x v="93"/>
    <s v="CUST336"/>
    <s v="Vikas"/>
    <x v="0"/>
    <n v="22"/>
    <x v="4"/>
    <x v="0"/>
    <x v="4"/>
    <x v="4"/>
    <n v="1"/>
    <n v="11976"/>
    <n v="10"/>
    <n v="1197.5999999999999"/>
    <n v="1940.11"/>
    <n v="188"/>
    <n v="12906.51"/>
    <x v="3"/>
    <x v="1"/>
    <s v="Pune"/>
    <x v="0"/>
    <x v="0"/>
    <n v="9"/>
    <x v="1"/>
    <n v="3"/>
    <s v="Shipped"/>
  </r>
  <r>
    <s v="ORD00592"/>
    <x v="187"/>
    <s v="CUST759"/>
    <s v="Priya"/>
    <x v="1"/>
    <n v="33"/>
    <x v="4"/>
    <x v="0"/>
    <x v="4"/>
    <x v="3"/>
    <n v="2"/>
    <n v="30404"/>
    <n v="15"/>
    <n v="9121.2000000000007"/>
    <n v="9303.6200000000008"/>
    <n v="243"/>
    <n v="61233.42"/>
    <x v="2"/>
    <x v="1"/>
    <s v="Bangalore"/>
    <x v="3"/>
    <x v="2"/>
    <n v="6"/>
    <x v="1"/>
    <n v="2"/>
    <s v="Returned"/>
  </r>
  <r>
    <s v="ORD00593"/>
    <x v="151"/>
    <s v="CUST410"/>
    <s v="Riya"/>
    <x v="1"/>
    <n v="35"/>
    <x v="8"/>
    <x v="0"/>
    <x v="8"/>
    <x v="2"/>
    <n v="5"/>
    <n v="19190"/>
    <n v="15"/>
    <n v="14392.5"/>
    <n v="14680.35"/>
    <n v="285"/>
    <n v="96522.85"/>
    <x v="2"/>
    <x v="1"/>
    <s v="Bangalore"/>
    <x v="3"/>
    <x v="2"/>
    <n v="2"/>
    <x v="1"/>
    <n v="2"/>
    <s v="Cancelled"/>
  </r>
  <r>
    <s v="ORD00594"/>
    <x v="60"/>
    <s v="CUST598"/>
    <s v="Sneha"/>
    <x v="1"/>
    <n v="44"/>
    <x v="5"/>
    <x v="0"/>
    <x v="5"/>
    <x v="8"/>
    <n v="2"/>
    <n v="13865"/>
    <n v="15"/>
    <n v="4159.5"/>
    <n v="4242.6899999999996"/>
    <n v="362"/>
    <n v="28175.19"/>
    <x v="0"/>
    <x v="1"/>
    <s v="Lucknow"/>
    <x v="4"/>
    <x v="1"/>
    <n v="4"/>
    <x v="0"/>
    <n v="1"/>
    <s v="Cancelled"/>
  </r>
  <r>
    <s v="ORD00595"/>
    <x v="5"/>
    <s v="CUST707"/>
    <s v="Amit"/>
    <x v="1"/>
    <n v="20"/>
    <x v="6"/>
    <x v="0"/>
    <x v="6"/>
    <x v="4"/>
    <n v="5"/>
    <n v="45732"/>
    <n v="20"/>
    <n v="45732"/>
    <n v="32927.040000000001"/>
    <n v="346"/>
    <n v="216201.04"/>
    <x v="2"/>
    <x v="0"/>
    <s v="Jaipur"/>
    <x v="2"/>
    <x v="1"/>
    <n v="6"/>
    <x v="0"/>
    <n v="5"/>
    <s v="Cancelled"/>
  </r>
  <r>
    <s v="ORD00596"/>
    <x v="293"/>
    <s v="CUST638"/>
    <s v="Amit"/>
    <x v="0"/>
    <n v="37"/>
    <x v="8"/>
    <x v="0"/>
    <x v="8"/>
    <x v="1"/>
    <n v="3"/>
    <n v="13690"/>
    <n v="0"/>
    <n v="0"/>
    <n v="7392.6"/>
    <n v="496"/>
    <n v="48958.6"/>
    <x v="0"/>
    <x v="0"/>
    <s v="Chandigarh"/>
    <x v="1"/>
    <x v="1"/>
    <n v="8"/>
    <x v="0"/>
    <n v="4"/>
    <s v="Shipped"/>
  </r>
  <r>
    <s v="ORD00597"/>
    <x v="294"/>
    <s v="CUST376"/>
    <s v="Anjali"/>
    <x v="0"/>
    <n v="47"/>
    <x v="6"/>
    <x v="0"/>
    <x v="6"/>
    <x v="8"/>
    <n v="5"/>
    <n v="35073"/>
    <n v="5"/>
    <n v="8768.25"/>
    <n v="29987.41"/>
    <n v="32"/>
    <n v="196616.17"/>
    <x v="3"/>
    <x v="0"/>
    <s v="Pune"/>
    <x v="0"/>
    <x v="0"/>
    <n v="1"/>
    <x v="1"/>
    <n v="5"/>
    <s v="Delivered"/>
  </r>
  <r>
    <s v="ORD00598"/>
    <x v="111"/>
    <s v="CUST497"/>
    <s v="Arjun"/>
    <x v="0"/>
    <n v="56"/>
    <x v="6"/>
    <x v="0"/>
    <x v="6"/>
    <x v="5"/>
    <n v="2"/>
    <n v="24176"/>
    <n v="20"/>
    <n v="9670.4"/>
    <n v="6962.69"/>
    <n v="241"/>
    <n v="45885.29"/>
    <x v="0"/>
    <x v="0"/>
    <s v="Bangalore"/>
    <x v="3"/>
    <x v="2"/>
    <n v="10"/>
    <x v="1"/>
    <n v="3"/>
    <s v="Shipped"/>
  </r>
  <r>
    <s v="ORD00599"/>
    <x v="217"/>
    <s v="CUST439"/>
    <s v="Anjali"/>
    <x v="0"/>
    <n v="28"/>
    <x v="8"/>
    <x v="0"/>
    <x v="8"/>
    <x v="9"/>
    <n v="4"/>
    <n v="3776"/>
    <n v="5"/>
    <n v="755.2"/>
    <n v="2582.7800000000002"/>
    <n v="358"/>
    <n v="17289.580000000002"/>
    <x v="2"/>
    <x v="0"/>
    <s v="Bangalore"/>
    <x v="3"/>
    <x v="2"/>
    <n v="1"/>
    <x v="1"/>
    <n v="5"/>
    <s v="Shipped"/>
  </r>
  <r>
    <s v="ORD00600"/>
    <x v="206"/>
    <s v="CUST431"/>
    <s v="Sneha"/>
    <x v="1"/>
    <n v="48"/>
    <x v="5"/>
    <x v="0"/>
    <x v="5"/>
    <x v="3"/>
    <n v="2"/>
    <n v="31074"/>
    <n v="20"/>
    <n v="12429.6"/>
    <n v="8949.31"/>
    <n v="343"/>
    <n v="59010.71"/>
    <x v="2"/>
    <x v="1"/>
    <s v="Mumbai"/>
    <x v="0"/>
    <x v="0"/>
    <n v="7"/>
    <x v="1"/>
    <n v="4"/>
    <s v="Delivered"/>
  </r>
  <r>
    <s v="ORD00601"/>
    <x v="177"/>
    <s v="CUST143"/>
    <s v="Anjali"/>
    <x v="1"/>
    <n v="55"/>
    <x v="1"/>
    <x v="0"/>
    <x v="1"/>
    <x v="9"/>
    <n v="4"/>
    <n v="34430"/>
    <n v="20"/>
    <n v="27544"/>
    <n v="19831.68"/>
    <n v="63"/>
    <n v="130070.68"/>
    <x v="2"/>
    <x v="1"/>
    <s v="Jaipur"/>
    <x v="2"/>
    <x v="1"/>
    <n v="1"/>
    <x v="1"/>
    <n v="2"/>
    <s v="Cancelled"/>
  </r>
  <r>
    <s v="ORD00602"/>
    <x v="120"/>
    <s v="CUST726"/>
    <s v="Arjun"/>
    <x v="0"/>
    <n v="56"/>
    <x v="9"/>
    <x v="0"/>
    <x v="9"/>
    <x v="4"/>
    <n v="2"/>
    <n v="39830"/>
    <n v="10"/>
    <n v="7966"/>
    <n v="12904.92"/>
    <n v="432"/>
    <n v="85030.92"/>
    <x v="1"/>
    <x v="1"/>
    <s v="Chandigarh"/>
    <x v="1"/>
    <x v="1"/>
    <n v="8"/>
    <x v="1"/>
    <n v="2"/>
    <s v="Returned"/>
  </r>
  <r>
    <s v="ORD00603"/>
    <x v="291"/>
    <s v="CUST767"/>
    <s v="Priya"/>
    <x v="0"/>
    <n v="21"/>
    <x v="9"/>
    <x v="0"/>
    <x v="9"/>
    <x v="2"/>
    <n v="2"/>
    <n v="41119"/>
    <n v="5"/>
    <n v="4111.8999999999996"/>
    <n v="14062.7"/>
    <n v="355"/>
    <n v="92543.8"/>
    <x v="0"/>
    <x v="0"/>
    <s v="Delhi"/>
    <x v="5"/>
    <x v="1"/>
    <n v="7"/>
    <x v="1"/>
    <n v="3"/>
    <s v="Delivered"/>
  </r>
  <r>
    <s v="ORD00604"/>
    <x v="231"/>
    <s v="CUST364"/>
    <s v="Amit"/>
    <x v="1"/>
    <n v="27"/>
    <x v="5"/>
    <x v="0"/>
    <x v="5"/>
    <x v="6"/>
    <n v="2"/>
    <n v="35061"/>
    <n v="5"/>
    <n v="3506.1"/>
    <n v="11990.86"/>
    <n v="303"/>
    <n v="78909.759999999995"/>
    <x v="2"/>
    <x v="0"/>
    <s v="Chandigarh"/>
    <x v="1"/>
    <x v="1"/>
    <n v="6"/>
    <x v="0"/>
    <n v="1"/>
    <s v="Shipped"/>
  </r>
  <r>
    <s v="ORD00605"/>
    <x v="295"/>
    <s v="CUST351"/>
    <s v="Karan"/>
    <x v="1"/>
    <n v="25"/>
    <x v="0"/>
    <x v="0"/>
    <x v="0"/>
    <x v="2"/>
    <n v="5"/>
    <n v="13176"/>
    <n v="20"/>
    <n v="13176"/>
    <n v="9486.7199999999993"/>
    <n v="109"/>
    <n v="62299.72"/>
    <x v="1"/>
    <x v="1"/>
    <s v="Pune"/>
    <x v="0"/>
    <x v="0"/>
    <n v="1"/>
    <x v="1"/>
    <n v="4"/>
    <s v="Cancelled"/>
  </r>
  <r>
    <s v="ORD00606"/>
    <x v="80"/>
    <s v="CUST699"/>
    <s v="Karan"/>
    <x v="1"/>
    <n v="42"/>
    <x v="7"/>
    <x v="1"/>
    <x v="7"/>
    <x v="2"/>
    <n v="5"/>
    <n v="38288"/>
    <n v="10"/>
    <n v="19144"/>
    <n v="31013.279999999999"/>
    <n v="33"/>
    <n v="203342.28"/>
    <x v="0"/>
    <x v="1"/>
    <s v="Chandigarh"/>
    <x v="1"/>
    <x v="1"/>
    <n v="2"/>
    <x v="1"/>
    <n v="2"/>
    <s v="Shipped"/>
  </r>
  <r>
    <s v="ORD00607"/>
    <x v="282"/>
    <s v="CUST372"/>
    <s v="Amit"/>
    <x v="0"/>
    <n v="23"/>
    <x v="2"/>
    <x v="1"/>
    <x v="2"/>
    <x v="0"/>
    <n v="5"/>
    <n v="34595"/>
    <n v="0"/>
    <n v="0"/>
    <n v="31135.5"/>
    <n v="278"/>
    <n v="204388.5"/>
    <x v="1"/>
    <x v="0"/>
    <s v="Chandigarh"/>
    <x v="1"/>
    <x v="1"/>
    <n v="7"/>
    <x v="1"/>
    <n v="4"/>
    <s v="Cancelled"/>
  </r>
  <r>
    <s v="ORD00608"/>
    <x v="296"/>
    <s v="CUST786"/>
    <s v="Vikas"/>
    <x v="1"/>
    <n v="45"/>
    <x v="6"/>
    <x v="0"/>
    <x v="6"/>
    <x v="9"/>
    <n v="4"/>
    <n v="14803"/>
    <n v="5"/>
    <n v="2960.6"/>
    <n v="10125.25"/>
    <n v="444"/>
    <n v="66820.649999999994"/>
    <x v="3"/>
    <x v="0"/>
    <s v="Lucknow"/>
    <x v="4"/>
    <x v="1"/>
    <n v="1"/>
    <x v="0"/>
    <n v="4"/>
    <s v="Delivered"/>
  </r>
  <r>
    <s v="ORD00609"/>
    <x v="97"/>
    <s v="CUST436"/>
    <s v="Karan"/>
    <x v="1"/>
    <n v="23"/>
    <x v="7"/>
    <x v="1"/>
    <x v="7"/>
    <x v="9"/>
    <n v="4"/>
    <n v="46728"/>
    <n v="20"/>
    <n v="37382.400000000001"/>
    <n v="26915.33"/>
    <n v="488"/>
    <n v="176932.93"/>
    <x v="0"/>
    <x v="1"/>
    <s v="Pune"/>
    <x v="0"/>
    <x v="0"/>
    <n v="6"/>
    <x v="0"/>
    <n v="3"/>
    <s v="Shipped"/>
  </r>
  <r>
    <s v="ORD00610"/>
    <x v="294"/>
    <s v="CUST179"/>
    <s v="Amit"/>
    <x v="1"/>
    <n v="56"/>
    <x v="2"/>
    <x v="1"/>
    <x v="2"/>
    <x v="4"/>
    <n v="1"/>
    <n v="27870"/>
    <n v="10"/>
    <n v="2787"/>
    <n v="4514.9399999999996"/>
    <n v="498"/>
    <n v="30095.94"/>
    <x v="0"/>
    <x v="1"/>
    <s v="Delhi"/>
    <x v="5"/>
    <x v="1"/>
    <n v="8"/>
    <x v="1"/>
    <n v="5"/>
    <s v="Returned"/>
  </r>
  <r>
    <s v="ORD00611"/>
    <x v="143"/>
    <s v="CUST167"/>
    <s v="Riya"/>
    <x v="1"/>
    <n v="45"/>
    <x v="2"/>
    <x v="1"/>
    <x v="2"/>
    <x v="8"/>
    <n v="2"/>
    <n v="19119"/>
    <n v="20"/>
    <n v="7647.6"/>
    <n v="5506.27"/>
    <n v="309"/>
    <n v="36405.67"/>
    <x v="0"/>
    <x v="1"/>
    <s v="Jaipur"/>
    <x v="2"/>
    <x v="1"/>
    <n v="5"/>
    <x v="0"/>
    <n v="3"/>
    <s v="Shipped"/>
  </r>
  <r>
    <s v="ORD00612"/>
    <x v="135"/>
    <s v="CUST760"/>
    <s v="Rahul"/>
    <x v="0"/>
    <n v="30"/>
    <x v="7"/>
    <x v="1"/>
    <x v="7"/>
    <x v="6"/>
    <n v="5"/>
    <n v="17738"/>
    <n v="20"/>
    <n v="17738"/>
    <n v="12771.36"/>
    <n v="196"/>
    <n v="83919.360000000001"/>
    <x v="3"/>
    <x v="0"/>
    <s v="Pune"/>
    <x v="0"/>
    <x v="0"/>
    <n v="10"/>
    <x v="0"/>
    <n v="2"/>
    <s v="Cancelled"/>
  </r>
  <r>
    <s v="ORD00613"/>
    <x v="297"/>
    <s v="CUST673"/>
    <s v="Anjali"/>
    <x v="0"/>
    <n v="60"/>
    <x v="2"/>
    <x v="1"/>
    <x v="2"/>
    <x v="8"/>
    <n v="5"/>
    <n v="43569"/>
    <n v="20"/>
    <n v="43569"/>
    <n v="31369.68"/>
    <n v="221"/>
    <n v="205866.68"/>
    <x v="2"/>
    <x v="1"/>
    <s v="Jaipur"/>
    <x v="2"/>
    <x v="1"/>
    <n v="10"/>
    <x v="1"/>
    <n v="2"/>
    <s v="Returned"/>
  </r>
  <r>
    <s v="ORD00614"/>
    <x v="298"/>
    <s v="CUST132"/>
    <s v="Anjali"/>
    <x v="1"/>
    <n v="35"/>
    <x v="2"/>
    <x v="1"/>
    <x v="2"/>
    <x v="7"/>
    <n v="1"/>
    <n v="30905"/>
    <n v="15"/>
    <n v="4635.75"/>
    <n v="4728.47"/>
    <n v="324"/>
    <n v="31321.72"/>
    <x v="1"/>
    <x v="1"/>
    <s v="Pune"/>
    <x v="0"/>
    <x v="0"/>
    <n v="10"/>
    <x v="1"/>
    <n v="1"/>
    <s v="Cancelled"/>
  </r>
  <r>
    <s v="ORD00615"/>
    <x v="181"/>
    <s v="CUST381"/>
    <s v="Riya"/>
    <x v="0"/>
    <n v="58"/>
    <x v="9"/>
    <x v="0"/>
    <x v="9"/>
    <x v="6"/>
    <n v="4"/>
    <n v="41766"/>
    <n v="0"/>
    <n v="0"/>
    <n v="30071.52"/>
    <n v="436"/>
    <n v="197571.52"/>
    <x v="1"/>
    <x v="1"/>
    <s v="Delhi"/>
    <x v="5"/>
    <x v="1"/>
    <n v="2"/>
    <x v="1"/>
    <n v="2"/>
    <s v="Cancelled"/>
  </r>
  <r>
    <s v="ORD00616"/>
    <x v="58"/>
    <s v="CUST751"/>
    <s v="Priya"/>
    <x v="1"/>
    <n v="42"/>
    <x v="4"/>
    <x v="0"/>
    <x v="4"/>
    <x v="7"/>
    <n v="2"/>
    <n v="21383"/>
    <n v="20"/>
    <n v="8553.2000000000007"/>
    <n v="6158.3"/>
    <n v="235"/>
    <n v="40606.1"/>
    <x v="1"/>
    <x v="0"/>
    <s v="Lucknow"/>
    <x v="4"/>
    <x v="1"/>
    <n v="2"/>
    <x v="1"/>
    <n v="4"/>
    <s v="Returned"/>
  </r>
  <r>
    <s v="ORD00617"/>
    <x v="257"/>
    <s v="CUST387"/>
    <s v="Vikas"/>
    <x v="0"/>
    <n v="42"/>
    <x v="9"/>
    <x v="0"/>
    <x v="9"/>
    <x v="4"/>
    <n v="3"/>
    <n v="6996"/>
    <n v="0"/>
    <n v="0"/>
    <n v="3777.84"/>
    <n v="327"/>
    <n v="25092.84"/>
    <x v="0"/>
    <x v="0"/>
    <s v="Chandigarh"/>
    <x v="1"/>
    <x v="1"/>
    <n v="6"/>
    <x v="0"/>
    <n v="2"/>
    <s v="Cancelled"/>
  </r>
  <r>
    <s v="ORD00618"/>
    <x v="188"/>
    <s v="CUST120"/>
    <s v="Sneha"/>
    <x v="1"/>
    <n v="50"/>
    <x v="3"/>
    <x v="2"/>
    <x v="3"/>
    <x v="6"/>
    <n v="4"/>
    <n v="47815"/>
    <n v="10"/>
    <n v="19126"/>
    <n v="30984.12"/>
    <n v="23"/>
    <n v="203141.12"/>
    <x v="3"/>
    <x v="0"/>
    <s v="Pune"/>
    <x v="0"/>
    <x v="0"/>
    <n v="2"/>
    <x v="1"/>
    <n v="4"/>
    <s v="Delivered"/>
  </r>
  <r>
    <s v="ORD00619"/>
    <x v="153"/>
    <s v="CUST540"/>
    <s v="Neha"/>
    <x v="1"/>
    <n v="37"/>
    <x v="9"/>
    <x v="0"/>
    <x v="9"/>
    <x v="0"/>
    <n v="4"/>
    <n v="16140"/>
    <n v="20"/>
    <n v="12912"/>
    <n v="9296.64"/>
    <n v="365"/>
    <n v="61309.64"/>
    <x v="0"/>
    <x v="0"/>
    <s v="Mumbai"/>
    <x v="0"/>
    <x v="0"/>
    <n v="4"/>
    <x v="1"/>
    <n v="1"/>
    <s v="Shipped"/>
  </r>
  <r>
    <s v="ORD00620"/>
    <x v="113"/>
    <s v="CUST394"/>
    <s v="Sneha"/>
    <x v="1"/>
    <n v="43"/>
    <x v="1"/>
    <x v="0"/>
    <x v="1"/>
    <x v="6"/>
    <n v="2"/>
    <n v="1150"/>
    <n v="20"/>
    <n v="460"/>
    <n v="331.2"/>
    <n v="394"/>
    <n v="2565.1999999999998"/>
    <x v="3"/>
    <x v="1"/>
    <s v="Jaipur"/>
    <x v="2"/>
    <x v="1"/>
    <n v="9"/>
    <x v="0"/>
    <n v="2"/>
    <s v="Cancelled"/>
  </r>
  <r>
    <s v="ORD00621"/>
    <x v="270"/>
    <s v="CUST808"/>
    <s v="Vikas"/>
    <x v="0"/>
    <n v="35"/>
    <x v="5"/>
    <x v="0"/>
    <x v="5"/>
    <x v="9"/>
    <n v="5"/>
    <n v="4559"/>
    <n v="20"/>
    <n v="4559"/>
    <n v="3282.48"/>
    <n v="202"/>
    <n v="21720.48"/>
    <x v="1"/>
    <x v="0"/>
    <s v="Chandigarh"/>
    <x v="1"/>
    <x v="1"/>
    <n v="10"/>
    <x v="0"/>
    <n v="1"/>
    <s v="Shipped"/>
  </r>
  <r>
    <s v="ORD00622"/>
    <x v="174"/>
    <s v="CUST948"/>
    <s v="Arjun"/>
    <x v="1"/>
    <n v="51"/>
    <x v="1"/>
    <x v="0"/>
    <x v="1"/>
    <x v="3"/>
    <n v="5"/>
    <n v="40159"/>
    <n v="5"/>
    <n v="10039.75"/>
    <n v="34335.94"/>
    <n v="207"/>
    <n v="225298.2"/>
    <x v="0"/>
    <x v="0"/>
    <s v="Chandigarh"/>
    <x v="1"/>
    <x v="1"/>
    <n v="8"/>
    <x v="1"/>
    <n v="3"/>
    <s v="Cancelled"/>
  </r>
  <r>
    <s v="ORD00623"/>
    <x v="92"/>
    <s v="CUST972"/>
    <s v="Rahul"/>
    <x v="1"/>
    <n v="25"/>
    <x v="3"/>
    <x v="2"/>
    <x v="3"/>
    <x v="7"/>
    <n v="2"/>
    <n v="10985"/>
    <n v="5"/>
    <n v="1098.5"/>
    <n v="3756.87"/>
    <n v="120"/>
    <n v="24748.37"/>
    <x v="3"/>
    <x v="1"/>
    <s v="Pune"/>
    <x v="0"/>
    <x v="0"/>
    <n v="8"/>
    <x v="0"/>
    <n v="4"/>
    <s v="Shipped"/>
  </r>
  <r>
    <s v="ORD00624"/>
    <x v="295"/>
    <s v="CUST314"/>
    <s v="Sneha"/>
    <x v="0"/>
    <n v="29"/>
    <x v="5"/>
    <x v="0"/>
    <x v="5"/>
    <x v="9"/>
    <n v="1"/>
    <n v="36714"/>
    <n v="0"/>
    <n v="0"/>
    <n v="6608.52"/>
    <n v="425"/>
    <n v="43747.519999999997"/>
    <x v="2"/>
    <x v="1"/>
    <s v="Chandigarh"/>
    <x v="1"/>
    <x v="1"/>
    <n v="2"/>
    <x v="0"/>
    <n v="2"/>
    <s v="Cancelled"/>
  </r>
  <r>
    <s v="ORD00625"/>
    <x v="299"/>
    <s v="CUST746"/>
    <s v="Neha"/>
    <x v="0"/>
    <n v="37"/>
    <x v="6"/>
    <x v="0"/>
    <x v="6"/>
    <x v="6"/>
    <n v="1"/>
    <n v="19124"/>
    <n v="10"/>
    <n v="1912.4"/>
    <n v="3098.09"/>
    <n v="257"/>
    <n v="20566.689999999999"/>
    <x v="3"/>
    <x v="1"/>
    <s v="Chandigarh"/>
    <x v="1"/>
    <x v="1"/>
    <n v="6"/>
    <x v="1"/>
    <n v="4"/>
    <s v="Cancelled"/>
  </r>
  <r>
    <s v="ORD00626"/>
    <x v="116"/>
    <s v="CUST682"/>
    <s v="Neha"/>
    <x v="0"/>
    <n v="54"/>
    <x v="9"/>
    <x v="0"/>
    <x v="9"/>
    <x v="6"/>
    <n v="1"/>
    <n v="23713"/>
    <n v="20"/>
    <n v="4742.6000000000004"/>
    <n v="3414.67"/>
    <n v="411"/>
    <n v="22796.07"/>
    <x v="0"/>
    <x v="1"/>
    <s v="Patiala"/>
    <x v="1"/>
    <x v="1"/>
    <n v="10"/>
    <x v="1"/>
    <n v="5"/>
    <s v="Delivered"/>
  </r>
  <r>
    <s v="ORD00627"/>
    <x v="48"/>
    <s v="CUST901"/>
    <s v="Rahul"/>
    <x v="1"/>
    <n v="58"/>
    <x v="1"/>
    <x v="0"/>
    <x v="1"/>
    <x v="2"/>
    <n v="3"/>
    <n v="34710"/>
    <n v="20"/>
    <n v="20826"/>
    <n v="14994.72"/>
    <n v="173"/>
    <n v="98471.72"/>
    <x v="1"/>
    <x v="1"/>
    <s v="Patiala"/>
    <x v="1"/>
    <x v="1"/>
    <n v="1"/>
    <x v="1"/>
    <n v="4"/>
    <s v="Shipped"/>
  </r>
  <r>
    <s v="ORD00628"/>
    <x v="51"/>
    <s v="CUST367"/>
    <s v="Riya"/>
    <x v="1"/>
    <n v="51"/>
    <x v="4"/>
    <x v="0"/>
    <x v="4"/>
    <x v="9"/>
    <n v="3"/>
    <n v="7140"/>
    <n v="0"/>
    <n v="0"/>
    <n v="3855.6"/>
    <n v="484"/>
    <n v="25759.599999999999"/>
    <x v="1"/>
    <x v="1"/>
    <s v="Chandigarh"/>
    <x v="1"/>
    <x v="1"/>
    <n v="3"/>
    <x v="1"/>
    <n v="3"/>
    <s v="Shipped"/>
  </r>
  <r>
    <s v="ORD00629"/>
    <x v="248"/>
    <s v="CUST491"/>
    <s v="Vikas"/>
    <x v="1"/>
    <n v="56"/>
    <x v="4"/>
    <x v="0"/>
    <x v="4"/>
    <x v="5"/>
    <n v="2"/>
    <n v="28239"/>
    <n v="20"/>
    <n v="11295.6"/>
    <n v="8132.83"/>
    <n v="103"/>
    <n v="53418.23"/>
    <x v="2"/>
    <x v="0"/>
    <s v="Lucknow"/>
    <x v="4"/>
    <x v="1"/>
    <n v="3"/>
    <x v="1"/>
    <n v="5"/>
    <s v="Returned"/>
  </r>
  <r>
    <s v="ORD00630"/>
    <x v="103"/>
    <s v="CUST815"/>
    <s v="Karan"/>
    <x v="0"/>
    <n v="49"/>
    <x v="8"/>
    <x v="0"/>
    <x v="8"/>
    <x v="3"/>
    <n v="4"/>
    <n v="48282"/>
    <n v="15"/>
    <n v="28969.200000000001"/>
    <n v="29548.58"/>
    <n v="35"/>
    <n v="193742.38"/>
    <x v="0"/>
    <x v="1"/>
    <s v="Lucknow"/>
    <x v="4"/>
    <x v="1"/>
    <n v="7"/>
    <x v="1"/>
    <n v="5"/>
    <s v="Shipped"/>
  </r>
  <r>
    <s v="ORD00631"/>
    <x v="68"/>
    <s v="CUST824"/>
    <s v="Sneha"/>
    <x v="0"/>
    <n v="26"/>
    <x v="4"/>
    <x v="0"/>
    <x v="4"/>
    <x v="8"/>
    <n v="4"/>
    <n v="32877"/>
    <n v="10"/>
    <n v="13150.8"/>
    <n v="21304.3"/>
    <n v="68"/>
    <n v="139729.5"/>
    <x v="0"/>
    <x v="1"/>
    <s v="Mumbai"/>
    <x v="0"/>
    <x v="0"/>
    <n v="1"/>
    <x v="1"/>
    <n v="3"/>
    <s v="Delivered"/>
  </r>
  <r>
    <s v="ORD00632"/>
    <x v="151"/>
    <s v="CUST617"/>
    <s v="Rahul"/>
    <x v="0"/>
    <n v="23"/>
    <x v="2"/>
    <x v="1"/>
    <x v="2"/>
    <x v="9"/>
    <n v="5"/>
    <n v="6859"/>
    <n v="20"/>
    <n v="6859"/>
    <n v="4938.4799999999996"/>
    <n v="489"/>
    <n v="32863.480000000003"/>
    <x v="3"/>
    <x v="0"/>
    <s v="Mumbai"/>
    <x v="0"/>
    <x v="0"/>
    <n v="8"/>
    <x v="0"/>
    <n v="1"/>
    <s v="Delivered"/>
  </r>
  <r>
    <s v="ORD00633"/>
    <x v="300"/>
    <s v="CUST306"/>
    <s v="Karan"/>
    <x v="0"/>
    <n v="56"/>
    <x v="4"/>
    <x v="0"/>
    <x v="4"/>
    <x v="1"/>
    <n v="5"/>
    <n v="6880"/>
    <n v="5"/>
    <n v="1720"/>
    <n v="5882.4"/>
    <n v="355"/>
    <n v="38917.4"/>
    <x v="1"/>
    <x v="1"/>
    <s v="Chandigarh"/>
    <x v="1"/>
    <x v="1"/>
    <n v="8"/>
    <x v="1"/>
    <n v="4"/>
    <s v="Delivered"/>
  </r>
  <r>
    <s v="ORD00634"/>
    <x v="149"/>
    <s v="CUST306"/>
    <s v="Riya"/>
    <x v="1"/>
    <n v="29"/>
    <x v="9"/>
    <x v="0"/>
    <x v="9"/>
    <x v="0"/>
    <n v="3"/>
    <n v="44405"/>
    <n v="20"/>
    <n v="26643"/>
    <n v="19182.96"/>
    <n v="188"/>
    <n v="125942.96"/>
    <x v="1"/>
    <x v="0"/>
    <s v="Bangalore"/>
    <x v="3"/>
    <x v="2"/>
    <n v="4"/>
    <x v="1"/>
    <n v="3"/>
    <s v="Delivered"/>
  </r>
  <r>
    <s v="ORD00635"/>
    <x v="159"/>
    <s v="CUST946"/>
    <s v="Priya"/>
    <x v="1"/>
    <n v="25"/>
    <x v="7"/>
    <x v="1"/>
    <x v="7"/>
    <x v="2"/>
    <n v="5"/>
    <n v="36886"/>
    <n v="20"/>
    <n v="36886"/>
    <n v="26557.919999999998"/>
    <n v="302"/>
    <n v="174403.92"/>
    <x v="3"/>
    <x v="1"/>
    <s v="Bangalore"/>
    <x v="3"/>
    <x v="2"/>
    <n v="2"/>
    <x v="1"/>
    <n v="3"/>
    <s v="Shipped"/>
  </r>
  <r>
    <s v="ORD00636"/>
    <x v="222"/>
    <s v="CUST310"/>
    <s v="Amit"/>
    <x v="0"/>
    <n v="31"/>
    <x v="8"/>
    <x v="0"/>
    <x v="8"/>
    <x v="8"/>
    <n v="4"/>
    <n v="42144"/>
    <n v="0"/>
    <n v="0"/>
    <n v="30343.68"/>
    <n v="24"/>
    <n v="198943.68"/>
    <x v="0"/>
    <x v="0"/>
    <s v="Pune"/>
    <x v="0"/>
    <x v="0"/>
    <n v="2"/>
    <x v="1"/>
    <n v="1"/>
    <s v="Shipped"/>
  </r>
  <r>
    <s v="ORD00637"/>
    <x v="254"/>
    <s v="CUST101"/>
    <s v="Vikas"/>
    <x v="1"/>
    <n v="28"/>
    <x v="9"/>
    <x v="0"/>
    <x v="9"/>
    <x v="1"/>
    <n v="4"/>
    <n v="48302"/>
    <n v="5"/>
    <n v="9660.4"/>
    <n v="33038.57"/>
    <n v="179"/>
    <n v="216765.17"/>
    <x v="1"/>
    <x v="1"/>
    <s v="Delhi"/>
    <x v="5"/>
    <x v="1"/>
    <n v="2"/>
    <x v="1"/>
    <n v="2"/>
    <s v="Returned"/>
  </r>
  <r>
    <s v="ORD00638"/>
    <x v="106"/>
    <s v="CUST483"/>
    <s v="Vikas"/>
    <x v="1"/>
    <n v="38"/>
    <x v="2"/>
    <x v="1"/>
    <x v="2"/>
    <x v="9"/>
    <n v="2"/>
    <n v="48941"/>
    <n v="20"/>
    <n v="19576.400000000001"/>
    <n v="14095.01"/>
    <n v="140"/>
    <n v="92540.61"/>
    <x v="0"/>
    <x v="0"/>
    <s v="Pune"/>
    <x v="0"/>
    <x v="0"/>
    <n v="3"/>
    <x v="1"/>
    <n v="1"/>
    <s v="Returned"/>
  </r>
  <r>
    <s v="ORD00639"/>
    <x v="16"/>
    <s v="CUST612"/>
    <s v="Arjun"/>
    <x v="0"/>
    <n v="60"/>
    <x v="1"/>
    <x v="0"/>
    <x v="1"/>
    <x v="9"/>
    <n v="3"/>
    <n v="2310"/>
    <n v="0"/>
    <n v="0"/>
    <n v="1247.4000000000001"/>
    <n v="179"/>
    <n v="8356.4"/>
    <x v="2"/>
    <x v="0"/>
    <s v="Patiala"/>
    <x v="1"/>
    <x v="1"/>
    <n v="8"/>
    <x v="1"/>
    <n v="2"/>
    <s v="Shipped"/>
  </r>
  <r>
    <s v="ORD00640"/>
    <x v="119"/>
    <s v="CUST381"/>
    <s v="Anjali"/>
    <x v="0"/>
    <n v="51"/>
    <x v="2"/>
    <x v="1"/>
    <x v="2"/>
    <x v="3"/>
    <n v="3"/>
    <n v="23961"/>
    <n v="15"/>
    <n v="10782.45"/>
    <n v="10998.1"/>
    <n v="321"/>
    <n v="72419.649999999994"/>
    <x v="2"/>
    <x v="0"/>
    <s v="Bangalore"/>
    <x v="3"/>
    <x v="2"/>
    <n v="5"/>
    <x v="1"/>
    <n v="3"/>
    <s v="Delivered"/>
  </r>
  <r>
    <s v="ORD00641"/>
    <x v="243"/>
    <s v="CUST944"/>
    <s v="Neha"/>
    <x v="1"/>
    <n v="46"/>
    <x v="2"/>
    <x v="1"/>
    <x v="2"/>
    <x v="0"/>
    <n v="1"/>
    <n v="4128"/>
    <n v="15"/>
    <n v="619.20000000000005"/>
    <n v="631.58000000000004"/>
    <n v="70"/>
    <n v="4210.38"/>
    <x v="0"/>
    <x v="0"/>
    <s v="Lucknow"/>
    <x v="4"/>
    <x v="1"/>
    <n v="6"/>
    <x v="0"/>
    <n v="4"/>
    <s v="Cancelled"/>
  </r>
  <r>
    <s v="ORD00642"/>
    <x v="239"/>
    <s v="CUST997"/>
    <s v="Riya"/>
    <x v="0"/>
    <n v="51"/>
    <x v="2"/>
    <x v="1"/>
    <x v="2"/>
    <x v="3"/>
    <n v="3"/>
    <n v="11238"/>
    <n v="10"/>
    <n v="3371.4"/>
    <n v="5461.67"/>
    <n v="201"/>
    <n v="36005.269999999997"/>
    <x v="3"/>
    <x v="1"/>
    <s v="Mumbai"/>
    <x v="0"/>
    <x v="0"/>
    <n v="5"/>
    <x v="0"/>
    <n v="1"/>
    <s v="Cancelled"/>
  </r>
  <r>
    <s v="ORD00643"/>
    <x v="21"/>
    <s v="CUST687"/>
    <s v="Amit"/>
    <x v="0"/>
    <n v="38"/>
    <x v="0"/>
    <x v="0"/>
    <x v="0"/>
    <x v="3"/>
    <n v="2"/>
    <n v="46694"/>
    <n v="10"/>
    <n v="9338.7999999999993"/>
    <n v="15128.86"/>
    <n v="86"/>
    <n v="99264.06"/>
    <x v="3"/>
    <x v="0"/>
    <s v="Jaipur"/>
    <x v="2"/>
    <x v="1"/>
    <n v="6"/>
    <x v="0"/>
    <n v="4"/>
    <s v="Shipped"/>
  </r>
  <r>
    <s v="ORD00644"/>
    <x v="25"/>
    <s v="CUST461"/>
    <s v="Priya"/>
    <x v="0"/>
    <n v="35"/>
    <x v="6"/>
    <x v="0"/>
    <x v="6"/>
    <x v="2"/>
    <n v="5"/>
    <n v="34344"/>
    <n v="20"/>
    <n v="34344"/>
    <n v="24727.68"/>
    <n v="473"/>
    <n v="162576.68"/>
    <x v="0"/>
    <x v="1"/>
    <s v="Delhi"/>
    <x v="5"/>
    <x v="1"/>
    <n v="5"/>
    <x v="1"/>
    <n v="5"/>
    <s v="Cancelled"/>
  </r>
  <r>
    <s v="ORD00645"/>
    <x v="24"/>
    <s v="CUST121"/>
    <s v="Neha"/>
    <x v="1"/>
    <n v="22"/>
    <x v="8"/>
    <x v="0"/>
    <x v="8"/>
    <x v="4"/>
    <n v="2"/>
    <n v="36921"/>
    <n v="20"/>
    <n v="14768.4"/>
    <n v="10633.25"/>
    <n v="288"/>
    <n v="69994.850000000006"/>
    <x v="2"/>
    <x v="1"/>
    <s v="Chandigarh"/>
    <x v="1"/>
    <x v="1"/>
    <n v="7"/>
    <x v="1"/>
    <n v="5"/>
    <s v="Cancelled"/>
  </r>
  <r>
    <s v="ORD00646"/>
    <x v="46"/>
    <s v="CUST299"/>
    <s v="Priya"/>
    <x v="0"/>
    <n v="34"/>
    <x v="0"/>
    <x v="0"/>
    <x v="0"/>
    <x v="6"/>
    <n v="3"/>
    <n v="4374"/>
    <n v="20"/>
    <n v="2624.4"/>
    <n v="1889.57"/>
    <n v="36"/>
    <n v="12423.17"/>
    <x v="3"/>
    <x v="1"/>
    <s v="Chandigarh"/>
    <x v="1"/>
    <x v="1"/>
    <n v="9"/>
    <x v="1"/>
    <n v="1"/>
    <s v="Shipped"/>
  </r>
  <r>
    <s v="ORD00647"/>
    <x v="90"/>
    <s v="CUST751"/>
    <s v="Amit"/>
    <x v="0"/>
    <n v="24"/>
    <x v="4"/>
    <x v="0"/>
    <x v="4"/>
    <x v="5"/>
    <n v="5"/>
    <n v="31044"/>
    <n v="20"/>
    <n v="31044"/>
    <n v="22351.68"/>
    <n v="403"/>
    <n v="146930.68"/>
    <x v="3"/>
    <x v="0"/>
    <s v="Jaipur"/>
    <x v="2"/>
    <x v="1"/>
    <n v="5"/>
    <x v="1"/>
    <n v="2"/>
    <s v="Returned"/>
  </r>
  <r>
    <s v="ORD00648"/>
    <x v="117"/>
    <s v="CUST434"/>
    <s v="Riya"/>
    <x v="1"/>
    <n v="57"/>
    <x v="3"/>
    <x v="2"/>
    <x v="3"/>
    <x v="3"/>
    <n v="3"/>
    <n v="43444"/>
    <n v="0"/>
    <n v="0"/>
    <n v="23459.759999999998"/>
    <n v="238"/>
    <n v="154029.76000000001"/>
    <x v="0"/>
    <x v="0"/>
    <s v="Pune"/>
    <x v="0"/>
    <x v="0"/>
    <n v="10"/>
    <x v="0"/>
    <n v="4"/>
    <s v="Shipped"/>
  </r>
  <r>
    <s v="ORD00649"/>
    <x v="131"/>
    <s v="CUST302"/>
    <s v="Vikas"/>
    <x v="0"/>
    <n v="41"/>
    <x v="1"/>
    <x v="0"/>
    <x v="1"/>
    <x v="0"/>
    <n v="2"/>
    <n v="38898"/>
    <n v="10"/>
    <n v="7779.6"/>
    <n v="12602.95"/>
    <n v="277"/>
    <n v="82896.350000000006"/>
    <x v="0"/>
    <x v="0"/>
    <s v="Chandigarh"/>
    <x v="1"/>
    <x v="1"/>
    <n v="10"/>
    <x v="0"/>
    <n v="1"/>
    <s v="Shipped"/>
  </r>
  <r>
    <s v="ORD00650"/>
    <x v="187"/>
    <s v="CUST858"/>
    <s v="Neha"/>
    <x v="1"/>
    <n v="51"/>
    <x v="5"/>
    <x v="0"/>
    <x v="5"/>
    <x v="0"/>
    <n v="3"/>
    <n v="25634"/>
    <n v="20"/>
    <n v="15380.4"/>
    <n v="11073.89"/>
    <n v="490"/>
    <n v="73085.490000000005"/>
    <x v="0"/>
    <x v="0"/>
    <s v="Patiala"/>
    <x v="1"/>
    <x v="1"/>
    <n v="10"/>
    <x v="0"/>
    <n v="1"/>
    <s v="Returned"/>
  </r>
  <r>
    <s v="ORD00651"/>
    <x v="186"/>
    <s v="CUST659"/>
    <s v="Anjali"/>
    <x v="1"/>
    <n v="36"/>
    <x v="4"/>
    <x v="0"/>
    <x v="4"/>
    <x v="3"/>
    <n v="1"/>
    <n v="18070"/>
    <n v="5"/>
    <n v="903.5"/>
    <n v="3089.97"/>
    <n v="495"/>
    <n v="20751.47"/>
    <x v="3"/>
    <x v="0"/>
    <s v="Patiala"/>
    <x v="1"/>
    <x v="1"/>
    <n v="6"/>
    <x v="0"/>
    <n v="4"/>
    <s v="Delivered"/>
  </r>
  <r>
    <s v="ORD00652"/>
    <x v="301"/>
    <s v="CUST265"/>
    <s v="Priya"/>
    <x v="1"/>
    <n v="56"/>
    <x v="1"/>
    <x v="0"/>
    <x v="1"/>
    <x v="2"/>
    <n v="1"/>
    <n v="25503"/>
    <n v="15"/>
    <n v="3825.45"/>
    <n v="3901.96"/>
    <n v="372"/>
    <n v="25951.51"/>
    <x v="3"/>
    <x v="1"/>
    <s v="Patiala"/>
    <x v="1"/>
    <x v="1"/>
    <n v="1"/>
    <x v="1"/>
    <n v="2"/>
    <s v="Returned"/>
  </r>
  <r>
    <s v="ORD00653"/>
    <x v="302"/>
    <s v="CUST130"/>
    <s v="Priya"/>
    <x v="0"/>
    <n v="48"/>
    <x v="5"/>
    <x v="0"/>
    <x v="5"/>
    <x v="1"/>
    <n v="3"/>
    <n v="23347"/>
    <n v="20"/>
    <n v="14008.2"/>
    <n v="10085.9"/>
    <n v="18"/>
    <n v="66136.7"/>
    <x v="3"/>
    <x v="0"/>
    <s v="Jaipur"/>
    <x v="2"/>
    <x v="1"/>
    <n v="4"/>
    <x v="0"/>
    <n v="2"/>
    <s v="Shipped"/>
  </r>
  <r>
    <s v="ORD00654"/>
    <x v="40"/>
    <s v="CUST198"/>
    <s v="Sneha"/>
    <x v="1"/>
    <n v="37"/>
    <x v="9"/>
    <x v="0"/>
    <x v="9"/>
    <x v="9"/>
    <n v="3"/>
    <n v="34998"/>
    <n v="0"/>
    <n v="0"/>
    <n v="18898.919999999998"/>
    <n v="218"/>
    <n v="124110.92"/>
    <x v="3"/>
    <x v="0"/>
    <s v="Chandigarh"/>
    <x v="1"/>
    <x v="1"/>
    <n v="3"/>
    <x v="1"/>
    <n v="5"/>
    <s v="Returned"/>
  </r>
  <r>
    <s v="ORD00655"/>
    <x v="249"/>
    <s v="CUST387"/>
    <s v="Sneha"/>
    <x v="1"/>
    <n v="60"/>
    <x v="7"/>
    <x v="1"/>
    <x v="7"/>
    <x v="6"/>
    <n v="2"/>
    <n v="20237"/>
    <n v="20"/>
    <n v="8094.8"/>
    <n v="5828.26"/>
    <n v="329"/>
    <n v="38536.46"/>
    <x v="2"/>
    <x v="0"/>
    <s v="Jaipur"/>
    <x v="2"/>
    <x v="1"/>
    <n v="3"/>
    <x v="1"/>
    <n v="4"/>
    <s v="Shipped"/>
  </r>
  <r>
    <s v="ORD00656"/>
    <x v="303"/>
    <s v="CUST478"/>
    <s v="Rahul"/>
    <x v="0"/>
    <n v="30"/>
    <x v="8"/>
    <x v="0"/>
    <x v="8"/>
    <x v="0"/>
    <n v="5"/>
    <n v="48600"/>
    <n v="15"/>
    <n v="36450"/>
    <n v="37179"/>
    <n v="201"/>
    <n v="243930"/>
    <x v="3"/>
    <x v="1"/>
    <s v="Pune"/>
    <x v="0"/>
    <x v="0"/>
    <n v="8"/>
    <x v="0"/>
    <n v="1"/>
    <s v="Delivered"/>
  </r>
  <r>
    <s v="ORD00657"/>
    <x v="115"/>
    <s v="CUST328"/>
    <s v="Karan"/>
    <x v="0"/>
    <n v="32"/>
    <x v="0"/>
    <x v="0"/>
    <x v="0"/>
    <x v="3"/>
    <n v="5"/>
    <n v="22607"/>
    <n v="15"/>
    <n v="16955.25"/>
    <n v="17294.349999999999"/>
    <n v="90"/>
    <n v="113464.1"/>
    <x v="2"/>
    <x v="0"/>
    <s v="Mumbai"/>
    <x v="0"/>
    <x v="0"/>
    <n v="6"/>
    <x v="0"/>
    <n v="5"/>
    <s v="Shipped"/>
  </r>
  <r>
    <s v="ORD00658"/>
    <x v="92"/>
    <s v="CUST412"/>
    <s v="Priya"/>
    <x v="1"/>
    <n v="19"/>
    <x v="6"/>
    <x v="0"/>
    <x v="6"/>
    <x v="3"/>
    <n v="3"/>
    <n v="35119"/>
    <n v="10"/>
    <n v="10535.7"/>
    <n v="17067.830000000002"/>
    <n v="267"/>
    <n v="112156.13"/>
    <x v="1"/>
    <x v="0"/>
    <s v="Jaipur"/>
    <x v="2"/>
    <x v="1"/>
    <n v="5"/>
    <x v="1"/>
    <n v="2"/>
    <s v="Shipped"/>
  </r>
  <r>
    <s v="ORD00659"/>
    <x v="304"/>
    <s v="CUST559"/>
    <s v="Rahul"/>
    <x v="0"/>
    <n v="49"/>
    <x v="5"/>
    <x v="0"/>
    <x v="5"/>
    <x v="2"/>
    <n v="1"/>
    <n v="23303"/>
    <n v="10"/>
    <n v="2330.3000000000002"/>
    <n v="3775.09"/>
    <n v="211"/>
    <n v="24958.79"/>
    <x v="2"/>
    <x v="0"/>
    <s v="Delhi"/>
    <x v="5"/>
    <x v="1"/>
    <n v="10"/>
    <x v="1"/>
    <n v="5"/>
    <s v="Delivered"/>
  </r>
  <r>
    <s v="ORD00660"/>
    <x v="305"/>
    <s v="CUST210"/>
    <s v="Priya"/>
    <x v="1"/>
    <n v="47"/>
    <x v="5"/>
    <x v="0"/>
    <x v="5"/>
    <x v="8"/>
    <n v="2"/>
    <n v="47952"/>
    <n v="20"/>
    <n v="19180.8"/>
    <n v="13810.18"/>
    <n v="396"/>
    <n v="90929.38"/>
    <x v="3"/>
    <x v="0"/>
    <s v="Pune"/>
    <x v="0"/>
    <x v="0"/>
    <n v="6"/>
    <x v="0"/>
    <n v="4"/>
    <s v="Shipped"/>
  </r>
  <r>
    <s v="ORD00661"/>
    <x v="169"/>
    <s v="CUST370"/>
    <s v="Vikas"/>
    <x v="1"/>
    <n v="56"/>
    <x v="0"/>
    <x v="0"/>
    <x v="0"/>
    <x v="5"/>
    <n v="5"/>
    <n v="32236"/>
    <n v="0"/>
    <n v="0"/>
    <n v="29012.400000000001"/>
    <n v="327"/>
    <n v="190519.4"/>
    <x v="2"/>
    <x v="0"/>
    <s v="Chandigarh"/>
    <x v="1"/>
    <x v="1"/>
    <n v="6"/>
    <x v="0"/>
    <n v="4"/>
    <s v="Returned"/>
  </r>
  <r>
    <s v="ORD00662"/>
    <x v="303"/>
    <s v="CUST631"/>
    <s v="Amit"/>
    <x v="1"/>
    <n v="29"/>
    <x v="5"/>
    <x v="0"/>
    <x v="5"/>
    <x v="9"/>
    <n v="1"/>
    <n v="35972"/>
    <n v="5"/>
    <n v="1798.6"/>
    <n v="6151.21"/>
    <n v="96"/>
    <n v="40420.61"/>
    <x v="2"/>
    <x v="0"/>
    <s v="Bangalore"/>
    <x v="3"/>
    <x v="2"/>
    <n v="10"/>
    <x v="0"/>
    <n v="4"/>
    <s v="Returned"/>
  </r>
  <r>
    <s v="ORD00663"/>
    <x v="275"/>
    <s v="CUST604"/>
    <s v="Arjun"/>
    <x v="0"/>
    <n v="34"/>
    <x v="8"/>
    <x v="0"/>
    <x v="8"/>
    <x v="0"/>
    <n v="3"/>
    <n v="43548"/>
    <n v="10"/>
    <n v="13064.4"/>
    <n v="21164.33"/>
    <n v="336"/>
    <n v="139079.93"/>
    <x v="2"/>
    <x v="0"/>
    <s v="Patiala"/>
    <x v="1"/>
    <x v="1"/>
    <n v="8"/>
    <x v="0"/>
    <n v="4"/>
    <s v="Returned"/>
  </r>
  <r>
    <s v="ORD00664"/>
    <x v="301"/>
    <s v="CUST334"/>
    <s v="Anjali"/>
    <x v="0"/>
    <n v="54"/>
    <x v="4"/>
    <x v="0"/>
    <x v="4"/>
    <x v="4"/>
    <n v="4"/>
    <n v="7915"/>
    <n v="10"/>
    <n v="3166"/>
    <n v="5128.92"/>
    <n v="361"/>
    <n v="33983.919999999998"/>
    <x v="0"/>
    <x v="0"/>
    <s v="Bangalore"/>
    <x v="3"/>
    <x v="2"/>
    <n v="5"/>
    <x v="1"/>
    <n v="1"/>
    <s v="Returned"/>
  </r>
  <r>
    <s v="ORD00665"/>
    <x v="61"/>
    <s v="CUST718"/>
    <s v="Karan"/>
    <x v="1"/>
    <n v="45"/>
    <x v="9"/>
    <x v="0"/>
    <x v="9"/>
    <x v="5"/>
    <n v="3"/>
    <n v="3759"/>
    <n v="0"/>
    <n v="0"/>
    <n v="2029.86"/>
    <n v="446"/>
    <n v="13752.86"/>
    <x v="1"/>
    <x v="0"/>
    <s v="Jaipur"/>
    <x v="2"/>
    <x v="1"/>
    <n v="4"/>
    <x v="0"/>
    <n v="4"/>
    <s v="Delivered"/>
  </r>
  <r>
    <s v="ORD00666"/>
    <x v="141"/>
    <s v="CUST246"/>
    <s v="Neha"/>
    <x v="1"/>
    <n v="18"/>
    <x v="7"/>
    <x v="1"/>
    <x v="7"/>
    <x v="7"/>
    <n v="1"/>
    <n v="17726"/>
    <n v="10"/>
    <n v="1772.6"/>
    <n v="2871.61"/>
    <n v="165"/>
    <n v="18990.009999999998"/>
    <x v="0"/>
    <x v="0"/>
    <s v="Chandigarh"/>
    <x v="1"/>
    <x v="1"/>
    <n v="8"/>
    <x v="1"/>
    <n v="5"/>
    <s v="Returned"/>
  </r>
  <r>
    <s v="ORD00667"/>
    <x v="135"/>
    <s v="CUST424"/>
    <s v="Priya"/>
    <x v="0"/>
    <n v="56"/>
    <x v="7"/>
    <x v="1"/>
    <x v="7"/>
    <x v="1"/>
    <n v="3"/>
    <n v="13518"/>
    <n v="0"/>
    <n v="0"/>
    <n v="7299.72"/>
    <n v="220"/>
    <n v="48073.72"/>
    <x v="0"/>
    <x v="1"/>
    <s v="Patiala"/>
    <x v="1"/>
    <x v="1"/>
    <n v="9"/>
    <x v="0"/>
    <n v="4"/>
    <s v="Returned"/>
  </r>
  <r>
    <s v="ORD00668"/>
    <x v="266"/>
    <s v="CUST826"/>
    <s v="Karan"/>
    <x v="0"/>
    <n v="43"/>
    <x v="0"/>
    <x v="0"/>
    <x v="0"/>
    <x v="8"/>
    <n v="5"/>
    <n v="48662"/>
    <n v="0"/>
    <n v="0"/>
    <n v="43795.8"/>
    <n v="270"/>
    <n v="287375.8"/>
    <x v="1"/>
    <x v="1"/>
    <s v="Mumbai"/>
    <x v="0"/>
    <x v="0"/>
    <n v="10"/>
    <x v="0"/>
    <n v="5"/>
    <s v="Delivered"/>
  </r>
  <r>
    <s v="ORD00669"/>
    <x v="261"/>
    <s v="CUST867"/>
    <s v="Sneha"/>
    <x v="1"/>
    <n v="32"/>
    <x v="1"/>
    <x v="0"/>
    <x v="1"/>
    <x v="6"/>
    <n v="4"/>
    <n v="48803"/>
    <n v="0"/>
    <n v="0"/>
    <n v="35138.160000000003"/>
    <n v="191"/>
    <n v="230541.16"/>
    <x v="3"/>
    <x v="0"/>
    <s v="Mumbai"/>
    <x v="0"/>
    <x v="0"/>
    <n v="2"/>
    <x v="0"/>
    <n v="2"/>
    <s v="Returned"/>
  </r>
  <r>
    <s v="ORD00670"/>
    <x v="155"/>
    <s v="CUST802"/>
    <s v="Priya"/>
    <x v="0"/>
    <n v="33"/>
    <x v="4"/>
    <x v="0"/>
    <x v="4"/>
    <x v="2"/>
    <n v="1"/>
    <n v="20388"/>
    <n v="0"/>
    <n v="0"/>
    <n v="3669.84"/>
    <n v="118"/>
    <n v="24175.84"/>
    <x v="2"/>
    <x v="0"/>
    <s v="Chandigarh"/>
    <x v="1"/>
    <x v="1"/>
    <n v="2"/>
    <x v="1"/>
    <n v="2"/>
    <s v="Shipped"/>
  </r>
  <r>
    <s v="ORD00671"/>
    <x v="133"/>
    <s v="CUST272"/>
    <s v="Karan"/>
    <x v="0"/>
    <n v="54"/>
    <x v="2"/>
    <x v="1"/>
    <x v="2"/>
    <x v="3"/>
    <n v="1"/>
    <n v="38234"/>
    <n v="15"/>
    <n v="5735.1"/>
    <n v="5849.8"/>
    <n v="117"/>
    <n v="38465.699999999997"/>
    <x v="0"/>
    <x v="0"/>
    <s v="Pune"/>
    <x v="0"/>
    <x v="0"/>
    <n v="6"/>
    <x v="1"/>
    <n v="3"/>
    <s v="Cancelled"/>
  </r>
  <r>
    <s v="ORD00672"/>
    <x v="102"/>
    <s v="CUST650"/>
    <s v="Arjun"/>
    <x v="1"/>
    <n v="26"/>
    <x v="8"/>
    <x v="0"/>
    <x v="8"/>
    <x v="7"/>
    <n v="3"/>
    <n v="36323"/>
    <n v="10"/>
    <n v="10896.9"/>
    <n v="17652.98"/>
    <n v="446"/>
    <n v="116171.08"/>
    <x v="3"/>
    <x v="0"/>
    <s v="Pune"/>
    <x v="0"/>
    <x v="0"/>
    <n v="3"/>
    <x v="0"/>
    <n v="2"/>
    <s v="Delivered"/>
  </r>
  <r>
    <s v="ORD00673"/>
    <x v="225"/>
    <s v="CUST513"/>
    <s v="Riya"/>
    <x v="0"/>
    <n v="28"/>
    <x v="0"/>
    <x v="0"/>
    <x v="0"/>
    <x v="4"/>
    <n v="1"/>
    <n v="37469"/>
    <n v="10"/>
    <n v="3746.9"/>
    <n v="6069.98"/>
    <n v="343"/>
    <n v="40135.08"/>
    <x v="1"/>
    <x v="1"/>
    <s v="Pune"/>
    <x v="0"/>
    <x v="0"/>
    <n v="8"/>
    <x v="1"/>
    <n v="3"/>
    <s v="Shipped"/>
  </r>
  <r>
    <s v="ORD00674"/>
    <x v="119"/>
    <s v="CUST838"/>
    <s v="Amit"/>
    <x v="0"/>
    <n v="40"/>
    <x v="3"/>
    <x v="2"/>
    <x v="3"/>
    <x v="3"/>
    <n v="2"/>
    <n v="8036"/>
    <n v="15"/>
    <n v="2410.8000000000002"/>
    <n v="2459.02"/>
    <n v="129"/>
    <n v="16249.22"/>
    <x v="0"/>
    <x v="1"/>
    <s v="Jaipur"/>
    <x v="2"/>
    <x v="1"/>
    <n v="8"/>
    <x v="1"/>
    <n v="5"/>
    <s v="Returned"/>
  </r>
  <r>
    <s v="ORD00675"/>
    <x v="30"/>
    <s v="CUST753"/>
    <s v="Rahul"/>
    <x v="1"/>
    <n v="34"/>
    <x v="2"/>
    <x v="1"/>
    <x v="2"/>
    <x v="9"/>
    <n v="1"/>
    <n v="7033"/>
    <n v="0"/>
    <n v="0"/>
    <n v="1265.94"/>
    <n v="330"/>
    <n v="8628.94"/>
    <x v="2"/>
    <x v="1"/>
    <s v="Delhi"/>
    <x v="5"/>
    <x v="1"/>
    <n v="9"/>
    <x v="0"/>
    <n v="5"/>
    <s v="Returned"/>
  </r>
  <r>
    <s v="ORD00676"/>
    <x v="262"/>
    <s v="CUST296"/>
    <s v="Rahul"/>
    <x v="1"/>
    <n v="54"/>
    <x v="3"/>
    <x v="2"/>
    <x v="3"/>
    <x v="7"/>
    <n v="3"/>
    <n v="21275"/>
    <n v="10"/>
    <n v="6382.5"/>
    <n v="10339.65"/>
    <n v="126"/>
    <n v="67908.149999999994"/>
    <x v="3"/>
    <x v="0"/>
    <s v="Jaipur"/>
    <x v="2"/>
    <x v="1"/>
    <n v="7"/>
    <x v="1"/>
    <n v="5"/>
    <s v="Returned"/>
  </r>
  <r>
    <s v="ORD00677"/>
    <x v="128"/>
    <s v="CUST344"/>
    <s v="Neha"/>
    <x v="0"/>
    <n v="26"/>
    <x v="1"/>
    <x v="0"/>
    <x v="1"/>
    <x v="0"/>
    <n v="1"/>
    <n v="30273"/>
    <n v="0"/>
    <n v="0"/>
    <n v="5449.14"/>
    <n v="128"/>
    <n v="35850.14"/>
    <x v="1"/>
    <x v="0"/>
    <s v="Lucknow"/>
    <x v="4"/>
    <x v="1"/>
    <n v="3"/>
    <x v="1"/>
    <n v="2"/>
    <s v="Shipped"/>
  </r>
  <r>
    <s v="ORD00678"/>
    <x v="187"/>
    <s v="CUST121"/>
    <s v="Karan"/>
    <x v="0"/>
    <n v="46"/>
    <x v="1"/>
    <x v="0"/>
    <x v="1"/>
    <x v="4"/>
    <n v="5"/>
    <n v="35557"/>
    <n v="20"/>
    <n v="35557"/>
    <n v="25601.040000000001"/>
    <n v="86"/>
    <n v="167915.04"/>
    <x v="2"/>
    <x v="0"/>
    <s v="Mumbai"/>
    <x v="0"/>
    <x v="0"/>
    <n v="9"/>
    <x v="1"/>
    <n v="1"/>
    <s v="Returned"/>
  </r>
  <r>
    <s v="ORD00679"/>
    <x v="306"/>
    <s v="CUST683"/>
    <s v="Sneha"/>
    <x v="1"/>
    <n v="43"/>
    <x v="5"/>
    <x v="0"/>
    <x v="5"/>
    <x v="7"/>
    <n v="4"/>
    <n v="43332"/>
    <n v="20"/>
    <n v="34665.599999999999"/>
    <n v="24959.23"/>
    <n v="354"/>
    <n v="163975.63"/>
    <x v="2"/>
    <x v="1"/>
    <s v="Lucknow"/>
    <x v="4"/>
    <x v="1"/>
    <n v="1"/>
    <x v="1"/>
    <n v="4"/>
    <s v="Delivered"/>
  </r>
  <r>
    <s v="ORD00680"/>
    <x v="205"/>
    <s v="CUST101"/>
    <s v="Arjun"/>
    <x v="1"/>
    <n v="41"/>
    <x v="8"/>
    <x v="0"/>
    <x v="8"/>
    <x v="7"/>
    <n v="5"/>
    <n v="10495"/>
    <n v="10"/>
    <n v="5247.5"/>
    <n v="8500.9500000000007"/>
    <n v="92"/>
    <n v="55820.45"/>
    <x v="3"/>
    <x v="1"/>
    <s v="Patiala"/>
    <x v="1"/>
    <x v="1"/>
    <n v="8"/>
    <x v="0"/>
    <n v="4"/>
    <s v="Delivered"/>
  </r>
  <r>
    <s v="ORD00681"/>
    <x v="229"/>
    <s v="CUST731"/>
    <s v="Arjun"/>
    <x v="0"/>
    <n v="19"/>
    <x v="6"/>
    <x v="0"/>
    <x v="6"/>
    <x v="5"/>
    <n v="4"/>
    <n v="8623"/>
    <n v="5"/>
    <n v="1724.6"/>
    <n v="5898.13"/>
    <n v="358"/>
    <n v="39023.53"/>
    <x v="0"/>
    <x v="1"/>
    <s v="Lucknow"/>
    <x v="4"/>
    <x v="1"/>
    <n v="9"/>
    <x v="1"/>
    <n v="2"/>
    <s v="Returned"/>
  </r>
  <r>
    <s v="ORD00682"/>
    <x v="243"/>
    <s v="CUST427"/>
    <s v="Rahul"/>
    <x v="1"/>
    <n v="33"/>
    <x v="5"/>
    <x v="0"/>
    <x v="5"/>
    <x v="8"/>
    <n v="1"/>
    <n v="12855"/>
    <n v="0"/>
    <n v="0"/>
    <n v="2313.9"/>
    <n v="289"/>
    <n v="15457.9"/>
    <x v="3"/>
    <x v="1"/>
    <s v="Chandigarh"/>
    <x v="1"/>
    <x v="1"/>
    <n v="1"/>
    <x v="1"/>
    <n v="2"/>
    <s v="Delivered"/>
  </r>
  <r>
    <s v="ORD00683"/>
    <x v="94"/>
    <s v="CUST996"/>
    <s v="Arjun"/>
    <x v="0"/>
    <n v="38"/>
    <x v="7"/>
    <x v="1"/>
    <x v="7"/>
    <x v="8"/>
    <n v="5"/>
    <n v="7313"/>
    <n v="10"/>
    <n v="3656.5"/>
    <n v="5923.53"/>
    <n v="78"/>
    <n v="38910.03"/>
    <x v="1"/>
    <x v="0"/>
    <s v="Lucknow"/>
    <x v="4"/>
    <x v="1"/>
    <n v="1"/>
    <x v="1"/>
    <n v="3"/>
    <s v="Shipped"/>
  </r>
  <r>
    <s v="ORD00684"/>
    <x v="307"/>
    <s v="CUST667"/>
    <s v="Karan"/>
    <x v="0"/>
    <n v="29"/>
    <x v="5"/>
    <x v="0"/>
    <x v="5"/>
    <x v="5"/>
    <n v="1"/>
    <n v="19819"/>
    <n v="0"/>
    <n v="0"/>
    <n v="3567.42"/>
    <n v="273"/>
    <n v="23659.42"/>
    <x v="0"/>
    <x v="1"/>
    <s v="Mumbai"/>
    <x v="0"/>
    <x v="0"/>
    <n v="3"/>
    <x v="1"/>
    <n v="2"/>
    <s v="Delivered"/>
  </r>
  <r>
    <s v="ORD00685"/>
    <x v="228"/>
    <s v="CUST835"/>
    <s v="Karan"/>
    <x v="1"/>
    <n v="30"/>
    <x v="0"/>
    <x v="0"/>
    <x v="0"/>
    <x v="7"/>
    <n v="5"/>
    <n v="49125"/>
    <n v="0"/>
    <n v="0"/>
    <n v="44212.5"/>
    <n v="132"/>
    <n v="289969.5"/>
    <x v="2"/>
    <x v="1"/>
    <s v="Lucknow"/>
    <x v="4"/>
    <x v="1"/>
    <n v="2"/>
    <x v="0"/>
    <n v="1"/>
    <s v="Cancelled"/>
  </r>
  <r>
    <s v="ORD00686"/>
    <x v="301"/>
    <s v="CUST384"/>
    <s v="Priya"/>
    <x v="0"/>
    <n v="56"/>
    <x v="3"/>
    <x v="2"/>
    <x v="3"/>
    <x v="3"/>
    <n v="3"/>
    <n v="40023"/>
    <n v="5"/>
    <n v="6003.45"/>
    <n v="20531.8"/>
    <n v="233"/>
    <n v="134830.35"/>
    <x v="0"/>
    <x v="1"/>
    <s v="Jaipur"/>
    <x v="2"/>
    <x v="1"/>
    <n v="1"/>
    <x v="0"/>
    <n v="2"/>
    <s v="Delivered"/>
  </r>
  <r>
    <s v="ORD00687"/>
    <x v="146"/>
    <s v="CUST408"/>
    <s v="Sneha"/>
    <x v="0"/>
    <n v="56"/>
    <x v="0"/>
    <x v="0"/>
    <x v="0"/>
    <x v="4"/>
    <n v="1"/>
    <n v="11177"/>
    <n v="20"/>
    <n v="2235.4"/>
    <n v="1609.49"/>
    <n v="174"/>
    <n v="10725.09"/>
    <x v="2"/>
    <x v="1"/>
    <s v="Jaipur"/>
    <x v="2"/>
    <x v="1"/>
    <n v="10"/>
    <x v="0"/>
    <n v="5"/>
    <s v="Returned"/>
  </r>
  <r>
    <s v="ORD00688"/>
    <x v="307"/>
    <s v="CUST737"/>
    <s v="Priya"/>
    <x v="0"/>
    <n v="44"/>
    <x v="4"/>
    <x v="0"/>
    <x v="4"/>
    <x v="3"/>
    <n v="4"/>
    <n v="43124"/>
    <n v="15"/>
    <n v="25874.400000000001"/>
    <n v="26391.89"/>
    <n v="187"/>
    <n v="173200.49"/>
    <x v="0"/>
    <x v="1"/>
    <s v="Delhi"/>
    <x v="5"/>
    <x v="1"/>
    <n v="8"/>
    <x v="1"/>
    <n v="3"/>
    <s v="Shipped"/>
  </r>
  <r>
    <s v="ORD00689"/>
    <x v="11"/>
    <s v="CUST700"/>
    <s v="Anjali"/>
    <x v="0"/>
    <n v="51"/>
    <x v="4"/>
    <x v="0"/>
    <x v="4"/>
    <x v="9"/>
    <n v="1"/>
    <n v="1063"/>
    <n v="5"/>
    <n v="53.15"/>
    <n v="181.77"/>
    <n v="2"/>
    <n v="1193.6199999999999"/>
    <x v="0"/>
    <x v="0"/>
    <s v="Delhi"/>
    <x v="5"/>
    <x v="1"/>
    <n v="6"/>
    <x v="1"/>
    <n v="5"/>
    <s v="Delivered"/>
  </r>
  <r>
    <s v="ORD00690"/>
    <x v="93"/>
    <s v="CUST234"/>
    <s v="Amit"/>
    <x v="1"/>
    <n v="34"/>
    <x v="4"/>
    <x v="0"/>
    <x v="4"/>
    <x v="5"/>
    <n v="2"/>
    <n v="862"/>
    <n v="0"/>
    <n v="0"/>
    <n v="310.32"/>
    <n v="38"/>
    <n v="2072.3200000000002"/>
    <x v="2"/>
    <x v="1"/>
    <s v="Patiala"/>
    <x v="1"/>
    <x v="1"/>
    <n v="4"/>
    <x v="1"/>
    <n v="5"/>
    <s v="Returned"/>
  </r>
  <r>
    <s v="ORD00691"/>
    <x v="193"/>
    <s v="CUST195"/>
    <s v="Karan"/>
    <x v="0"/>
    <n v="18"/>
    <x v="7"/>
    <x v="1"/>
    <x v="7"/>
    <x v="8"/>
    <n v="3"/>
    <n v="48398"/>
    <n v="0"/>
    <n v="0"/>
    <n v="26134.92"/>
    <n v="450"/>
    <n v="171778.92"/>
    <x v="3"/>
    <x v="0"/>
    <s v="Pune"/>
    <x v="0"/>
    <x v="0"/>
    <n v="1"/>
    <x v="1"/>
    <n v="5"/>
    <s v="Shipped"/>
  </r>
  <r>
    <s v="ORD00692"/>
    <x v="308"/>
    <s v="CUST176"/>
    <s v="Riya"/>
    <x v="1"/>
    <n v="57"/>
    <x v="8"/>
    <x v="0"/>
    <x v="8"/>
    <x v="5"/>
    <n v="4"/>
    <n v="39778"/>
    <n v="10"/>
    <n v="15911.2"/>
    <n v="25776.14"/>
    <n v="252"/>
    <n v="169228.94"/>
    <x v="0"/>
    <x v="0"/>
    <s v="Patiala"/>
    <x v="1"/>
    <x v="1"/>
    <n v="6"/>
    <x v="1"/>
    <n v="5"/>
    <s v="Delivered"/>
  </r>
  <r>
    <s v="ORD00693"/>
    <x v="309"/>
    <s v="CUST511"/>
    <s v="Neha"/>
    <x v="0"/>
    <n v="42"/>
    <x v="7"/>
    <x v="1"/>
    <x v="7"/>
    <x v="7"/>
    <n v="2"/>
    <n v="25407"/>
    <n v="0"/>
    <n v="0"/>
    <n v="9146.52"/>
    <n v="193"/>
    <n v="60153.52"/>
    <x v="3"/>
    <x v="0"/>
    <s v="Chandigarh"/>
    <x v="1"/>
    <x v="1"/>
    <n v="5"/>
    <x v="0"/>
    <n v="3"/>
    <s v="Shipped"/>
  </r>
  <r>
    <s v="ORD00694"/>
    <x v="76"/>
    <s v="CUST471"/>
    <s v="Priya"/>
    <x v="1"/>
    <n v="33"/>
    <x v="3"/>
    <x v="2"/>
    <x v="3"/>
    <x v="2"/>
    <n v="1"/>
    <n v="34030"/>
    <n v="5"/>
    <n v="1701.5"/>
    <n v="5819.13"/>
    <n v="148"/>
    <n v="38295.629999999997"/>
    <x v="0"/>
    <x v="0"/>
    <s v="Patiala"/>
    <x v="1"/>
    <x v="1"/>
    <n v="5"/>
    <x v="1"/>
    <n v="5"/>
    <s v="Delivered"/>
  </r>
  <r>
    <s v="ORD00695"/>
    <x v="76"/>
    <s v="CUST451"/>
    <s v="Rahul"/>
    <x v="0"/>
    <n v="55"/>
    <x v="1"/>
    <x v="0"/>
    <x v="1"/>
    <x v="7"/>
    <n v="2"/>
    <n v="27846"/>
    <n v="20"/>
    <n v="11138.4"/>
    <n v="8019.65"/>
    <n v="421"/>
    <n v="52994.25"/>
    <x v="3"/>
    <x v="1"/>
    <s v="Delhi"/>
    <x v="5"/>
    <x v="1"/>
    <n v="4"/>
    <x v="1"/>
    <n v="5"/>
    <s v="Shipped"/>
  </r>
  <r>
    <s v="ORD00696"/>
    <x v="143"/>
    <s v="CUST876"/>
    <s v="Vikas"/>
    <x v="1"/>
    <n v="52"/>
    <x v="8"/>
    <x v="0"/>
    <x v="8"/>
    <x v="4"/>
    <n v="1"/>
    <n v="38289"/>
    <n v="15"/>
    <n v="5743.35"/>
    <n v="5858.22"/>
    <n v="315"/>
    <n v="38718.870000000003"/>
    <x v="0"/>
    <x v="1"/>
    <s v="Bangalore"/>
    <x v="3"/>
    <x v="2"/>
    <n v="3"/>
    <x v="1"/>
    <n v="2"/>
    <s v="Cancelled"/>
  </r>
  <r>
    <s v="ORD00697"/>
    <x v="135"/>
    <s v="CUST104"/>
    <s v="Sneha"/>
    <x v="0"/>
    <n v="46"/>
    <x v="1"/>
    <x v="0"/>
    <x v="1"/>
    <x v="4"/>
    <n v="3"/>
    <n v="40712"/>
    <n v="0"/>
    <n v="0"/>
    <n v="21984.48"/>
    <n v="238"/>
    <n v="144358.48000000001"/>
    <x v="0"/>
    <x v="1"/>
    <s v="Lucknow"/>
    <x v="4"/>
    <x v="1"/>
    <n v="5"/>
    <x v="0"/>
    <n v="5"/>
    <s v="Cancelled"/>
  </r>
  <r>
    <s v="ORD00698"/>
    <x v="310"/>
    <s v="CUST663"/>
    <s v="Amit"/>
    <x v="0"/>
    <n v="23"/>
    <x v="1"/>
    <x v="0"/>
    <x v="1"/>
    <x v="7"/>
    <n v="1"/>
    <n v="38286"/>
    <n v="5"/>
    <n v="1914.3"/>
    <n v="6546.91"/>
    <n v="264"/>
    <n v="43182.61"/>
    <x v="2"/>
    <x v="1"/>
    <s v="Mumbai"/>
    <x v="0"/>
    <x v="0"/>
    <n v="4"/>
    <x v="1"/>
    <n v="4"/>
    <s v="Shipped"/>
  </r>
  <r>
    <s v="ORD00699"/>
    <x v="157"/>
    <s v="CUST149"/>
    <s v="Arjun"/>
    <x v="1"/>
    <n v="21"/>
    <x v="3"/>
    <x v="2"/>
    <x v="3"/>
    <x v="8"/>
    <n v="3"/>
    <n v="38505"/>
    <n v="10"/>
    <n v="11551.5"/>
    <n v="18713.43"/>
    <n v="469"/>
    <n v="123145.93"/>
    <x v="3"/>
    <x v="0"/>
    <s v="Lucknow"/>
    <x v="4"/>
    <x v="1"/>
    <n v="7"/>
    <x v="0"/>
    <n v="1"/>
    <s v="Delivered"/>
  </r>
  <r>
    <s v="ORD00700"/>
    <x v="202"/>
    <s v="CUST208"/>
    <s v="Arjun"/>
    <x v="0"/>
    <n v="41"/>
    <x v="9"/>
    <x v="0"/>
    <x v="9"/>
    <x v="4"/>
    <n v="1"/>
    <n v="37853"/>
    <n v="20"/>
    <n v="7570.6"/>
    <n v="5450.83"/>
    <n v="363"/>
    <n v="36096.230000000003"/>
    <x v="2"/>
    <x v="0"/>
    <s v="Bangalore"/>
    <x v="3"/>
    <x v="2"/>
    <n v="3"/>
    <x v="0"/>
    <n v="1"/>
    <s v="Cancelled"/>
  </r>
  <r>
    <s v="ORD00701"/>
    <x v="212"/>
    <s v="CUST724"/>
    <s v="Riya"/>
    <x v="0"/>
    <n v="46"/>
    <x v="9"/>
    <x v="0"/>
    <x v="9"/>
    <x v="1"/>
    <n v="1"/>
    <n v="23378"/>
    <n v="5"/>
    <n v="1168.9000000000001"/>
    <n v="3997.64"/>
    <n v="1"/>
    <n v="26207.74"/>
    <x v="0"/>
    <x v="0"/>
    <s v="Pune"/>
    <x v="0"/>
    <x v="0"/>
    <n v="5"/>
    <x v="0"/>
    <n v="3"/>
    <s v="Shipped"/>
  </r>
  <r>
    <s v="ORD00702"/>
    <x v="114"/>
    <s v="CUST758"/>
    <s v="Rahul"/>
    <x v="1"/>
    <n v="48"/>
    <x v="7"/>
    <x v="1"/>
    <x v="7"/>
    <x v="1"/>
    <n v="2"/>
    <n v="34921"/>
    <n v="5"/>
    <n v="3492.1"/>
    <n v="11942.98"/>
    <n v="248"/>
    <n v="78540.88"/>
    <x v="0"/>
    <x v="1"/>
    <s v="Lucknow"/>
    <x v="4"/>
    <x v="1"/>
    <n v="1"/>
    <x v="0"/>
    <n v="2"/>
    <s v="Delivered"/>
  </r>
  <r>
    <s v="ORD00703"/>
    <x v="177"/>
    <s v="CUST573"/>
    <s v="Priya"/>
    <x v="1"/>
    <n v="39"/>
    <x v="5"/>
    <x v="0"/>
    <x v="5"/>
    <x v="2"/>
    <n v="4"/>
    <n v="17871"/>
    <n v="5"/>
    <n v="3574.2"/>
    <n v="12223.76"/>
    <n v="178"/>
    <n v="80311.56"/>
    <x v="2"/>
    <x v="1"/>
    <s v="Patiala"/>
    <x v="1"/>
    <x v="1"/>
    <n v="8"/>
    <x v="0"/>
    <n v="5"/>
    <s v="Returned"/>
  </r>
  <r>
    <s v="ORD00704"/>
    <x v="168"/>
    <s v="CUST950"/>
    <s v="Amit"/>
    <x v="0"/>
    <n v="46"/>
    <x v="6"/>
    <x v="0"/>
    <x v="6"/>
    <x v="1"/>
    <n v="4"/>
    <n v="45708"/>
    <n v="20"/>
    <n v="36566.400000000001"/>
    <n v="26327.81"/>
    <n v="230"/>
    <n v="172823.41"/>
    <x v="0"/>
    <x v="0"/>
    <s v="Delhi"/>
    <x v="5"/>
    <x v="1"/>
    <n v="10"/>
    <x v="1"/>
    <n v="4"/>
    <s v="Returned"/>
  </r>
  <r>
    <s v="ORD00705"/>
    <x v="79"/>
    <s v="CUST915"/>
    <s v="Priya"/>
    <x v="0"/>
    <n v="45"/>
    <x v="2"/>
    <x v="1"/>
    <x v="2"/>
    <x v="5"/>
    <n v="4"/>
    <n v="30414"/>
    <n v="5"/>
    <n v="6082.8"/>
    <n v="20803.18"/>
    <n v="367"/>
    <n v="136743.38"/>
    <x v="0"/>
    <x v="1"/>
    <s v="Jaipur"/>
    <x v="2"/>
    <x v="1"/>
    <n v="8"/>
    <x v="0"/>
    <n v="4"/>
    <s v="Shipped"/>
  </r>
  <r>
    <s v="ORD00706"/>
    <x v="204"/>
    <s v="CUST482"/>
    <s v="Amit"/>
    <x v="1"/>
    <n v="28"/>
    <x v="5"/>
    <x v="0"/>
    <x v="5"/>
    <x v="0"/>
    <n v="3"/>
    <n v="20894"/>
    <n v="15"/>
    <n v="9402.2999999999993"/>
    <n v="9590.35"/>
    <n v="68"/>
    <n v="62938.05"/>
    <x v="2"/>
    <x v="1"/>
    <s v="Mumbai"/>
    <x v="0"/>
    <x v="0"/>
    <n v="1"/>
    <x v="1"/>
    <n v="5"/>
    <s v="Cancelled"/>
  </r>
  <r>
    <s v="ORD00707"/>
    <x v="15"/>
    <s v="CUST346"/>
    <s v="Vikas"/>
    <x v="0"/>
    <n v="35"/>
    <x v="7"/>
    <x v="1"/>
    <x v="7"/>
    <x v="8"/>
    <n v="1"/>
    <n v="9009"/>
    <n v="15"/>
    <n v="1351.35"/>
    <n v="1378.38"/>
    <n v="466"/>
    <n v="9502.0300000000007"/>
    <x v="2"/>
    <x v="1"/>
    <s v="Jaipur"/>
    <x v="2"/>
    <x v="1"/>
    <n v="7"/>
    <x v="1"/>
    <n v="3"/>
    <s v="Delivered"/>
  </r>
  <r>
    <s v="ORD00708"/>
    <x v="179"/>
    <s v="CUST301"/>
    <s v="Neha"/>
    <x v="0"/>
    <n v="36"/>
    <x v="0"/>
    <x v="0"/>
    <x v="0"/>
    <x v="4"/>
    <n v="4"/>
    <n v="40980"/>
    <n v="20"/>
    <n v="32784"/>
    <n v="23604.48"/>
    <n v="302"/>
    <n v="155042.48000000001"/>
    <x v="2"/>
    <x v="1"/>
    <s v="Lucknow"/>
    <x v="4"/>
    <x v="1"/>
    <n v="10"/>
    <x v="1"/>
    <n v="3"/>
    <s v="Delivered"/>
  </r>
  <r>
    <s v="ORD00709"/>
    <x v="311"/>
    <s v="CUST682"/>
    <s v="Karan"/>
    <x v="1"/>
    <n v="53"/>
    <x v="9"/>
    <x v="0"/>
    <x v="9"/>
    <x v="7"/>
    <n v="4"/>
    <n v="17805"/>
    <n v="5"/>
    <n v="3561"/>
    <n v="12178.62"/>
    <n v="278"/>
    <n v="80115.62"/>
    <x v="0"/>
    <x v="1"/>
    <s v="Chandigarh"/>
    <x v="1"/>
    <x v="1"/>
    <n v="2"/>
    <x v="1"/>
    <n v="4"/>
    <s v="Cancelled"/>
  </r>
  <r>
    <s v="ORD00710"/>
    <x v="221"/>
    <s v="CUST202"/>
    <s v="Arjun"/>
    <x v="0"/>
    <n v="56"/>
    <x v="8"/>
    <x v="0"/>
    <x v="8"/>
    <x v="8"/>
    <n v="3"/>
    <n v="27997"/>
    <n v="10"/>
    <n v="8399.1"/>
    <n v="13606.54"/>
    <n v="430"/>
    <n v="89628.44"/>
    <x v="1"/>
    <x v="0"/>
    <s v="Bangalore"/>
    <x v="3"/>
    <x v="2"/>
    <n v="7"/>
    <x v="1"/>
    <n v="1"/>
    <s v="Delivered"/>
  </r>
  <r>
    <s v="ORD00711"/>
    <x v="0"/>
    <s v="CUST256"/>
    <s v="Vikas"/>
    <x v="0"/>
    <n v="58"/>
    <x v="0"/>
    <x v="0"/>
    <x v="0"/>
    <x v="7"/>
    <n v="3"/>
    <n v="16676"/>
    <n v="5"/>
    <n v="2501.4"/>
    <n v="8554.7900000000009"/>
    <n v="328"/>
    <n v="56409.39"/>
    <x v="2"/>
    <x v="1"/>
    <s v="Pune"/>
    <x v="0"/>
    <x v="0"/>
    <n v="1"/>
    <x v="0"/>
    <n v="1"/>
    <s v="Delivered"/>
  </r>
  <r>
    <s v="ORD00712"/>
    <x v="312"/>
    <s v="CUST690"/>
    <s v="Amit"/>
    <x v="1"/>
    <n v="50"/>
    <x v="4"/>
    <x v="0"/>
    <x v="4"/>
    <x v="0"/>
    <n v="1"/>
    <n v="29242"/>
    <n v="20"/>
    <n v="5848.4"/>
    <n v="4210.8500000000004"/>
    <n v="375"/>
    <n v="27979.45"/>
    <x v="2"/>
    <x v="1"/>
    <s v="Bangalore"/>
    <x v="3"/>
    <x v="2"/>
    <n v="3"/>
    <x v="0"/>
    <n v="4"/>
    <s v="Cancelled"/>
  </r>
  <r>
    <s v="ORD00713"/>
    <x v="306"/>
    <s v="CUST382"/>
    <s v="Arjun"/>
    <x v="0"/>
    <n v="41"/>
    <x v="6"/>
    <x v="0"/>
    <x v="6"/>
    <x v="0"/>
    <n v="4"/>
    <n v="11472"/>
    <n v="5"/>
    <n v="2294.4"/>
    <n v="7846.85"/>
    <n v="166"/>
    <n v="51606.45"/>
    <x v="0"/>
    <x v="1"/>
    <s v="Pune"/>
    <x v="0"/>
    <x v="0"/>
    <n v="7"/>
    <x v="1"/>
    <n v="2"/>
    <s v="Cancelled"/>
  </r>
  <r>
    <s v="ORD00714"/>
    <x v="313"/>
    <s v="CUST834"/>
    <s v="Arjun"/>
    <x v="0"/>
    <n v="59"/>
    <x v="5"/>
    <x v="0"/>
    <x v="5"/>
    <x v="1"/>
    <n v="1"/>
    <n v="47287"/>
    <n v="0"/>
    <n v="0"/>
    <n v="8511.66"/>
    <n v="494"/>
    <n v="56292.66"/>
    <x v="1"/>
    <x v="1"/>
    <s v="Jaipur"/>
    <x v="2"/>
    <x v="1"/>
    <n v="6"/>
    <x v="0"/>
    <n v="1"/>
    <s v="Cancelled"/>
  </r>
  <r>
    <s v="ORD00715"/>
    <x v="297"/>
    <s v="CUST908"/>
    <s v="Sneha"/>
    <x v="0"/>
    <n v="54"/>
    <x v="3"/>
    <x v="2"/>
    <x v="3"/>
    <x v="2"/>
    <n v="1"/>
    <n v="27319"/>
    <n v="20"/>
    <n v="5463.8"/>
    <n v="3933.94"/>
    <n v="240"/>
    <n v="26029.14"/>
    <x v="2"/>
    <x v="1"/>
    <s v="Jaipur"/>
    <x v="2"/>
    <x v="1"/>
    <n v="3"/>
    <x v="0"/>
    <n v="2"/>
    <s v="Cancelled"/>
  </r>
  <r>
    <s v="ORD00716"/>
    <x v="88"/>
    <s v="CUST170"/>
    <s v="Priya"/>
    <x v="1"/>
    <n v="23"/>
    <x v="8"/>
    <x v="0"/>
    <x v="8"/>
    <x v="8"/>
    <n v="2"/>
    <n v="23777"/>
    <n v="5"/>
    <n v="2377.6999999999998"/>
    <n v="8131.73"/>
    <n v="196"/>
    <n v="53504.03"/>
    <x v="3"/>
    <x v="0"/>
    <s v="Bangalore"/>
    <x v="3"/>
    <x v="2"/>
    <n v="10"/>
    <x v="1"/>
    <n v="2"/>
    <s v="Returned"/>
  </r>
  <r>
    <s v="ORD00717"/>
    <x v="127"/>
    <s v="CUST898"/>
    <s v="Amit"/>
    <x v="1"/>
    <n v="49"/>
    <x v="3"/>
    <x v="2"/>
    <x v="3"/>
    <x v="0"/>
    <n v="2"/>
    <n v="47273"/>
    <n v="15"/>
    <n v="14181.9"/>
    <n v="14465.54"/>
    <n v="460"/>
    <n v="95289.64"/>
    <x v="1"/>
    <x v="0"/>
    <s v="Jaipur"/>
    <x v="2"/>
    <x v="1"/>
    <n v="2"/>
    <x v="1"/>
    <n v="5"/>
    <s v="Shipped"/>
  </r>
  <r>
    <s v="ORD00718"/>
    <x v="90"/>
    <s v="CUST442"/>
    <s v="Arjun"/>
    <x v="0"/>
    <n v="55"/>
    <x v="9"/>
    <x v="0"/>
    <x v="9"/>
    <x v="3"/>
    <n v="4"/>
    <n v="5695"/>
    <n v="5"/>
    <n v="1139"/>
    <n v="3895.38"/>
    <n v="183"/>
    <n v="25719.38"/>
    <x v="1"/>
    <x v="1"/>
    <s v="Patiala"/>
    <x v="1"/>
    <x v="1"/>
    <n v="9"/>
    <x v="0"/>
    <n v="4"/>
    <s v="Shipped"/>
  </r>
  <r>
    <s v="ORD00719"/>
    <x v="54"/>
    <s v="CUST189"/>
    <s v="Rahul"/>
    <x v="0"/>
    <n v="33"/>
    <x v="0"/>
    <x v="0"/>
    <x v="0"/>
    <x v="2"/>
    <n v="4"/>
    <n v="25749"/>
    <n v="0"/>
    <n v="0"/>
    <n v="18539.28"/>
    <n v="488"/>
    <n v="122023.28"/>
    <x v="1"/>
    <x v="1"/>
    <s v="Pune"/>
    <x v="0"/>
    <x v="0"/>
    <n v="6"/>
    <x v="1"/>
    <n v="1"/>
    <s v="Returned"/>
  </r>
  <r>
    <s v="ORD00720"/>
    <x v="14"/>
    <s v="CUST759"/>
    <s v="Sneha"/>
    <x v="1"/>
    <n v="48"/>
    <x v="3"/>
    <x v="2"/>
    <x v="3"/>
    <x v="1"/>
    <n v="3"/>
    <n v="20383"/>
    <n v="20"/>
    <n v="12229.8"/>
    <n v="8805.4599999999991"/>
    <n v="320"/>
    <n v="58044.66"/>
    <x v="3"/>
    <x v="1"/>
    <s v="Mumbai"/>
    <x v="0"/>
    <x v="0"/>
    <n v="1"/>
    <x v="1"/>
    <n v="2"/>
    <s v="Delivered"/>
  </r>
  <r>
    <s v="ORD00721"/>
    <x v="75"/>
    <s v="CUST565"/>
    <s v="Arjun"/>
    <x v="1"/>
    <n v="34"/>
    <x v="1"/>
    <x v="0"/>
    <x v="1"/>
    <x v="0"/>
    <n v="4"/>
    <n v="44550"/>
    <n v="10"/>
    <n v="17820"/>
    <n v="28868.400000000001"/>
    <n v="449"/>
    <n v="189697.4"/>
    <x v="0"/>
    <x v="1"/>
    <s v="Mumbai"/>
    <x v="0"/>
    <x v="0"/>
    <n v="7"/>
    <x v="0"/>
    <n v="3"/>
    <s v="Returned"/>
  </r>
  <r>
    <s v="ORD00722"/>
    <x v="255"/>
    <s v="CUST711"/>
    <s v="Priya"/>
    <x v="1"/>
    <n v="35"/>
    <x v="9"/>
    <x v="0"/>
    <x v="9"/>
    <x v="6"/>
    <n v="3"/>
    <n v="17487"/>
    <n v="20"/>
    <n v="10492.2"/>
    <n v="7554.38"/>
    <n v="447"/>
    <n v="49970.18"/>
    <x v="3"/>
    <x v="0"/>
    <s v="Patiala"/>
    <x v="1"/>
    <x v="1"/>
    <n v="10"/>
    <x v="0"/>
    <n v="5"/>
    <s v="Delivered"/>
  </r>
  <r>
    <s v="ORD00723"/>
    <x v="105"/>
    <s v="CUST513"/>
    <s v="Sneha"/>
    <x v="0"/>
    <n v="20"/>
    <x v="1"/>
    <x v="0"/>
    <x v="1"/>
    <x v="4"/>
    <n v="3"/>
    <n v="32893"/>
    <n v="5"/>
    <n v="4933.95"/>
    <n v="16874.11"/>
    <n v="386"/>
    <n v="111005.16"/>
    <x v="2"/>
    <x v="1"/>
    <s v="Mumbai"/>
    <x v="0"/>
    <x v="0"/>
    <n v="7"/>
    <x v="0"/>
    <n v="4"/>
    <s v="Returned"/>
  </r>
  <r>
    <s v="ORD00724"/>
    <x v="102"/>
    <s v="CUST682"/>
    <s v="Amit"/>
    <x v="1"/>
    <n v="33"/>
    <x v="7"/>
    <x v="1"/>
    <x v="7"/>
    <x v="6"/>
    <n v="2"/>
    <n v="48999"/>
    <n v="10"/>
    <n v="9799.7999999999993"/>
    <n v="15875.68"/>
    <n v="136"/>
    <n v="104209.88"/>
    <x v="2"/>
    <x v="1"/>
    <s v="Mumbai"/>
    <x v="0"/>
    <x v="0"/>
    <n v="7"/>
    <x v="0"/>
    <n v="1"/>
    <s v="Delivered"/>
  </r>
  <r>
    <s v="ORD00725"/>
    <x v="314"/>
    <s v="CUST628"/>
    <s v="Amit"/>
    <x v="1"/>
    <n v="54"/>
    <x v="9"/>
    <x v="0"/>
    <x v="9"/>
    <x v="9"/>
    <n v="5"/>
    <n v="21651"/>
    <n v="15"/>
    <n v="16238.25"/>
    <n v="16563.009999999998"/>
    <n v="226"/>
    <n v="108805.75999999999"/>
    <x v="2"/>
    <x v="0"/>
    <s v="Patiala"/>
    <x v="1"/>
    <x v="1"/>
    <n v="2"/>
    <x v="0"/>
    <n v="3"/>
    <s v="Delivered"/>
  </r>
  <r>
    <s v="ORD00726"/>
    <x v="107"/>
    <s v="CUST112"/>
    <s v="Anjali"/>
    <x v="1"/>
    <n v="21"/>
    <x v="8"/>
    <x v="0"/>
    <x v="8"/>
    <x v="4"/>
    <n v="3"/>
    <n v="33508"/>
    <n v="10"/>
    <n v="10052.4"/>
    <n v="16284.89"/>
    <n v="103"/>
    <n v="106859.49"/>
    <x v="0"/>
    <x v="1"/>
    <s v="Pune"/>
    <x v="0"/>
    <x v="0"/>
    <n v="5"/>
    <x v="1"/>
    <n v="1"/>
    <s v="Returned"/>
  </r>
  <r>
    <s v="ORD00727"/>
    <x v="263"/>
    <s v="CUST889"/>
    <s v="Neha"/>
    <x v="0"/>
    <n v="41"/>
    <x v="9"/>
    <x v="0"/>
    <x v="9"/>
    <x v="8"/>
    <n v="2"/>
    <n v="43281"/>
    <n v="5"/>
    <n v="4328.1000000000004"/>
    <n v="14802.1"/>
    <n v="87"/>
    <n v="97123"/>
    <x v="1"/>
    <x v="1"/>
    <s v="Mumbai"/>
    <x v="0"/>
    <x v="0"/>
    <n v="7"/>
    <x v="1"/>
    <n v="1"/>
    <s v="Returned"/>
  </r>
  <r>
    <s v="ORD00728"/>
    <x v="109"/>
    <s v="CUST867"/>
    <s v="Vikas"/>
    <x v="0"/>
    <n v="30"/>
    <x v="0"/>
    <x v="0"/>
    <x v="0"/>
    <x v="6"/>
    <n v="2"/>
    <n v="41547"/>
    <n v="10"/>
    <n v="8309.4"/>
    <n v="13461.23"/>
    <n v="154"/>
    <n v="88399.83"/>
    <x v="1"/>
    <x v="1"/>
    <s v="Patiala"/>
    <x v="1"/>
    <x v="1"/>
    <n v="4"/>
    <x v="0"/>
    <n v="3"/>
    <s v="Cancelled"/>
  </r>
  <r>
    <s v="ORD00729"/>
    <x v="125"/>
    <s v="CUST403"/>
    <s v="Priya"/>
    <x v="0"/>
    <n v="26"/>
    <x v="4"/>
    <x v="0"/>
    <x v="4"/>
    <x v="7"/>
    <n v="3"/>
    <n v="27978"/>
    <n v="5"/>
    <n v="4196.7"/>
    <n v="14352.71"/>
    <n v="109"/>
    <n v="94199.01"/>
    <x v="2"/>
    <x v="1"/>
    <s v="Mumbai"/>
    <x v="0"/>
    <x v="0"/>
    <n v="7"/>
    <x v="0"/>
    <n v="2"/>
    <s v="Returned"/>
  </r>
  <r>
    <s v="ORD00730"/>
    <x v="245"/>
    <s v="CUST369"/>
    <s v="Priya"/>
    <x v="1"/>
    <n v="28"/>
    <x v="8"/>
    <x v="0"/>
    <x v="8"/>
    <x v="9"/>
    <n v="1"/>
    <n v="45792"/>
    <n v="20"/>
    <n v="9158.4"/>
    <n v="6594.05"/>
    <n v="224"/>
    <n v="43451.65"/>
    <x v="0"/>
    <x v="1"/>
    <s v="Lucknow"/>
    <x v="4"/>
    <x v="1"/>
    <n v="6"/>
    <x v="1"/>
    <n v="3"/>
    <s v="Cancelled"/>
  </r>
  <r>
    <s v="ORD00731"/>
    <x v="315"/>
    <s v="CUST307"/>
    <s v="Priya"/>
    <x v="0"/>
    <n v="46"/>
    <x v="7"/>
    <x v="1"/>
    <x v="7"/>
    <x v="0"/>
    <n v="3"/>
    <n v="42112"/>
    <n v="10"/>
    <n v="12633.6"/>
    <n v="20466.43"/>
    <n v="357"/>
    <n v="134525.82999999999"/>
    <x v="2"/>
    <x v="0"/>
    <s v="Lucknow"/>
    <x v="4"/>
    <x v="1"/>
    <n v="8"/>
    <x v="0"/>
    <n v="5"/>
    <s v="Shipped"/>
  </r>
  <r>
    <s v="ORD00732"/>
    <x v="204"/>
    <s v="CUST157"/>
    <s v="Karan"/>
    <x v="1"/>
    <n v="42"/>
    <x v="7"/>
    <x v="1"/>
    <x v="7"/>
    <x v="8"/>
    <n v="1"/>
    <n v="9485"/>
    <n v="15"/>
    <n v="1422.75"/>
    <n v="1451.2"/>
    <n v="167"/>
    <n v="9680.4500000000007"/>
    <x v="0"/>
    <x v="0"/>
    <s v="Bangalore"/>
    <x v="3"/>
    <x v="2"/>
    <n v="1"/>
    <x v="0"/>
    <n v="1"/>
    <s v="Cancelled"/>
  </r>
  <r>
    <s v="ORD00733"/>
    <x v="84"/>
    <s v="CUST192"/>
    <s v="Rahul"/>
    <x v="1"/>
    <n v="53"/>
    <x v="0"/>
    <x v="0"/>
    <x v="0"/>
    <x v="5"/>
    <n v="3"/>
    <n v="3588"/>
    <n v="15"/>
    <n v="1614.6"/>
    <n v="1646.89"/>
    <n v="206"/>
    <n v="11002.29"/>
    <x v="2"/>
    <x v="0"/>
    <s v="Delhi"/>
    <x v="5"/>
    <x v="1"/>
    <n v="10"/>
    <x v="0"/>
    <n v="4"/>
    <s v="Returned"/>
  </r>
  <r>
    <s v="ORD00734"/>
    <x v="212"/>
    <s v="CUST304"/>
    <s v="Priya"/>
    <x v="1"/>
    <n v="56"/>
    <x v="2"/>
    <x v="1"/>
    <x v="2"/>
    <x v="1"/>
    <n v="1"/>
    <n v="44046"/>
    <n v="20"/>
    <n v="8809.2000000000007"/>
    <n v="6342.62"/>
    <n v="311"/>
    <n v="41890.42"/>
    <x v="2"/>
    <x v="0"/>
    <s v="Delhi"/>
    <x v="5"/>
    <x v="1"/>
    <n v="5"/>
    <x v="1"/>
    <n v="4"/>
    <s v="Shipped"/>
  </r>
  <r>
    <s v="ORD00735"/>
    <x v="12"/>
    <s v="CUST693"/>
    <s v="Karan"/>
    <x v="1"/>
    <n v="25"/>
    <x v="2"/>
    <x v="1"/>
    <x v="2"/>
    <x v="8"/>
    <n v="5"/>
    <n v="6165"/>
    <n v="20"/>
    <n v="6165"/>
    <n v="4438.8"/>
    <n v="424"/>
    <n v="29522.799999999999"/>
    <x v="3"/>
    <x v="0"/>
    <s v="Delhi"/>
    <x v="5"/>
    <x v="1"/>
    <n v="8"/>
    <x v="0"/>
    <n v="5"/>
    <s v="Cancelled"/>
  </r>
  <r>
    <s v="ORD00736"/>
    <x v="118"/>
    <s v="CUST614"/>
    <s v="Amit"/>
    <x v="0"/>
    <n v="59"/>
    <x v="5"/>
    <x v="0"/>
    <x v="5"/>
    <x v="2"/>
    <n v="4"/>
    <n v="2086"/>
    <n v="20"/>
    <n v="1668.8"/>
    <n v="1201.54"/>
    <n v="360"/>
    <n v="8236.74"/>
    <x v="1"/>
    <x v="1"/>
    <s v="Delhi"/>
    <x v="5"/>
    <x v="1"/>
    <n v="2"/>
    <x v="1"/>
    <n v="4"/>
    <s v="Shipped"/>
  </r>
  <r>
    <s v="ORD00737"/>
    <x v="309"/>
    <s v="CUST932"/>
    <s v="Riya"/>
    <x v="1"/>
    <n v="47"/>
    <x v="2"/>
    <x v="1"/>
    <x v="2"/>
    <x v="6"/>
    <n v="1"/>
    <n v="1296"/>
    <n v="15"/>
    <n v="194.4"/>
    <n v="198.29"/>
    <n v="410"/>
    <n v="1709.89"/>
    <x v="2"/>
    <x v="0"/>
    <s v="Bangalore"/>
    <x v="3"/>
    <x v="2"/>
    <n v="5"/>
    <x v="0"/>
    <n v="3"/>
    <s v="Cancelled"/>
  </r>
  <r>
    <s v="ORD00738"/>
    <x v="316"/>
    <s v="CUST986"/>
    <s v="Anjali"/>
    <x v="0"/>
    <n v="26"/>
    <x v="0"/>
    <x v="0"/>
    <x v="0"/>
    <x v="1"/>
    <n v="1"/>
    <n v="43602"/>
    <n v="15"/>
    <n v="6540.3"/>
    <n v="6671.11"/>
    <n v="396"/>
    <n v="44128.81"/>
    <x v="3"/>
    <x v="0"/>
    <s v="Mumbai"/>
    <x v="0"/>
    <x v="0"/>
    <n v="1"/>
    <x v="1"/>
    <n v="5"/>
    <s v="Returned"/>
  </r>
  <r>
    <s v="ORD00739"/>
    <x v="264"/>
    <s v="CUST426"/>
    <s v="Riya"/>
    <x v="0"/>
    <n v="25"/>
    <x v="3"/>
    <x v="2"/>
    <x v="3"/>
    <x v="4"/>
    <n v="3"/>
    <n v="8837"/>
    <n v="20"/>
    <n v="5302.2"/>
    <n v="3817.58"/>
    <n v="344"/>
    <n v="25370.38"/>
    <x v="2"/>
    <x v="0"/>
    <s v="Delhi"/>
    <x v="5"/>
    <x v="1"/>
    <n v="8"/>
    <x v="1"/>
    <n v="3"/>
    <s v="Returned"/>
  </r>
  <r>
    <s v="ORD00740"/>
    <x v="58"/>
    <s v="CUST339"/>
    <s v="Amit"/>
    <x v="0"/>
    <n v="23"/>
    <x v="4"/>
    <x v="0"/>
    <x v="4"/>
    <x v="5"/>
    <n v="5"/>
    <n v="10552"/>
    <n v="0"/>
    <n v="0"/>
    <n v="9496.7999999999993"/>
    <n v="290"/>
    <n v="62546.8"/>
    <x v="3"/>
    <x v="0"/>
    <s v="Bangalore"/>
    <x v="3"/>
    <x v="2"/>
    <n v="8"/>
    <x v="0"/>
    <n v="3"/>
    <s v="Cancelled"/>
  </r>
  <r>
    <s v="ORD00741"/>
    <x v="48"/>
    <s v="CUST625"/>
    <s v="Anjali"/>
    <x v="0"/>
    <n v="52"/>
    <x v="1"/>
    <x v="0"/>
    <x v="1"/>
    <x v="6"/>
    <n v="3"/>
    <n v="31793"/>
    <n v="10"/>
    <n v="9537.9"/>
    <n v="15451.4"/>
    <n v="433"/>
    <n v="101725.5"/>
    <x v="2"/>
    <x v="0"/>
    <s v="Delhi"/>
    <x v="5"/>
    <x v="1"/>
    <n v="7"/>
    <x v="0"/>
    <n v="2"/>
    <s v="Returned"/>
  </r>
  <r>
    <s v="ORD00742"/>
    <x v="81"/>
    <s v="CUST950"/>
    <s v="Rahul"/>
    <x v="0"/>
    <n v="24"/>
    <x v="6"/>
    <x v="0"/>
    <x v="6"/>
    <x v="1"/>
    <n v="4"/>
    <n v="49840"/>
    <n v="10"/>
    <n v="19936"/>
    <n v="32296.32"/>
    <n v="58"/>
    <n v="211778.32"/>
    <x v="1"/>
    <x v="1"/>
    <s v="Delhi"/>
    <x v="5"/>
    <x v="1"/>
    <n v="6"/>
    <x v="1"/>
    <n v="2"/>
    <s v="Delivered"/>
  </r>
  <r>
    <s v="ORD00743"/>
    <x v="147"/>
    <s v="CUST930"/>
    <s v="Priya"/>
    <x v="1"/>
    <n v="53"/>
    <x v="7"/>
    <x v="1"/>
    <x v="7"/>
    <x v="4"/>
    <n v="4"/>
    <n v="5564"/>
    <n v="20"/>
    <n v="4451.2"/>
    <n v="3204.86"/>
    <n v="166"/>
    <n v="21175.66"/>
    <x v="2"/>
    <x v="0"/>
    <s v="Lucknow"/>
    <x v="4"/>
    <x v="1"/>
    <n v="10"/>
    <x v="1"/>
    <n v="4"/>
    <s v="Cancelled"/>
  </r>
  <r>
    <s v="ORD00744"/>
    <x v="240"/>
    <s v="CUST615"/>
    <s v="Neha"/>
    <x v="0"/>
    <n v="35"/>
    <x v="6"/>
    <x v="0"/>
    <x v="6"/>
    <x v="4"/>
    <n v="2"/>
    <n v="8094"/>
    <n v="5"/>
    <n v="809.4"/>
    <n v="2768.15"/>
    <n v="400"/>
    <n v="18546.75"/>
    <x v="0"/>
    <x v="0"/>
    <s v="Jaipur"/>
    <x v="2"/>
    <x v="1"/>
    <n v="9"/>
    <x v="1"/>
    <n v="5"/>
    <s v="Returned"/>
  </r>
  <r>
    <s v="ORD00745"/>
    <x v="107"/>
    <s v="CUST327"/>
    <s v="Anjali"/>
    <x v="1"/>
    <n v="41"/>
    <x v="9"/>
    <x v="0"/>
    <x v="9"/>
    <x v="3"/>
    <n v="1"/>
    <n v="32513"/>
    <n v="5"/>
    <n v="1625.65"/>
    <n v="5559.72"/>
    <n v="141"/>
    <n v="36588.07"/>
    <x v="0"/>
    <x v="1"/>
    <s v="Mumbai"/>
    <x v="0"/>
    <x v="0"/>
    <n v="8"/>
    <x v="0"/>
    <n v="5"/>
    <s v="Cancelled"/>
  </r>
  <r>
    <s v="ORD00746"/>
    <x v="317"/>
    <s v="CUST679"/>
    <s v="Neha"/>
    <x v="1"/>
    <n v="30"/>
    <x v="4"/>
    <x v="0"/>
    <x v="4"/>
    <x v="1"/>
    <n v="3"/>
    <n v="21815"/>
    <n v="0"/>
    <n v="0"/>
    <n v="11780.1"/>
    <n v="171"/>
    <n v="77396.100000000006"/>
    <x v="2"/>
    <x v="0"/>
    <s v="Lucknow"/>
    <x v="4"/>
    <x v="1"/>
    <n v="1"/>
    <x v="0"/>
    <n v="4"/>
    <s v="Delivered"/>
  </r>
  <r>
    <s v="ORD00747"/>
    <x v="318"/>
    <s v="CUST265"/>
    <s v="Arjun"/>
    <x v="0"/>
    <n v="22"/>
    <x v="9"/>
    <x v="0"/>
    <x v="9"/>
    <x v="3"/>
    <n v="5"/>
    <n v="35936"/>
    <n v="0"/>
    <n v="0"/>
    <n v="32342.400000000001"/>
    <n v="301"/>
    <n v="212323.4"/>
    <x v="0"/>
    <x v="0"/>
    <s v="Pune"/>
    <x v="0"/>
    <x v="0"/>
    <n v="2"/>
    <x v="1"/>
    <n v="3"/>
    <s v="Returned"/>
  </r>
  <r>
    <s v="ORD00748"/>
    <x v="223"/>
    <s v="CUST889"/>
    <s v="Vikas"/>
    <x v="0"/>
    <n v="24"/>
    <x v="7"/>
    <x v="1"/>
    <x v="7"/>
    <x v="6"/>
    <n v="2"/>
    <n v="44948"/>
    <n v="20"/>
    <n v="17979.2"/>
    <n v="12945.02"/>
    <n v="53"/>
    <n v="84914.82"/>
    <x v="0"/>
    <x v="1"/>
    <s v="Jaipur"/>
    <x v="2"/>
    <x v="1"/>
    <n v="5"/>
    <x v="0"/>
    <n v="1"/>
    <s v="Returned"/>
  </r>
  <r>
    <s v="ORD00749"/>
    <x v="254"/>
    <s v="CUST323"/>
    <s v="Neha"/>
    <x v="0"/>
    <n v="38"/>
    <x v="6"/>
    <x v="0"/>
    <x v="6"/>
    <x v="4"/>
    <n v="1"/>
    <n v="34893"/>
    <n v="20"/>
    <n v="6978.6"/>
    <n v="5024.59"/>
    <n v="137"/>
    <n v="33075.99"/>
    <x v="2"/>
    <x v="0"/>
    <s v="Mumbai"/>
    <x v="0"/>
    <x v="0"/>
    <n v="2"/>
    <x v="0"/>
    <n v="2"/>
    <s v="Returned"/>
  </r>
  <r>
    <s v="ORD00750"/>
    <x v="200"/>
    <s v="CUST630"/>
    <s v="Anjali"/>
    <x v="1"/>
    <n v="54"/>
    <x v="7"/>
    <x v="1"/>
    <x v="7"/>
    <x v="8"/>
    <n v="5"/>
    <n v="37161"/>
    <n v="15"/>
    <n v="27870.75"/>
    <n v="28428.16"/>
    <n v="83"/>
    <n v="186445.42"/>
    <x v="2"/>
    <x v="0"/>
    <s v="Delhi"/>
    <x v="5"/>
    <x v="1"/>
    <n v="8"/>
    <x v="0"/>
    <n v="5"/>
    <s v="Cancelled"/>
  </r>
  <r>
    <s v="ORD00751"/>
    <x v="170"/>
    <s v="CUST875"/>
    <s v="Priya"/>
    <x v="0"/>
    <n v="43"/>
    <x v="2"/>
    <x v="1"/>
    <x v="2"/>
    <x v="3"/>
    <n v="3"/>
    <n v="30146"/>
    <n v="10"/>
    <n v="9043.7999999999993"/>
    <n v="14650.96"/>
    <n v="175"/>
    <n v="96220.160000000003"/>
    <x v="3"/>
    <x v="1"/>
    <s v="Chandigarh"/>
    <x v="1"/>
    <x v="1"/>
    <n v="1"/>
    <x v="0"/>
    <n v="4"/>
    <s v="Cancelled"/>
  </r>
  <r>
    <s v="ORD00752"/>
    <x v="195"/>
    <s v="CUST735"/>
    <s v="Vikas"/>
    <x v="0"/>
    <n v="55"/>
    <x v="0"/>
    <x v="0"/>
    <x v="0"/>
    <x v="7"/>
    <n v="5"/>
    <n v="22055"/>
    <n v="0"/>
    <n v="0"/>
    <n v="19849.5"/>
    <n v="490"/>
    <n v="130614.5"/>
    <x v="2"/>
    <x v="0"/>
    <s v="Mumbai"/>
    <x v="0"/>
    <x v="0"/>
    <n v="1"/>
    <x v="0"/>
    <n v="3"/>
    <s v="Shipped"/>
  </r>
  <r>
    <s v="ORD00753"/>
    <x v="6"/>
    <s v="CUST840"/>
    <s v="Rahul"/>
    <x v="1"/>
    <n v="31"/>
    <x v="7"/>
    <x v="1"/>
    <x v="7"/>
    <x v="4"/>
    <n v="1"/>
    <n v="43437"/>
    <n v="5"/>
    <n v="2171.85"/>
    <n v="7427.73"/>
    <n v="286"/>
    <n v="48978.879999999997"/>
    <x v="2"/>
    <x v="0"/>
    <s v="Chandigarh"/>
    <x v="1"/>
    <x v="1"/>
    <n v="9"/>
    <x v="0"/>
    <n v="3"/>
    <s v="Cancelled"/>
  </r>
  <r>
    <s v="ORD00754"/>
    <x v="121"/>
    <s v="CUST631"/>
    <s v="Amit"/>
    <x v="0"/>
    <n v="18"/>
    <x v="2"/>
    <x v="1"/>
    <x v="2"/>
    <x v="9"/>
    <n v="1"/>
    <n v="16469"/>
    <n v="20"/>
    <n v="3293.8"/>
    <n v="2371.54"/>
    <n v="266"/>
    <n v="15812.74"/>
    <x v="2"/>
    <x v="0"/>
    <s v="Delhi"/>
    <x v="5"/>
    <x v="1"/>
    <n v="7"/>
    <x v="0"/>
    <n v="4"/>
    <s v="Returned"/>
  </r>
  <r>
    <s v="ORD00755"/>
    <x v="173"/>
    <s v="CUST701"/>
    <s v="Riya"/>
    <x v="0"/>
    <n v="48"/>
    <x v="2"/>
    <x v="1"/>
    <x v="2"/>
    <x v="8"/>
    <n v="1"/>
    <n v="44498"/>
    <n v="10"/>
    <n v="4449.8"/>
    <n v="7208.68"/>
    <n v="101"/>
    <n v="47357.88"/>
    <x v="1"/>
    <x v="0"/>
    <s v="Jaipur"/>
    <x v="2"/>
    <x v="1"/>
    <n v="7"/>
    <x v="0"/>
    <n v="2"/>
    <s v="Returned"/>
  </r>
  <r>
    <s v="ORD00756"/>
    <x v="78"/>
    <s v="CUST101"/>
    <s v="Rahul"/>
    <x v="0"/>
    <n v="33"/>
    <x v="8"/>
    <x v="0"/>
    <x v="8"/>
    <x v="5"/>
    <n v="5"/>
    <n v="31205"/>
    <n v="10"/>
    <n v="15602.5"/>
    <n v="25276.05"/>
    <n v="301"/>
    <n v="165999.54999999999"/>
    <x v="2"/>
    <x v="1"/>
    <s v="Chandigarh"/>
    <x v="1"/>
    <x v="1"/>
    <n v="5"/>
    <x v="0"/>
    <n v="3"/>
    <s v="Delivered"/>
  </r>
  <r>
    <s v="ORD00757"/>
    <x v="206"/>
    <s v="CUST371"/>
    <s v="Priya"/>
    <x v="1"/>
    <n v="41"/>
    <x v="2"/>
    <x v="1"/>
    <x v="2"/>
    <x v="6"/>
    <n v="2"/>
    <n v="48901"/>
    <n v="0"/>
    <n v="0"/>
    <n v="17604.36"/>
    <n v="80"/>
    <n v="115486.36"/>
    <x v="3"/>
    <x v="1"/>
    <s v="Chandigarh"/>
    <x v="1"/>
    <x v="1"/>
    <n v="8"/>
    <x v="1"/>
    <n v="4"/>
    <s v="Cancelled"/>
  </r>
  <r>
    <s v="ORD00758"/>
    <x v="22"/>
    <s v="CUST113"/>
    <s v="Rahul"/>
    <x v="0"/>
    <n v="27"/>
    <x v="1"/>
    <x v="0"/>
    <x v="1"/>
    <x v="7"/>
    <n v="3"/>
    <n v="2214"/>
    <n v="20"/>
    <n v="1328.4"/>
    <n v="956.45"/>
    <n v="182"/>
    <n v="6452.05"/>
    <x v="3"/>
    <x v="0"/>
    <s v="Mumbai"/>
    <x v="0"/>
    <x v="0"/>
    <n v="4"/>
    <x v="1"/>
    <n v="2"/>
    <s v="Shipped"/>
  </r>
  <r>
    <s v="ORD00759"/>
    <x v="295"/>
    <s v="CUST518"/>
    <s v="Karan"/>
    <x v="1"/>
    <n v="59"/>
    <x v="0"/>
    <x v="0"/>
    <x v="0"/>
    <x v="1"/>
    <n v="5"/>
    <n v="37151"/>
    <n v="5"/>
    <n v="9287.75"/>
    <n v="31764.1"/>
    <n v="164"/>
    <n v="208395.36"/>
    <x v="0"/>
    <x v="0"/>
    <s v="Jaipur"/>
    <x v="2"/>
    <x v="1"/>
    <n v="4"/>
    <x v="1"/>
    <n v="2"/>
    <s v="Shipped"/>
  </r>
  <r>
    <s v="ORD00760"/>
    <x v="239"/>
    <s v="CUST559"/>
    <s v="Vikas"/>
    <x v="1"/>
    <n v="37"/>
    <x v="4"/>
    <x v="0"/>
    <x v="4"/>
    <x v="4"/>
    <n v="3"/>
    <n v="37260"/>
    <n v="0"/>
    <n v="0"/>
    <n v="20120.400000000001"/>
    <n v="17"/>
    <n v="131917.4"/>
    <x v="1"/>
    <x v="0"/>
    <s v="Lucknow"/>
    <x v="4"/>
    <x v="1"/>
    <n v="2"/>
    <x v="0"/>
    <n v="3"/>
    <s v="Cancelled"/>
  </r>
  <r>
    <s v="ORD00761"/>
    <x v="69"/>
    <s v="CUST831"/>
    <s v="Karan"/>
    <x v="0"/>
    <n v="19"/>
    <x v="9"/>
    <x v="0"/>
    <x v="9"/>
    <x v="5"/>
    <n v="1"/>
    <n v="47891"/>
    <n v="0"/>
    <n v="0"/>
    <n v="8620.3799999999992"/>
    <n v="382"/>
    <n v="56893.38"/>
    <x v="1"/>
    <x v="1"/>
    <s v="Mumbai"/>
    <x v="0"/>
    <x v="0"/>
    <n v="3"/>
    <x v="0"/>
    <n v="2"/>
    <s v="Shipped"/>
  </r>
  <r>
    <s v="ORD00762"/>
    <x v="173"/>
    <s v="CUST715"/>
    <s v="Amit"/>
    <x v="0"/>
    <n v="55"/>
    <x v="4"/>
    <x v="0"/>
    <x v="4"/>
    <x v="1"/>
    <n v="5"/>
    <n v="16719"/>
    <n v="5"/>
    <n v="4179.75"/>
    <n v="14294.74"/>
    <n v="308"/>
    <n v="94017.99"/>
    <x v="1"/>
    <x v="0"/>
    <s v="Patiala"/>
    <x v="1"/>
    <x v="1"/>
    <n v="10"/>
    <x v="0"/>
    <n v="2"/>
    <s v="Returned"/>
  </r>
  <r>
    <s v="ORD00763"/>
    <x v="110"/>
    <s v="CUST836"/>
    <s v="Karan"/>
    <x v="1"/>
    <n v="29"/>
    <x v="2"/>
    <x v="1"/>
    <x v="2"/>
    <x v="5"/>
    <n v="2"/>
    <n v="35205"/>
    <n v="0"/>
    <n v="0"/>
    <n v="12673.8"/>
    <n v="27"/>
    <n v="83110.8"/>
    <x v="2"/>
    <x v="0"/>
    <s v="Mumbai"/>
    <x v="0"/>
    <x v="0"/>
    <n v="7"/>
    <x v="0"/>
    <n v="1"/>
    <s v="Returned"/>
  </r>
  <r>
    <s v="ORD00764"/>
    <x v="319"/>
    <s v="CUST299"/>
    <s v="Neha"/>
    <x v="0"/>
    <n v="56"/>
    <x v="1"/>
    <x v="0"/>
    <x v="1"/>
    <x v="8"/>
    <n v="5"/>
    <n v="1924"/>
    <n v="10"/>
    <n v="962"/>
    <n v="1558.44"/>
    <n v="474"/>
    <n v="10690.44"/>
    <x v="3"/>
    <x v="1"/>
    <s v="Patiala"/>
    <x v="1"/>
    <x v="1"/>
    <n v="1"/>
    <x v="1"/>
    <n v="3"/>
    <s v="Returned"/>
  </r>
  <r>
    <s v="ORD00765"/>
    <x v="129"/>
    <s v="CUST438"/>
    <s v="Arjun"/>
    <x v="0"/>
    <n v="40"/>
    <x v="5"/>
    <x v="0"/>
    <x v="5"/>
    <x v="5"/>
    <n v="5"/>
    <n v="1111"/>
    <n v="10"/>
    <n v="555.5"/>
    <n v="899.91"/>
    <n v="32"/>
    <n v="5931.41"/>
    <x v="2"/>
    <x v="0"/>
    <s v="Chandigarh"/>
    <x v="1"/>
    <x v="1"/>
    <n v="2"/>
    <x v="0"/>
    <n v="4"/>
    <s v="Returned"/>
  </r>
  <r>
    <s v="ORD00766"/>
    <x v="238"/>
    <s v="CUST287"/>
    <s v="Sneha"/>
    <x v="0"/>
    <n v="55"/>
    <x v="8"/>
    <x v="0"/>
    <x v="8"/>
    <x v="0"/>
    <n v="3"/>
    <n v="4451"/>
    <n v="10"/>
    <n v="1335.3"/>
    <n v="2163.19"/>
    <n v="484"/>
    <n v="14664.89"/>
    <x v="0"/>
    <x v="1"/>
    <s v="Lucknow"/>
    <x v="4"/>
    <x v="1"/>
    <n v="8"/>
    <x v="0"/>
    <n v="1"/>
    <s v="Shipped"/>
  </r>
  <r>
    <s v="ORD00767"/>
    <x v="155"/>
    <s v="CUST579"/>
    <s v="Amit"/>
    <x v="0"/>
    <n v="51"/>
    <x v="5"/>
    <x v="0"/>
    <x v="5"/>
    <x v="8"/>
    <n v="1"/>
    <n v="44909"/>
    <n v="20"/>
    <n v="8981.7999999999993"/>
    <n v="6466.9"/>
    <n v="384"/>
    <n v="42778.1"/>
    <x v="1"/>
    <x v="0"/>
    <s v="Delhi"/>
    <x v="5"/>
    <x v="1"/>
    <n v="9"/>
    <x v="1"/>
    <n v="1"/>
    <s v="Shipped"/>
  </r>
  <r>
    <s v="ORD00768"/>
    <x v="292"/>
    <s v="CUST989"/>
    <s v="Vikas"/>
    <x v="1"/>
    <n v="29"/>
    <x v="5"/>
    <x v="0"/>
    <x v="5"/>
    <x v="6"/>
    <n v="4"/>
    <n v="43820"/>
    <n v="10"/>
    <n v="17528"/>
    <n v="28395.360000000001"/>
    <n v="157"/>
    <n v="186304.36"/>
    <x v="1"/>
    <x v="1"/>
    <s v="Bangalore"/>
    <x v="3"/>
    <x v="2"/>
    <n v="10"/>
    <x v="1"/>
    <n v="4"/>
    <s v="Shipped"/>
  </r>
  <r>
    <s v="ORD00769"/>
    <x v="154"/>
    <s v="CUST849"/>
    <s v="Neha"/>
    <x v="0"/>
    <n v="40"/>
    <x v="2"/>
    <x v="1"/>
    <x v="2"/>
    <x v="9"/>
    <n v="3"/>
    <n v="13810"/>
    <n v="10"/>
    <n v="4143"/>
    <n v="6711.66"/>
    <n v="258"/>
    <n v="44256.66"/>
    <x v="2"/>
    <x v="0"/>
    <s v="Lucknow"/>
    <x v="4"/>
    <x v="1"/>
    <n v="9"/>
    <x v="0"/>
    <n v="1"/>
    <s v="Delivered"/>
  </r>
  <r>
    <s v="ORD00770"/>
    <x v="262"/>
    <s v="CUST972"/>
    <s v="Priya"/>
    <x v="1"/>
    <n v="40"/>
    <x v="1"/>
    <x v="0"/>
    <x v="1"/>
    <x v="0"/>
    <n v="2"/>
    <n v="46551"/>
    <n v="15"/>
    <n v="13965.3"/>
    <n v="14244.61"/>
    <n v="269"/>
    <n v="93650.31"/>
    <x v="1"/>
    <x v="1"/>
    <s v="Lucknow"/>
    <x v="4"/>
    <x v="1"/>
    <n v="10"/>
    <x v="0"/>
    <n v="3"/>
    <s v="Cancelled"/>
  </r>
  <r>
    <s v="ORD00771"/>
    <x v="198"/>
    <s v="CUST280"/>
    <s v="Karan"/>
    <x v="0"/>
    <n v="51"/>
    <x v="0"/>
    <x v="0"/>
    <x v="0"/>
    <x v="2"/>
    <n v="1"/>
    <n v="39927"/>
    <n v="20"/>
    <n v="7985.4"/>
    <n v="5749.49"/>
    <n v="5"/>
    <n v="37696.089999999997"/>
    <x v="1"/>
    <x v="0"/>
    <s v="Jaipur"/>
    <x v="2"/>
    <x v="1"/>
    <n v="1"/>
    <x v="0"/>
    <n v="5"/>
    <s v="Shipped"/>
  </r>
  <r>
    <s v="ORD00772"/>
    <x v="274"/>
    <s v="CUST492"/>
    <s v="Karan"/>
    <x v="0"/>
    <n v="24"/>
    <x v="7"/>
    <x v="1"/>
    <x v="7"/>
    <x v="1"/>
    <n v="4"/>
    <n v="26531"/>
    <n v="15"/>
    <n v="15918.6"/>
    <n v="16236.97"/>
    <n v="424"/>
    <n v="106866.37"/>
    <x v="3"/>
    <x v="0"/>
    <s v="Chandigarh"/>
    <x v="1"/>
    <x v="1"/>
    <n v="4"/>
    <x v="0"/>
    <n v="4"/>
    <s v="Shipped"/>
  </r>
  <r>
    <s v="ORD00773"/>
    <x v="33"/>
    <s v="CUST934"/>
    <s v="Neha"/>
    <x v="0"/>
    <n v="50"/>
    <x v="3"/>
    <x v="2"/>
    <x v="3"/>
    <x v="1"/>
    <n v="3"/>
    <n v="17924"/>
    <n v="5"/>
    <n v="2688.6"/>
    <n v="9195.01"/>
    <n v="37"/>
    <n v="60315.41"/>
    <x v="1"/>
    <x v="1"/>
    <s v="Pune"/>
    <x v="0"/>
    <x v="0"/>
    <n v="8"/>
    <x v="1"/>
    <n v="1"/>
    <s v="Cancelled"/>
  </r>
  <r>
    <s v="ORD00774"/>
    <x v="270"/>
    <s v="CUST936"/>
    <s v="Rahul"/>
    <x v="0"/>
    <n v="26"/>
    <x v="8"/>
    <x v="0"/>
    <x v="8"/>
    <x v="2"/>
    <n v="5"/>
    <n v="14793"/>
    <n v="0"/>
    <n v="0"/>
    <n v="13313.7"/>
    <n v="61"/>
    <n v="87339.7"/>
    <x v="3"/>
    <x v="1"/>
    <s v="Chandigarh"/>
    <x v="1"/>
    <x v="1"/>
    <n v="4"/>
    <x v="0"/>
    <n v="5"/>
    <s v="Delivered"/>
  </r>
  <r>
    <s v="ORD00775"/>
    <x v="320"/>
    <s v="CUST269"/>
    <s v="Riya"/>
    <x v="1"/>
    <n v="26"/>
    <x v="1"/>
    <x v="0"/>
    <x v="1"/>
    <x v="2"/>
    <n v="5"/>
    <n v="47888"/>
    <n v="10"/>
    <n v="23944"/>
    <n v="38789.279999999999"/>
    <n v="381"/>
    <n v="254666.28"/>
    <x v="2"/>
    <x v="1"/>
    <s v="Pune"/>
    <x v="0"/>
    <x v="0"/>
    <n v="1"/>
    <x v="0"/>
    <n v="3"/>
    <s v="Cancelled"/>
  </r>
  <r>
    <s v="ORD00776"/>
    <x v="310"/>
    <s v="CUST354"/>
    <s v="Rahul"/>
    <x v="1"/>
    <n v="42"/>
    <x v="9"/>
    <x v="0"/>
    <x v="9"/>
    <x v="5"/>
    <n v="4"/>
    <n v="9646"/>
    <n v="5"/>
    <n v="1929.2"/>
    <n v="6597.86"/>
    <n v="331"/>
    <n v="43583.66"/>
    <x v="2"/>
    <x v="1"/>
    <s v="Lucknow"/>
    <x v="4"/>
    <x v="1"/>
    <n v="8"/>
    <x v="1"/>
    <n v="5"/>
    <s v="Returned"/>
  </r>
  <r>
    <s v="ORD00777"/>
    <x v="230"/>
    <s v="CUST912"/>
    <s v="Priya"/>
    <x v="0"/>
    <n v="38"/>
    <x v="4"/>
    <x v="0"/>
    <x v="4"/>
    <x v="5"/>
    <n v="4"/>
    <n v="4941"/>
    <n v="20"/>
    <n v="3952.8"/>
    <n v="2846.02"/>
    <n v="305"/>
    <n v="18962.22"/>
    <x v="0"/>
    <x v="1"/>
    <s v="Mumbai"/>
    <x v="0"/>
    <x v="0"/>
    <n v="9"/>
    <x v="0"/>
    <n v="1"/>
    <s v="Delivered"/>
  </r>
  <r>
    <s v="ORD00778"/>
    <x v="146"/>
    <s v="CUST650"/>
    <s v="Rahul"/>
    <x v="0"/>
    <n v="52"/>
    <x v="7"/>
    <x v="1"/>
    <x v="7"/>
    <x v="2"/>
    <n v="3"/>
    <n v="39057"/>
    <n v="10"/>
    <n v="11717.1"/>
    <n v="18981.7"/>
    <n v="493"/>
    <n v="124928.6"/>
    <x v="2"/>
    <x v="1"/>
    <s v="Bangalore"/>
    <x v="3"/>
    <x v="2"/>
    <n v="1"/>
    <x v="0"/>
    <n v="3"/>
    <s v="Cancelled"/>
  </r>
  <r>
    <s v="ORD00779"/>
    <x v="147"/>
    <s v="CUST465"/>
    <s v="Rahul"/>
    <x v="0"/>
    <n v="49"/>
    <x v="0"/>
    <x v="0"/>
    <x v="0"/>
    <x v="7"/>
    <n v="3"/>
    <n v="1818"/>
    <n v="10"/>
    <n v="545.4"/>
    <n v="883.55"/>
    <n v="304"/>
    <n v="6096.15"/>
    <x v="2"/>
    <x v="1"/>
    <s v="Patiala"/>
    <x v="1"/>
    <x v="1"/>
    <n v="2"/>
    <x v="0"/>
    <n v="4"/>
    <s v="Shipped"/>
  </r>
  <r>
    <s v="ORD00780"/>
    <x v="85"/>
    <s v="CUST357"/>
    <s v="Vikas"/>
    <x v="1"/>
    <n v="18"/>
    <x v="5"/>
    <x v="0"/>
    <x v="5"/>
    <x v="5"/>
    <n v="2"/>
    <n v="18717"/>
    <n v="10"/>
    <n v="3743.4"/>
    <n v="6064.31"/>
    <n v="4"/>
    <n v="39758.910000000003"/>
    <x v="3"/>
    <x v="0"/>
    <s v="Pune"/>
    <x v="0"/>
    <x v="0"/>
    <n v="3"/>
    <x v="1"/>
    <n v="1"/>
    <s v="Shipped"/>
  </r>
  <r>
    <s v="ORD00781"/>
    <x v="321"/>
    <s v="CUST221"/>
    <s v="Karan"/>
    <x v="1"/>
    <n v="21"/>
    <x v="2"/>
    <x v="1"/>
    <x v="2"/>
    <x v="3"/>
    <n v="4"/>
    <n v="14573"/>
    <n v="0"/>
    <n v="0"/>
    <n v="10492.56"/>
    <n v="385"/>
    <n v="69169.56"/>
    <x v="2"/>
    <x v="1"/>
    <s v="Lucknow"/>
    <x v="4"/>
    <x v="1"/>
    <n v="10"/>
    <x v="0"/>
    <n v="3"/>
    <s v="Shipped"/>
  </r>
  <r>
    <s v="ORD00782"/>
    <x v="134"/>
    <s v="CUST249"/>
    <s v="Arjun"/>
    <x v="1"/>
    <n v="54"/>
    <x v="8"/>
    <x v="0"/>
    <x v="8"/>
    <x v="5"/>
    <n v="4"/>
    <n v="11813"/>
    <n v="10"/>
    <n v="4725.2"/>
    <n v="7654.82"/>
    <n v="205"/>
    <n v="50386.62"/>
    <x v="3"/>
    <x v="1"/>
    <s v="Jaipur"/>
    <x v="2"/>
    <x v="1"/>
    <n v="9"/>
    <x v="0"/>
    <n v="2"/>
    <s v="Returned"/>
  </r>
  <r>
    <s v="ORD00783"/>
    <x v="0"/>
    <s v="CUST417"/>
    <s v="Anjali"/>
    <x v="1"/>
    <n v="32"/>
    <x v="0"/>
    <x v="0"/>
    <x v="0"/>
    <x v="2"/>
    <n v="1"/>
    <n v="8738"/>
    <n v="5"/>
    <n v="436.9"/>
    <n v="1494.2"/>
    <n v="184"/>
    <n v="9979.2999999999993"/>
    <x v="3"/>
    <x v="1"/>
    <s v="Delhi"/>
    <x v="5"/>
    <x v="1"/>
    <n v="7"/>
    <x v="0"/>
    <n v="4"/>
    <s v="Shipped"/>
  </r>
  <r>
    <s v="ORD00784"/>
    <x v="204"/>
    <s v="CUST978"/>
    <s v="Riya"/>
    <x v="1"/>
    <n v="29"/>
    <x v="0"/>
    <x v="0"/>
    <x v="0"/>
    <x v="0"/>
    <n v="4"/>
    <n v="1489"/>
    <n v="20"/>
    <n v="1191.2"/>
    <n v="857.66"/>
    <n v="442"/>
    <n v="6064.46"/>
    <x v="1"/>
    <x v="1"/>
    <s v="Jaipur"/>
    <x v="2"/>
    <x v="1"/>
    <n v="5"/>
    <x v="1"/>
    <n v="5"/>
    <s v="Delivered"/>
  </r>
  <r>
    <s v="ORD00785"/>
    <x v="257"/>
    <s v="CUST624"/>
    <s v="Karan"/>
    <x v="1"/>
    <n v="29"/>
    <x v="7"/>
    <x v="1"/>
    <x v="7"/>
    <x v="2"/>
    <n v="1"/>
    <n v="9101"/>
    <n v="5"/>
    <n v="455.05"/>
    <n v="1556.27"/>
    <n v="408"/>
    <n v="10610.22"/>
    <x v="3"/>
    <x v="1"/>
    <s v="Bangalore"/>
    <x v="3"/>
    <x v="2"/>
    <n v="2"/>
    <x v="1"/>
    <n v="3"/>
    <s v="Shipped"/>
  </r>
  <r>
    <s v="ORD00786"/>
    <x v="290"/>
    <s v="CUST907"/>
    <s v="Neha"/>
    <x v="1"/>
    <n v="58"/>
    <x v="2"/>
    <x v="1"/>
    <x v="2"/>
    <x v="6"/>
    <n v="3"/>
    <n v="28364"/>
    <n v="20"/>
    <n v="17018.400000000001"/>
    <n v="12253.25"/>
    <n v="411"/>
    <n v="80737.850000000006"/>
    <x v="3"/>
    <x v="0"/>
    <s v="Jaipur"/>
    <x v="2"/>
    <x v="1"/>
    <n v="7"/>
    <x v="1"/>
    <n v="4"/>
    <s v="Returned"/>
  </r>
  <r>
    <s v="ORD00787"/>
    <x v="223"/>
    <s v="CUST942"/>
    <s v="Neha"/>
    <x v="1"/>
    <n v="25"/>
    <x v="4"/>
    <x v="0"/>
    <x v="4"/>
    <x v="2"/>
    <n v="3"/>
    <n v="26567"/>
    <n v="20"/>
    <n v="15940.2"/>
    <n v="11476.94"/>
    <n v="289"/>
    <n v="75526.740000000005"/>
    <x v="2"/>
    <x v="1"/>
    <s v="Delhi"/>
    <x v="5"/>
    <x v="1"/>
    <n v="8"/>
    <x v="1"/>
    <n v="2"/>
    <s v="Returned"/>
  </r>
  <r>
    <s v="ORD00788"/>
    <x v="35"/>
    <s v="CUST538"/>
    <s v="Arjun"/>
    <x v="1"/>
    <n v="40"/>
    <x v="4"/>
    <x v="0"/>
    <x v="4"/>
    <x v="0"/>
    <n v="4"/>
    <n v="36398"/>
    <n v="20"/>
    <n v="29118.400000000001"/>
    <n v="20965.25"/>
    <n v="62"/>
    <n v="137500.85"/>
    <x v="0"/>
    <x v="1"/>
    <s v="Delhi"/>
    <x v="5"/>
    <x v="1"/>
    <n v="8"/>
    <x v="0"/>
    <n v="2"/>
    <s v="Returned"/>
  </r>
  <r>
    <s v="ORD00789"/>
    <x v="306"/>
    <s v="CUST882"/>
    <s v="Neha"/>
    <x v="0"/>
    <n v="26"/>
    <x v="9"/>
    <x v="0"/>
    <x v="9"/>
    <x v="7"/>
    <n v="3"/>
    <n v="5708"/>
    <n v="10"/>
    <n v="1712.4"/>
    <n v="2774.09"/>
    <n v="270"/>
    <n v="18455.689999999999"/>
    <x v="3"/>
    <x v="0"/>
    <s v="Chandigarh"/>
    <x v="1"/>
    <x v="1"/>
    <n v="2"/>
    <x v="1"/>
    <n v="1"/>
    <s v="Shipped"/>
  </r>
  <r>
    <s v="ORD00790"/>
    <x v="322"/>
    <s v="CUST800"/>
    <s v="Arjun"/>
    <x v="1"/>
    <n v="34"/>
    <x v="1"/>
    <x v="0"/>
    <x v="1"/>
    <x v="6"/>
    <n v="5"/>
    <n v="41929"/>
    <n v="10"/>
    <n v="20964.5"/>
    <n v="33962.49"/>
    <n v="167"/>
    <n v="222809.99"/>
    <x v="1"/>
    <x v="1"/>
    <s v="Lucknow"/>
    <x v="4"/>
    <x v="1"/>
    <n v="7"/>
    <x v="0"/>
    <n v="3"/>
    <s v="Cancelled"/>
  </r>
  <r>
    <s v="ORD00791"/>
    <x v="222"/>
    <s v="CUST545"/>
    <s v="Riya"/>
    <x v="1"/>
    <n v="43"/>
    <x v="9"/>
    <x v="0"/>
    <x v="9"/>
    <x v="2"/>
    <n v="4"/>
    <n v="28575"/>
    <n v="15"/>
    <n v="17145"/>
    <n v="17487.900000000001"/>
    <n v="226"/>
    <n v="114868.9"/>
    <x v="1"/>
    <x v="1"/>
    <s v="Jaipur"/>
    <x v="2"/>
    <x v="1"/>
    <n v="1"/>
    <x v="0"/>
    <n v="5"/>
    <s v="Delivered"/>
  </r>
  <r>
    <s v="ORD00792"/>
    <x v="323"/>
    <s v="CUST426"/>
    <s v="Vikas"/>
    <x v="1"/>
    <n v="55"/>
    <x v="1"/>
    <x v="0"/>
    <x v="1"/>
    <x v="4"/>
    <n v="3"/>
    <n v="13660"/>
    <n v="20"/>
    <n v="8196"/>
    <n v="5901.12"/>
    <n v="12"/>
    <n v="38697.120000000003"/>
    <x v="2"/>
    <x v="1"/>
    <s v="Bangalore"/>
    <x v="3"/>
    <x v="2"/>
    <n v="6"/>
    <x v="1"/>
    <n v="1"/>
    <s v="Returned"/>
  </r>
  <r>
    <s v="ORD00793"/>
    <x v="42"/>
    <s v="CUST641"/>
    <s v="Arjun"/>
    <x v="0"/>
    <n v="23"/>
    <x v="2"/>
    <x v="1"/>
    <x v="2"/>
    <x v="6"/>
    <n v="2"/>
    <n v="24228"/>
    <n v="10"/>
    <n v="4845.6000000000004"/>
    <n v="7849.87"/>
    <n v="308"/>
    <n v="51768.27"/>
    <x v="1"/>
    <x v="0"/>
    <s v="Bangalore"/>
    <x v="3"/>
    <x v="2"/>
    <n v="10"/>
    <x v="1"/>
    <n v="5"/>
    <s v="Cancelled"/>
  </r>
  <r>
    <s v="ORD00794"/>
    <x v="123"/>
    <s v="CUST120"/>
    <s v="Anjali"/>
    <x v="0"/>
    <n v="47"/>
    <x v="1"/>
    <x v="0"/>
    <x v="1"/>
    <x v="2"/>
    <n v="3"/>
    <n v="39349"/>
    <n v="20"/>
    <n v="23609.4"/>
    <n v="16998.77"/>
    <n v="228"/>
    <n v="111664.37"/>
    <x v="0"/>
    <x v="0"/>
    <s v="Pune"/>
    <x v="0"/>
    <x v="0"/>
    <n v="2"/>
    <x v="1"/>
    <n v="2"/>
    <s v="Shipped"/>
  </r>
  <r>
    <s v="ORD00795"/>
    <x v="270"/>
    <s v="CUST861"/>
    <s v="Karan"/>
    <x v="0"/>
    <n v="37"/>
    <x v="9"/>
    <x v="0"/>
    <x v="9"/>
    <x v="0"/>
    <n v="5"/>
    <n v="10892"/>
    <n v="20"/>
    <n v="10892"/>
    <n v="7842.24"/>
    <n v="420"/>
    <n v="51830.239999999998"/>
    <x v="0"/>
    <x v="1"/>
    <s v="Mumbai"/>
    <x v="0"/>
    <x v="0"/>
    <n v="7"/>
    <x v="0"/>
    <n v="1"/>
    <s v="Cancelled"/>
  </r>
  <r>
    <s v="ORD00796"/>
    <x v="175"/>
    <s v="CUST414"/>
    <s v="Priya"/>
    <x v="1"/>
    <n v="37"/>
    <x v="5"/>
    <x v="0"/>
    <x v="5"/>
    <x v="0"/>
    <n v="1"/>
    <n v="22810"/>
    <n v="10"/>
    <n v="2281"/>
    <n v="3695.22"/>
    <n v="477"/>
    <n v="24701.22"/>
    <x v="2"/>
    <x v="1"/>
    <s v="Lucknow"/>
    <x v="4"/>
    <x v="1"/>
    <n v="5"/>
    <x v="1"/>
    <n v="4"/>
    <s v="Shipped"/>
  </r>
  <r>
    <s v="ORD00797"/>
    <x v="282"/>
    <s v="CUST487"/>
    <s v="Arjun"/>
    <x v="0"/>
    <n v="57"/>
    <x v="4"/>
    <x v="0"/>
    <x v="4"/>
    <x v="1"/>
    <n v="2"/>
    <n v="14573"/>
    <n v="20"/>
    <n v="5829.2"/>
    <n v="4197.0200000000004"/>
    <n v="237"/>
    <n v="27750.82"/>
    <x v="0"/>
    <x v="1"/>
    <s v="Bangalore"/>
    <x v="3"/>
    <x v="2"/>
    <n v="4"/>
    <x v="1"/>
    <n v="2"/>
    <s v="Cancelled"/>
  </r>
  <r>
    <s v="ORD00798"/>
    <x v="237"/>
    <s v="CUST633"/>
    <s v="Priya"/>
    <x v="1"/>
    <n v="31"/>
    <x v="3"/>
    <x v="2"/>
    <x v="3"/>
    <x v="4"/>
    <n v="5"/>
    <n v="24050"/>
    <n v="15"/>
    <n v="18037.5"/>
    <n v="18398.25"/>
    <n v="437"/>
    <n v="121047.75"/>
    <x v="0"/>
    <x v="1"/>
    <s v="Chandigarh"/>
    <x v="1"/>
    <x v="1"/>
    <n v="4"/>
    <x v="0"/>
    <n v="4"/>
    <s v="Returned"/>
  </r>
  <r>
    <s v="ORD00799"/>
    <x v="153"/>
    <s v="CUST552"/>
    <s v="Karan"/>
    <x v="0"/>
    <n v="47"/>
    <x v="1"/>
    <x v="0"/>
    <x v="1"/>
    <x v="6"/>
    <n v="5"/>
    <n v="48099"/>
    <n v="5"/>
    <n v="12024.75"/>
    <n v="41124.639999999999"/>
    <n v="491"/>
    <n v="270085.90000000002"/>
    <x v="1"/>
    <x v="1"/>
    <s v="Lucknow"/>
    <x v="4"/>
    <x v="1"/>
    <n v="2"/>
    <x v="1"/>
    <n v="5"/>
    <s v="Cancelled"/>
  </r>
  <r>
    <s v="ORD00800"/>
    <x v="289"/>
    <s v="CUST327"/>
    <s v="Amit"/>
    <x v="1"/>
    <n v="18"/>
    <x v="0"/>
    <x v="0"/>
    <x v="0"/>
    <x v="6"/>
    <n v="5"/>
    <n v="37475"/>
    <n v="10"/>
    <n v="18737.5"/>
    <n v="30354.75"/>
    <n v="279"/>
    <n v="199271.25"/>
    <x v="3"/>
    <x v="1"/>
    <s v="Patiala"/>
    <x v="1"/>
    <x v="1"/>
    <n v="6"/>
    <x v="1"/>
    <n v="4"/>
    <s v="Shipped"/>
  </r>
  <r>
    <s v="ORD00801"/>
    <x v="147"/>
    <s v="CUST179"/>
    <s v="Vikas"/>
    <x v="0"/>
    <n v="58"/>
    <x v="5"/>
    <x v="0"/>
    <x v="5"/>
    <x v="3"/>
    <n v="2"/>
    <n v="36204"/>
    <n v="0"/>
    <n v="0"/>
    <n v="13033.44"/>
    <n v="133"/>
    <n v="85574.44"/>
    <x v="1"/>
    <x v="1"/>
    <s v="Pune"/>
    <x v="0"/>
    <x v="0"/>
    <n v="6"/>
    <x v="0"/>
    <n v="3"/>
    <s v="Cancelled"/>
  </r>
  <r>
    <s v="ORD00802"/>
    <x v="232"/>
    <s v="CUST712"/>
    <s v="Sneha"/>
    <x v="0"/>
    <n v="26"/>
    <x v="8"/>
    <x v="0"/>
    <x v="8"/>
    <x v="1"/>
    <n v="4"/>
    <n v="38685"/>
    <n v="0"/>
    <n v="0"/>
    <n v="27853.200000000001"/>
    <n v="454"/>
    <n v="183047.2"/>
    <x v="0"/>
    <x v="0"/>
    <s v="Chandigarh"/>
    <x v="1"/>
    <x v="1"/>
    <n v="7"/>
    <x v="0"/>
    <n v="3"/>
    <s v="Returned"/>
  </r>
  <r>
    <s v="ORD00803"/>
    <x v="324"/>
    <s v="CUST818"/>
    <s v="Amit"/>
    <x v="0"/>
    <n v="52"/>
    <x v="4"/>
    <x v="0"/>
    <x v="4"/>
    <x v="7"/>
    <n v="3"/>
    <n v="14708"/>
    <n v="10"/>
    <n v="4412.3999999999996"/>
    <n v="7148.09"/>
    <n v="196"/>
    <n v="47055.69"/>
    <x v="2"/>
    <x v="0"/>
    <s v="Mumbai"/>
    <x v="0"/>
    <x v="0"/>
    <n v="8"/>
    <x v="1"/>
    <n v="3"/>
    <s v="Returned"/>
  </r>
  <r>
    <s v="ORD00804"/>
    <x v="144"/>
    <s v="CUST846"/>
    <s v="Rahul"/>
    <x v="1"/>
    <n v="24"/>
    <x v="7"/>
    <x v="1"/>
    <x v="7"/>
    <x v="0"/>
    <n v="3"/>
    <n v="14838"/>
    <n v="10"/>
    <n v="4451.3999999999996"/>
    <n v="7211.27"/>
    <n v="147"/>
    <n v="47420.87"/>
    <x v="2"/>
    <x v="0"/>
    <s v="Mumbai"/>
    <x v="0"/>
    <x v="0"/>
    <n v="10"/>
    <x v="1"/>
    <n v="2"/>
    <s v="Returned"/>
  </r>
  <r>
    <s v="ORD00805"/>
    <x v="110"/>
    <s v="CUST747"/>
    <s v="Vikas"/>
    <x v="0"/>
    <n v="26"/>
    <x v="0"/>
    <x v="0"/>
    <x v="0"/>
    <x v="5"/>
    <n v="4"/>
    <n v="34698"/>
    <n v="10"/>
    <n v="13879.2"/>
    <n v="22484.3"/>
    <n v="304"/>
    <n v="147701.1"/>
    <x v="2"/>
    <x v="0"/>
    <s v="Bangalore"/>
    <x v="3"/>
    <x v="2"/>
    <n v="1"/>
    <x v="1"/>
    <n v="2"/>
    <s v="Cancelled"/>
  </r>
  <r>
    <s v="ORD00806"/>
    <x v="204"/>
    <s v="CUST568"/>
    <s v="Vikas"/>
    <x v="0"/>
    <n v="47"/>
    <x v="4"/>
    <x v="0"/>
    <x v="4"/>
    <x v="1"/>
    <n v="5"/>
    <n v="46766"/>
    <n v="10"/>
    <n v="23383"/>
    <n v="37880.46"/>
    <n v="163"/>
    <n v="248490.46"/>
    <x v="3"/>
    <x v="0"/>
    <s v="Pune"/>
    <x v="0"/>
    <x v="0"/>
    <n v="4"/>
    <x v="0"/>
    <n v="3"/>
    <s v="Returned"/>
  </r>
  <r>
    <s v="ORD00807"/>
    <x v="117"/>
    <s v="CUST827"/>
    <s v="Neha"/>
    <x v="0"/>
    <n v="30"/>
    <x v="4"/>
    <x v="0"/>
    <x v="4"/>
    <x v="5"/>
    <n v="3"/>
    <n v="644"/>
    <n v="5"/>
    <n v="96.6"/>
    <n v="330.37"/>
    <n v="253"/>
    <n v="2418.77"/>
    <x v="0"/>
    <x v="1"/>
    <s v="Jaipur"/>
    <x v="2"/>
    <x v="1"/>
    <n v="10"/>
    <x v="0"/>
    <n v="1"/>
    <s v="Cancelled"/>
  </r>
  <r>
    <s v="ORD00808"/>
    <x v="274"/>
    <s v="CUST654"/>
    <s v="Neha"/>
    <x v="0"/>
    <n v="49"/>
    <x v="8"/>
    <x v="0"/>
    <x v="8"/>
    <x v="5"/>
    <n v="1"/>
    <n v="7604"/>
    <n v="10"/>
    <n v="760.4"/>
    <n v="1231.8499999999999"/>
    <n v="405"/>
    <n v="8480.4500000000007"/>
    <x v="2"/>
    <x v="1"/>
    <s v="Lucknow"/>
    <x v="4"/>
    <x v="1"/>
    <n v="8"/>
    <x v="0"/>
    <n v="2"/>
    <s v="Cancelled"/>
  </r>
  <r>
    <s v="ORD00809"/>
    <x v="95"/>
    <s v="CUST664"/>
    <s v="Amit"/>
    <x v="0"/>
    <n v="25"/>
    <x v="7"/>
    <x v="1"/>
    <x v="7"/>
    <x v="6"/>
    <n v="5"/>
    <n v="19653"/>
    <n v="0"/>
    <n v="0"/>
    <n v="17687.7"/>
    <n v="309"/>
    <n v="116261.7"/>
    <x v="1"/>
    <x v="0"/>
    <s v="Pune"/>
    <x v="0"/>
    <x v="0"/>
    <n v="4"/>
    <x v="1"/>
    <n v="3"/>
    <s v="Returned"/>
  </r>
  <r>
    <s v="ORD00810"/>
    <x v="325"/>
    <s v="CUST917"/>
    <s v="Vikas"/>
    <x v="0"/>
    <n v="37"/>
    <x v="4"/>
    <x v="0"/>
    <x v="4"/>
    <x v="7"/>
    <n v="2"/>
    <n v="42230"/>
    <n v="10"/>
    <n v="8446"/>
    <n v="13682.52"/>
    <n v="156"/>
    <n v="89852.52"/>
    <x v="3"/>
    <x v="1"/>
    <s v="Jaipur"/>
    <x v="2"/>
    <x v="1"/>
    <n v="1"/>
    <x v="1"/>
    <n v="2"/>
    <s v="Delivered"/>
  </r>
  <r>
    <s v="ORD00811"/>
    <x v="69"/>
    <s v="CUST745"/>
    <s v="Arjun"/>
    <x v="0"/>
    <n v="23"/>
    <x v="7"/>
    <x v="1"/>
    <x v="7"/>
    <x v="1"/>
    <n v="2"/>
    <n v="29934"/>
    <n v="20"/>
    <n v="11973.6"/>
    <n v="8620.99"/>
    <n v="362"/>
    <n v="56877.39"/>
    <x v="0"/>
    <x v="1"/>
    <s v="Mumbai"/>
    <x v="0"/>
    <x v="0"/>
    <n v="6"/>
    <x v="0"/>
    <n v="5"/>
    <s v="Cancelled"/>
  </r>
  <r>
    <s v="ORD00812"/>
    <x v="52"/>
    <s v="CUST253"/>
    <s v="Riya"/>
    <x v="0"/>
    <n v="27"/>
    <x v="3"/>
    <x v="2"/>
    <x v="3"/>
    <x v="2"/>
    <n v="1"/>
    <n v="28168"/>
    <n v="10"/>
    <n v="2816.8"/>
    <n v="4563.22"/>
    <n v="158"/>
    <n v="30072.42"/>
    <x v="0"/>
    <x v="1"/>
    <s v="Lucknow"/>
    <x v="4"/>
    <x v="1"/>
    <n v="5"/>
    <x v="1"/>
    <n v="2"/>
    <s v="Returned"/>
  </r>
  <r>
    <s v="ORD00813"/>
    <x v="326"/>
    <s v="CUST765"/>
    <s v="Arjun"/>
    <x v="1"/>
    <n v="36"/>
    <x v="0"/>
    <x v="0"/>
    <x v="0"/>
    <x v="8"/>
    <n v="4"/>
    <n v="35314"/>
    <n v="5"/>
    <n v="7062.8"/>
    <n v="24154.78"/>
    <n v="456"/>
    <n v="158803.98000000001"/>
    <x v="2"/>
    <x v="0"/>
    <s v="Patiala"/>
    <x v="1"/>
    <x v="1"/>
    <n v="2"/>
    <x v="0"/>
    <n v="5"/>
    <s v="Shipped"/>
  </r>
  <r>
    <s v="ORD00814"/>
    <x v="129"/>
    <s v="CUST537"/>
    <s v="Arjun"/>
    <x v="1"/>
    <n v="55"/>
    <x v="6"/>
    <x v="0"/>
    <x v="6"/>
    <x v="4"/>
    <n v="1"/>
    <n v="27249"/>
    <n v="20"/>
    <n v="5449.8"/>
    <n v="3923.86"/>
    <n v="475"/>
    <n v="26198.06"/>
    <x v="0"/>
    <x v="1"/>
    <s v="Delhi"/>
    <x v="5"/>
    <x v="1"/>
    <n v="5"/>
    <x v="0"/>
    <n v="1"/>
    <s v="Delivered"/>
  </r>
  <r>
    <s v="ORD00815"/>
    <x v="76"/>
    <s v="CUST323"/>
    <s v="Priya"/>
    <x v="1"/>
    <n v="29"/>
    <x v="2"/>
    <x v="1"/>
    <x v="2"/>
    <x v="8"/>
    <n v="3"/>
    <n v="49236"/>
    <n v="10"/>
    <n v="14770.8"/>
    <n v="23928.7"/>
    <n v="256"/>
    <n v="157121.9"/>
    <x v="2"/>
    <x v="0"/>
    <s v="Chandigarh"/>
    <x v="1"/>
    <x v="1"/>
    <n v="3"/>
    <x v="0"/>
    <n v="3"/>
    <s v="Shipped"/>
  </r>
  <r>
    <s v="ORD00816"/>
    <x v="168"/>
    <s v="CUST259"/>
    <s v="Priya"/>
    <x v="1"/>
    <n v="26"/>
    <x v="3"/>
    <x v="2"/>
    <x v="3"/>
    <x v="7"/>
    <n v="1"/>
    <n v="30859"/>
    <n v="5"/>
    <n v="1542.95"/>
    <n v="5276.89"/>
    <n v="480"/>
    <n v="35072.94"/>
    <x v="2"/>
    <x v="1"/>
    <s v="Mumbai"/>
    <x v="0"/>
    <x v="0"/>
    <n v="4"/>
    <x v="0"/>
    <n v="4"/>
    <s v="Cancelled"/>
  </r>
  <r>
    <s v="ORD00817"/>
    <x v="327"/>
    <s v="CUST957"/>
    <s v="Karan"/>
    <x v="1"/>
    <n v="44"/>
    <x v="7"/>
    <x v="1"/>
    <x v="7"/>
    <x v="4"/>
    <n v="4"/>
    <n v="37642"/>
    <n v="15"/>
    <n v="22585.200000000001"/>
    <n v="23036.9"/>
    <n v="32"/>
    <n v="151051.70000000001"/>
    <x v="1"/>
    <x v="0"/>
    <s v="Patiala"/>
    <x v="1"/>
    <x v="1"/>
    <n v="1"/>
    <x v="0"/>
    <n v="5"/>
    <s v="Delivered"/>
  </r>
  <r>
    <s v="ORD00818"/>
    <x v="72"/>
    <s v="CUST514"/>
    <s v="Anjali"/>
    <x v="0"/>
    <n v="23"/>
    <x v="6"/>
    <x v="0"/>
    <x v="6"/>
    <x v="5"/>
    <n v="5"/>
    <n v="48628"/>
    <n v="15"/>
    <n v="36471"/>
    <n v="37200.42"/>
    <n v="224"/>
    <n v="244093.42"/>
    <x v="2"/>
    <x v="0"/>
    <s v="Chandigarh"/>
    <x v="1"/>
    <x v="1"/>
    <n v="9"/>
    <x v="1"/>
    <n v="2"/>
    <s v="Delivered"/>
  </r>
  <r>
    <s v="ORD00819"/>
    <x v="117"/>
    <s v="CUST387"/>
    <s v="Riya"/>
    <x v="0"/>
    <n v="49"/>
    <x v="9"/>
    <x v="0"/>
    <x v="9"/>
    <x v="0"/>
    <n v="5"/>
    <n v="16368"/>
    <n v="15"/>
    <n v="12276"/>
    <n v="12521.52"/>
    <n v="443"/>
    <n v="82528.52"/>
    <x v="1"/>
    <x v="1"/>
    <s v="Patiala"/>
    <x v="1"/>
    <x v="1"/>
    <n v="8"/>
    <x v="1"/>
    <n v="2"/>
    <s v="Returned"/>
  </r>
  <r>
    <s v="ORD00820"/>
    <x v="38"/>
    <s v="CUST306"/>
    <s v="Rahul"/>
    <x v="0"/>
    <n v="37"/>
    <x v="1"/>
    <x v="0"/>
    <x v="1"/>
    <x v="6"/>
    <n v="2"/>
    <n v="31757"/>
    <n v="0"/>
    <n v="0"/>
    <n v="11432.52"/>
    <n v="191"/>
    <n v="75137.52"/>
    <x v="1"/>
    <x v="0"/>
    <s v="Chandigarh"/>
    <x v="1"/>
    <x v="1"/>
    <n v="3"/>
    <x v="0"/>
    <n v="3"/>
    <s v="Returned"/>
  </r>
  <r>
    <s v="ORD00821"/>
    <x v="127"/>
    <s v="CUST190"/>
    <s v="Sneha"/>
    <x v="1"/>
    <n v="29"/>
    <x v="5"/>
    <x v="0"/>
    <x v="5"/>
    <x v="4"/>
    <n v="4"/>
    <n v="37757"/>
    <n v="10"/>
    <n v="15102.8"/>
    <n v="24466.54"/>
    <n v="430"/>
    <n v="160821.74"/>
    <x v="3"/>
    <x v="1"/>
    <s v="Patiala"/>
    <x v="1"/>
    <x v="1"/>
    <n v="3"/>
    <x v="1"/>
    <n v="4"/>
    <s v="Returned"/>
  </r>
  <r>
    <s v="ORD00822"/>
    <x v="160"/>
    <s v="CUST551"/>
    <s v="Arjun"/>
    <x v="1"/>
    <n v="55"/>
    <x v="9"/>
    <x v="0"/>
    <x v="9"/>
    <x v="8"/>
    <n v="2"/>
    <n v="42743"/>
    <n v="5"/>
    <n v="4274.3"/>
    <n v="14618.11"/>
    <n v="473"/>
    <n v="96302.81"/>
    <x v="2"/>
    <x v="1"/>
    <s v="Patiala"/>
    <x v="1"/>
    <x v="1"/>
    <n v="9"/>
    <x v="1"/>
    <n v="4"/>
    <s v="Shipped"/>
  </r>
  <r>
    <s v="ORD00823"/>
    <x v="146"/>
    <s v="CUST705"/>
    <s v="Priya"/>
    <x v="0"/>
    <n v="58"/>
    <x v="4"/>
    <x v="0"/>
    <x v="4"/>
    <x v="5"/>
    <n v="3"/>
    <n v="20225"/>
    <n v="10"/>
    <n v="6067.5"/>
    <n v="9829.35"/>
    <n v="463"/>
    <n v="64899.85"/>
    <x v="1"/>
    <x v="1"/>
    <s v="Patiala"/>
    <x v="1"/>
    <x v="1"/>
    <n v="9"/>
    <x v="1"/>
    <n v="1"/>
    <s v="Cancelled"/>
  </r>
  <r>
    <s v="ORD00824"/>
    <x v="294"/>
    <s v="CUST362"/>
    <s v="Rahul"/>
    <x v="1"/>
    <n v="49"/>
    <x v="2"/>
    <x v="1"/>
    <x v="2"/>
    <x v="6"/>
    <n v="2"/>
    <n v="8375"/>
    <n v="15"/>
    <n v="2512.5"/>
    <n v="2562.75"/>
    <n v="470"/>
    <n v="17270.25"/>
    <x v="1"/>
    <x v="0"/>
    <s v="Bangalore"/>
    <x v="3"/>
    <x v="2"/>
    <n v="1"/>
    <x v="0"/>
    <n v="3"/>
    <s v="Shipped"/>
  </r>
  <r>
    <s v="ORD00825"/>
    <x v="233"/>
    <s v="CUST869"/>
    <s v="Sneha"/>
    <x v="1"/>
    <n v="58"/>
    <x v="5"/>
    <x v="0"/>
    <x v="5"/>
    <x v="1"/>
    <n v="1"/>
    <n v="5347"/>
    <n v="10"/>
    <n v="534.70000000000005"/>
    <n v="866.21"/>
    <n v="428"/>
    <n v="6106.51"/>
    <x v="3"/>
    <x v="1"/>
    <s v="Lucknow"/>
    <x v="4"/>
    <x v="1"/>
    <n v="2"/>
    <x v="0"/>
    <n v="4"/>
    <s v="Shipped"/>
  </r>
  <r>
    <s v="ORD00826"/>
    <x v="172"/>
    <s v="CUST730"/>
    <s v="Sneha"/>
    <x v="1"/>
    <n v="19"/>
    <x v="7"/>
    <x v="1"/>
    <x v="7"/>
    <x v="5"/>
    <n v="2"/>
    <n v="24967"/>
    <n v="10"/>
    <n v="4993.3999999999996"/>
    <n v="8089.31"/>
    <n v="104"/>
    <n v="53133.91"/>
    <x v="2"/>
    <x v="0"/>
    <s v="Jaipur"/>
    <x v="2"/>
    <x v="1"/>
    <n v="1"/>
    <x v="0"/>
    <n v="4"/>
    <s v="Cancelled"/>
  </r>
  <r>
    <s v="ORD00827"/>
    <x v="128"/>
    <s v="CUST914"/>
    <s v="Amit"/>
    <x v="1"/>
    <n v="38"/>
    <x v="2"/>
    <x v="1"/>
    <x v="2"/>
    <x v="1"/>
    <n v="4"/>
    <n v="33363"/>
    <n v="0"/>
    <n v="0"/>
    <n v="24021.360000000001"/>
    <n v="353"/>
    <n v="157826.35999999999"/>
    <x v="3"/>
    <x v="1"/>
    <s v="Patiala"/>
    <x v="1"/>
    <x v="1"/>
    <n v="1"/>
    <x v="0"/>
    <n v="2"/>
    <s v="Shipped"/>
  </r>
  <r>
    <s v="ORD00828"/>
    <x v="291"/>
    <s v="CUST158"/>
    <s v="Neha"/>
    <x v="1"/>
    <n v="38"/>
    <x v="2"/>
    <x v="1"/>
    <x v="2"/>
    <x v="9"/>
    <n v="3"/>
    <n v="11118"/>
    <n v="15"/>
    <n v="5003.1000000000004"/>
    <n v="5103.16"/>
    <n v="443"/>
    <n v="33897.06"/>
    <x v="3"/>
    <x v="1"/>
    <s v="Bangalore"/>
    <x v="3"/>
    <x v="2"/>
    <n v="8"/>
    <x v="0"/>
    <n v="3"/>
    <s v="Shipped"/>
  </r>
  <r>
    <s v="ORD00829"/>
    <x v="210"/>
    <s v="CUST773"/>
    <s v="Vikas"/>
    <x v="1"/>
    <n v="59"/>
    <x v="7"/>
    <x v="1"/>
    <x v="7"/>
    <x v="0"/>
    <n v="1"/>
    <n v="34518"/>
    <n v="0"/>
    <n v="0"/>
    <n v="6213.24"/>
    <n v="91"/>
    <n v="40822.239999999998"/>
    <x v="2"/>
    <x v="1"/>
    <s v="Jaipur"/>
    <x v="2"/>
    <x v="1"/>
    <n v="8"/>
    <x v="1"/>
    <n v="5"/>
    <s v="Shipped"/>
  </r>
  <r>
    <s v="ORD00830"/>
    <x v="328"/>
    <s v="CUST325"/>
    <s v="Riya"/>
    <x v="0"/>
    <n v="56"/>
    <x v="0"/>
    <x v="0"/>
    <x v="0"/>
    <x v="1"/>
    <n v="3"/>
    <n v="30273"/>
    <n v="10"/>
    <n v="9081.9"/>
    <n v="14712.68"/>
    <n v="294"/>
    <n v="96743.78"/>
    <x v="0"/>
    <x v="1"/>
    <s v="Pune"/>
    <x v="0"/>
    <x v="0"/>
    <n v="8"/>
    <x v="1"/>
    <n v="5"/>
    <s v="Returned"/>
  </r>
  <r>
    <s v="ORD00831"/>
    <x v="25"/>
    <s v="CUST421"/>
    <s v="Sneha"/>
    <x v="0"/>
    <n v="42"/>
    <x v="4"/>
    <x v="0"/>
    <x v="4"/>
    <x v="6"/>
    <n v="2"/>
    <n v="11342"/>
    <n v="10"/>
    <n v="2268.4"/>
    <n v="3674.81"/>
    <n v="459"/>
    <n v="24549.41"/>
    <x v="0"/>
    <x v="0"/>
    <s v="Lucknow"/>
    <x v="4"/>
    <x v="1"/>
    <n v="7"/>
    <x v="0"/>
    <n v="1"/>
    <s v="Cancelled"/>
  </r>
  <r>
    <s v="ORD00832"/>
    <x v="206"/>
    <s v="CUST690"/>
    <s v="Arjun"/>
    <x v="1"/>
    <n v="58"/>
    <x v="6"/>
    <x v="0"/>
    <x v="6"/>
    <x v="4"/>
    <n v="1"/>
    <n v="48064"/>
    <n v="20"/>
    <n v="9612.7999999999993"/>
    <n v="6921.22"/>
    <n v="115"/>
    <n v="45487.42"/>
    <x v="0"/>
    <x v="0"/>
    <s v="Delhi"/>
    <x v="5"/>
    <x v="1"/>
    <n v="1"/>
    <x v="1"/>
    <n v="3"/>
    <s v="Delivered"/>
  </r>
  <r>
    <s v="ORD00833"/>
    <x v="21"/>
    <s v="CUST330"/>
    <s v="Karan"/>
    <x v="1"/>
    <n v="35"/>
    <x v="5"/>
    <x v="0"/>
    <x v="5"/>
    <x v="9"/>
    <n v="5"/>
    <n v="32836"/>
    <n v="15"/>
    <n v="24627"/>
    <n v="25119.54"/>
    <n v="464"/>
    <n v="165136.54"/>
    <x v="0"/>
    <x v="1"/>
    <s v="Mumbai"/>
    <x v="0"/>
    <x v="0"/>
    <n v="3"/>
    <x v="0"/>
    <n v="2"/>
    <s v="Returned"/>
  </r>
  <r>
    <s v="ORD00834"/>
    <x v="14"/>
    <s v="CUST934"/>
    <s v="Sneha"/>
    <x v="1"/>
    <n v="40"/>
    <x v="1"/>
    <x v="0"/>
    <x v="1"/>
    <x v="1"/>
    <n v="5"/>
    <n v="43163"/>
    <n v="10"/>
    <n v="21581.5"/>
    <n v="34962.03"/>
    <n v="202"/>
    <n v="229397.53"/>
    <x v="2"/>
    <x v="1"/>
    <s v="Pune"/>
    <x v="0"/>
    <x v="0"/>
    <n v="1"/>
    <x v="0"/>
    <n v="5"/>
    <s v="Shipped"/>
  </r>
  <r>
    <s v="ORD00835"/>
    <x v="236"/>
    <s v="CUST594"/>
    <s v="Anjali"/>
    <x v="0"/>
    <n v="29"/>
    <x v="6"/>
    <x v="0"/>
    <x v="6"/>
    <x v="4"/>
    <n v="1"/>
    <n v="31573"/>
    <n v="10"/>
    <n v="3157.3"/>
    <n v="5114.83"/>
    <n v="152"/>
    <n v="33682.53"/>
    <x v="2"/>
    <x v="0"/>
    <s v="Chandigarh"/>
    <x v="1"/>
    <x v="1"/>
    <n v="4"/>
    <x v="1"/>
    <n v="1"/>
    <s v="Delivered"/>
  </r>
  <r>
    <s v="ORD00836"/>
    <x v="134"/>
    <s v="CUST305"/>
    <s v="Karan"/>
    <x v="1"/>
    <n v="29"/>
    <x v="3"/>
    <x v="2"/>
    <x v="3"/>
    <x v="8"/>
    <n v="1"/>
    <n v="48245"/>
    <n v="20"/>
    <n v="9649"/>
    <n v="6947.28"/>
    <n v="5"/>
    <n v="45548.28"/>
    <x v="1"/>
    <x v="0"/>
    <s v="Patiala"/>
    <x v="1"/>
    <x v="1"/>
    <n v="6"/>
    <x v="0"/>
    <n v="3"/>
    <s v="Shipped"/>
  </r>
  <r>
    <s v="ORD00837"/>
    <x v="78"/>
    <s v="CUST586"/>
    <s v="Vikas"/>
    <x v="1"/>
    <n v="27"/>
    <x v="8"/>
    <x v="0"/>
    <x v="8"/>
    <x v="3"/>
    <n v="4"/>
    <n v="47145"/>
    <n v="20"/>
    <n v="37716"/>
    <n v="27155.52"/>
    <n v="457"/>
    <n v="178476.52"/>
    <x v="2"/>
    <x v="1"/>
    <s v="Delhi"/>
    <x v="5"/>
    <x v="1"/>
    <n v="1"/>
    <x v="1"/>
    <n v="5"/>
    <s v="Returned"/>
  </r>
  <r>
    <s v="ORD00838"/>
    <x v="34"/>
    <s v="CUST266"/>
    <s v="Vikas"/>
    <x v="1"/>
    <n v="56"/>
    <x v="2"/>
    <x v="1"/>
    <x v="2"/>
    <x v="7"/>
    <n v="5"/>
    <n v="25380"/>
    <n v="0"/>
    <n v="0"/>
    <n v="22842"/>
    <n v="309"/>
    <n v="150051"/>
    <x v="1"/>
    <x v="0"/>
    <s v="Pune"/>
    <x v="0"/>
    <x v="0"/>
    <n v="1"/>
    <x v="1"/>
    <n v="2"/>
    <s v="Cancelled"/>
  </r>
  <r>
    <s v="ORD00839"/>
    <x v="37"/>
    <s v="CUST636"/>
    <s v="Rahul"/>
    <x v="0"/>
    <n v="22"/>
    <x v="8"/>
    <x v="0"/>
    <x v="8"/>
    <x v="0"/>
    <n v="1"/>
    <n v="40566"/>
    <n v="10"/>
    <n v="4056.6"/>
    <n v="6571.69"/>
    <n v="112"/>
    <n v="43193.09"/>
    <x v="1"/>
    <x v="1"/>
    <s v="Chandigarh"/>
    <x v="1"/>
    <x v="1"/>
    <n v="8"/>
    <x v="1"/>
    <n v="2"/>
    <s v="Returned"/>
  </r>
  <r>
    <s v="ORD00840"/>
    <x v="244"/>
    <s v="CUST260"/>
    <s v="Vikas"/>
    <x v="1"/>
    <n v="37"/>
    <x v="0"/>
    <x v="0"/>
    <x v="0"/>
    <x v="9"/>
    <n v="1"/>
    <n v="6815"/>
    <n v="20"/>
    <n v="1363"/>
    <n v="981.36"/>
    <n v="338"/>
    <n v="6771.36"/>
    <x v="0"/>
    <x v="0"/>
    <s v="Lucknow"/>
    <x v="4"/>
    <x v="1"/>
    <n v="8"/>
    <x v="1"/>
    <n v="5"/>
    <s v="Returned"/>
  </r>
  <r>
    <s v="ORD00841"/>
    <x v="135"/>
    <s v="CUST397"/>
    <s v="Rahul"/>
    <x v="0"/>
    <n v="51"/>
    <x v="0"/>
    <x v="0"/>
    <x v="0"/>
    <x v="3"/>
    <n v="3"/>
    <n v="49678"/>
    <n v="15"/>
    <n v="22355.1"/>
    <n v="22802.2"/>
    <n v="277"/>
    <n v="149758.1"/>
    <x v="1"/>
    <x v="0"/>
    <s v="Chandigarh"/>
    <x v="1"/>
    <x v="1"/>
    <n v="8"/>
    <x v="0"/>
    <n v="5"/>
    <s v="Returned"/>
  </r>
  <r>
    <s v="ORD00842"/>
    <x v="30"/>
    <s v="CUST288"/>
    <s v="Anjali"/>
    <x v="1"/>
    <n v="46"/>
    <x v="9"/>
    <x v="0"/>
    <x v="9"/>
    <x v="2"/>
    <n v="4"/>
    <n v="21247"/>
    <n v="5"/>
    <n v="4249.3999999999996"/>
    <n v="14532.95"/>
    <n v="439"/>
    <n v="95710.55"/>
    <x v="3"/>
    <x v="1"/>
    <s v="Patiala"/>
    <x v="1"/>
    <x v="1"/>
    <n v="5"/>
    <x v="0"/>
    <n v="2"/>
    <s v="Returned"/>
  </r>
  <r>
    <s v="ORD00843"/>
    <x v="2"/>
    <s v="CUST836"/>
    <s v="Riya"/>
    <x v="1"/>
    <n v="31"/>
    <x v="2"/>
    <x v="1"/>
    <x v="2"/>
    <x v="6"/>
    <n v="2"/>
    <n v="10921"/>
    <n v="5"/>
    <n v="1092.0999999999999"/>
    <n v="3734.98"/>
    <n v="395"/>
    <n v="24879.88"/>
    <x v="3"/>
    <x v="0"/>
    <s v="Patiala"/>
    <x v="1"/>
    <x v="1"/>
    <n v="6"/>
    <x v="0"/>
    <n v="2"/>
    <s v="Cancelled"/>
  </r>
  <r>
    <s v="ORD00844"/>
    <x v="68"/>
    <s v="CUST523"/>
    <s v="Arjun"/>
    <x v="1"/>
    <n v="20"/>
    <x v="3"/>
    <x v="2"/>
    <x v="3"/>
    <x v="0"/>
    <n v="2"/>
    <n v="41264"/>
    <n v="5"/>
    <n v="4126.3999999999996"/>
    <n v="14112.29"/>
    <n v="7"/>
    <n v="92520.89"/>
    <x v="2"/>
    <x v="0"/>
    <s v="Delhi"/>
    <x v="5"/>
    <x v="1"/>
    <n v="6"/>
    <x v="1"/>
    <n v="5"/>
    <s v="Shipped"/>
  </r>
  <r>
    <s v="ORD00845"/>
    <x v="165"/>
    <s v="CUST162"/>
    <s v="Anjali"/>
    <x v="1"/>
    <n v="37"/>
    <x v="9"/>
    <x v="0"/>
    <x v="9"/>
    <x v="6"/>
    <n v="5"/>
    <n v="15722"/>
    <n v="20"/>
    <n v="15722"/>
    <n v="11319.84"/>
    <n v="333"/>
    <n v="74540.84"/>
    <x v="3"/>
    <x v="0"/>
    <s v="Bangalore"/>
    <x v="3"/>
    <x v="2"/>
    <n v="7"/>
    <x v="0"/>
    <n v="3"/>
    <s v="Delivered"/>
  </r>
  <r>
    <s v="ORD00846"/>
    <x v="50"/>
    <s v="CUST459"/>
    <s v="Sneha"/>
    <x v="0"/>
    <n v="26"/>
    <x v="0"/>
    <x v="0"/>
    <x v="0"/>
    <x v="9"/>
    <n v="4"/>
    <n v="48345"/>
    <n v="5"/>
    <n v="9669"/>
    <n v="33067.980000000003"/>
    <n v="107"/>
    <n v="216885.98"/>
    <x v="1"/>
    <x v="1"/>
    <s v="Mumbai"/>
    <x v="0"/>
    <x v="0"/>
    <n v="9"/>
    <x v="0"/>
    <n v="3"/>
    <s v="Returned"/>
  </r>
  <r>
    <s v="ORD00847"/>
    <x v="84"/>
    <s v="CUST499"/>
    <s v="Amit"/>
    <x v="1"/>
    <n v="59"/>
    <x v="4"/>
    <x v="0"/>
    <x v="4"/>
    <x v="9"/>
    <n v="2"/>
    <n v="32961"/>
    <n v="0"/>
    <n v="0"/>
    <n v="11865.96"/>
    <n v="103"/>
    <n v="77890.960000000006"/>
    <x v="3"/>
    <x v="0"/>
    <s v="Delhi"/>
    <x v="5"/>
    <x v="1"/>
    <n v="8"/>
    <x v="0"/>
    <n v="1"/>
    <s v="Returned"/>
  </r>
  <r>
    <s v="ORD00848"/>
    <x v="71"/>
    <s v="CUST891"/>
    <s v="Arjun"/>
    <x v="1"/>
    <n v="36"/>
    <x v="7"/>
    <x v="1"/>
    <x v="7"/>
    <x v="0"/>
    <n v="3"/>
    <n v="20711"/>
    <n v="20"/>
    <n v="12426.6"/>
    <n v="8947.15"/>
    <n v="216"/>
    <n v="58869.55"/>
    <x v="0"/>
    <x v="1"/>
    <s v="Mumbai"/>
    <x v="0"/>
    <x v="0"/>
    <n v="5"/>
    <x v="1"/>
    <n v="5"/>
    <s v="Shipped"/>
  </r>
  <r>
    <s v="ORD00849"/>
    <x v="71"/>
    <s v="CUST681"/>
    <s v="Priya"/>
    <x v="0"/>
    <n v="49"/>
    <x v="8"/>
    <x v="0"/>
    <x v="8"/>
    <x v="2"/>
    <n v="5"/>
    <n v="19707"/>
    <n v="10"/>
    <n v="9853.5"/>
    <n v="15962.67"/>
    <n v="346"/>
    <n v="104990.17"/>
    <x v="3"/>
    <x v="1"/>
    <s v="Jaipur"/>
    <x v="2"/>
    <x v="1"/>
    <n v="4"/>
    <x v="1"/>
    <n v="1"/>
    <s v="Returned"/>
  </r>
  <r>
    <s v="ORD00850"/>
    <x v="223"/>
    <s v="CUST201"/>
    <s v="Sneha"/>
    <x v="1"/>
    <n v="45"/>
    <x v="3"/>
    <x v="2"/>
    <x v="3"/>
    <x v="9"/>
    <n v="1"/>
    <n v="37289"/>
    <n v="20"/>
    <n v="7457.8"/>
    <n v="5369.62"/>
    <n v="297"/>
    <n v="35497.82"/>
    <x v="1"/>
    <x v="1"/>
    <s v="Bangalore"/>
    <x v="3"/>
    <x v="2"/>
    <n v="6"/>
    <x v="0"/>
    <n v="2"/>
    <s v="Delivered"/>
  </r>
  <r>
    <s v="ORD00851"/>
    <x v="285"/>
    <s v="CUST356"/>
    <s v="Rahul"/>
    <x v="0"/>
    <n v="53"/>
    <x v="3"/>
    <x v="2"/>
    <x v="3"/>
    <x v="9"/>
    <n v="5"/>
    <n v="35009"/>
    <n v="0"/>
    <n v="0"/>
    <n v="31508.1"/>
    <n v="316"/>
    <n v="206869.1"/>
    <x v="1"/>
    <x v="0"/>
    <s v="Pune"/>
    <x v="0"/>
    <x v="0"/>
    <n v="1"/>
    <x v="1"/>
    <n v="3"/>
    <s v="Cancelled"/>
  </r>
  <r>
    <s v="ORD00852"/>
    <x v="329"/>
    <s v="CUST495"/>
    <s v="Amit"/>
    <x v="0"/>
    <n v="30"/>
    <x v="8"/>
    <x v="0"/>
    <x v="8"/>
    <x v="8"/>
    <n v="3"/>
    <n v="26210"/>
    <n v="20"/>
    <n v="15726"/>
    <n v="11322.72"/>
    <n v="459"/>
    <n v="74685.72"/>
    <x v="3"/>
    <x v="0"/>
    <s v="Mumbai"/>
    <x v="0"/>
    <x v="0"/>
    <n v="2"/>
    <x v="0"/>
    <n v="1"/>
    <s v="Returned"/>
  </r>
  <r>
    <s v="ORD00853"/>
    <x v="184"/>
    <s v="CUST310"/>
    <s v="Vikas"/>
    <x v="0"/>
    <n v="49"/>
    <x v="2"/>
    <x v="1"/>
    <x v="2"/>
    <x v="0"/>
    <n v="4"/>
    <n v="13804"/>
    <n v="5"/>
    <n v="2760.8"/>
    <n v="9441.94"/>
    <n v="349"/>
    <n v="62246.14"/>
    <x v="0"/>
    <x v="0"/>
    <s v="Patiala"/>
    <x v="1"/>
    <x v="1"/>
    <n v="7"/>
    <x v="1"/>
    <n v="5"/>
    <s v="Returned"/>
  </r>
  <r>
    <s v="ORD00854"/>
    <x v="330"/>
    <s v="CUST117"/>
    <s v="Karan"/>
    <x v="1"/>
    <n v="59"/>
    <x v="1"/>
    <x v="0"/>
    <x v="1"/>
    <x v="6"/>
    <n v="2"/>
    <n v="20640"/>
    <n v="0"/>
    <n v="0"/>
    <n v="7430.4"/>
    <n v="97"/>
    <n v="48807.4"/>
    <x v="1"/>
    <x v="0"/>
    <s v="Mumbai"/>
    <x v="0"/>
    <x v="0"/>
    <n v="6"/>
    <x v="1"/>
    <n v="1"/>
    <s v="Returned"/>
  </r>
  <r>
    <s v="ORD00855"/>
    <x v="133"/>
    <s v="CUST177"/>
    <s v="Rahul"/>
    <x v="1"/>
    <n v="47"/>
    <x v="3"/>
    <x v="2"/>
    <x v="3"/>
    <x v="0"/>
    <n v="4"/>
    <n v="32637"/>
    <n v="15"/>
    <n v="19582.2"/>
    <n v="19973.84"/>
    <n v="162"/>
    <n v="131101.64000000001"/>
    <x v="1"/>
    <x v="1"/>
    <s v="Patiala"/>
    <x v="1"/>
    <x v="1"/>
    <n v="3"/>
    <x v="0"/>
    <n v="4"/>
    <s v="Shipped"/>
  </r>
  <r>
    <s v="ORD00856"/>
    <x v="290"/>
    <s v="CUST219"/>
    <s v="Anjali"/>
    <x v="0"/>
    <n v="18"/>
    <x v="3"/>
    <x v="2"/>
    <x v="3"/>
    <x v="4"/>
    <n v="5"/>
    <n v="30196"/>
    <n v="5"/>
    <n v="7549"/>
    <n v="25817.58"/>
    <n v="472"/>
    <n v="169720.58"/>
    <x v="2"/>
    <x v="1"/>
    <s v="Patiala"/>
    <x v="1"/>
    <x v="1"/>
    <n v="6"/>
    <x v="0"/>
    <n v="1"/>
    <s v="Returned"/>
  </r>
  <r>
    <s v="ORD00857"/>
    <x v="112"/>
    <s v="CUST763"/>
    <s v="Anjali"/>
    <x v="1"/>
    <n v="21"/>
    <x v="6"/>
    <x v="0"/>
    <x v="6"/>
    <x v="8"/>
    <n v="2"/>
    <n v="22407"/>
    <n v="5"/>
    <n v="2240.6999999999998"/>
    <n v="7663.19"/>
    <n v="46"/>
    <n v="50282.49"/>
    <x v="2"/>
    <x v="0"/>
    <s v="Lucknow"/>
    <x v="4"/>
    <x v="1"/>
    <n v="4"/>
    <x v="0"/>
    <n v="1"/>
    <s v="Returned"/>
  </r>
  <r>
    <s v="ORD00858"/>
    <x v="299"/>
    <s v="CUST418"/>
    <s v="Rahul"/>
    <x v="1"/>
    <n v="25"/>
    <x v="8"/>
    <x v="0"/>
    <x v="8"/>
    <x v="7"/>
    <n v="4"/>
    <n v="21850"/>
    <n v="15"/>
    <n v="13110"/>
    <n v="13372.2"/>
    <n v="303"/>
    <n v="87965.2"/>
    <x v="1"/>
    <x v="0"/>
    <s v="Lucknow"/>
    <x v="4"/>
    <x v="1"/>
    <n v="9"/>
    <x v="1"/>
    <n v="3"/>
    <s v="Shipped"/>
  </r>
  <r>
    <s v="ORD00859"/>
    <x v="56"/>
    <s v="CUST830"/>
    <s v="Riya"/>
    <x v="0"/>
    <n v="31"/>
    <x v="5"/>
    <x v="0"/>
    <x v="5"/>
    <x v="3"/>
    <n v="1"/>
    <n v="24965"/>
    <n v="20"/>
    <n v="4993"/>
    <n v="3594.96"/>
    <n v="431"/>
    <n v="23997.96"/>
    <x v="0"/>
    <x v="0"/>
    <s v="Patiala"/>
    <x v="1"/>
    <x v="1"/>
    <n v="1"/>
    <x v="1"/>
    <n v="1"/>
    <s v="Delivered"/>
  </r>
  <r>
    <s v="ORD00860"/>
    <x v="95"/>
    <s v="CUST564"/>
    <s v="Sneha"/>
    <x v="1"/>
    <n v="24"/>
    <x v="8"/>
    <x v="0"/>
    <x v="8"/>
    <x v="8"/>
    <n v="2"/>
    <n v="44956"/>
    <n v="15"/>
    <n v="13486.8"/>
    <n v="13756.54"/>
    <n v="136"/>
    <n v="90317.74"/>
    <x v="2"/>
    <x v="1"/>
    <s v="Mumbai"/>
    <x v="0"/>
    <x v="0"/>
    <n v="1"/>
    <x v="0"/>
    <n v="2"/>
    <s v="Delivered"/>
  </r>
  <r>
    <s v="ORD00861"/>
    <x v="236"/>
    <s v="CUST312"/>
    <s v="Riya"/>
    <x v="0"/>
    <n v="57"/>
    <x v="5"/>
    <x v="0"/>
    <x v="5"/>
    <x v="0"/>
    <n v="3"/>
    <n v="42360"/>
    <n v="15"/>
    <n v="19062"/>
    <n v="19443.240000000002"/>
    <n v="46"/>
    <n v="127507.24"/>
    <x v="1"/>
    <x v="0"/>
    <s v="Patiala"/>
    <x v="1"/>
    <x v="1"/>
    <n v="6"/>
    <x v="1"/>
    <n v="1"/>
    <s v="Shipped"/>
  </r>
  <r>
    <s v="ORD00862"/>
    <x v="176"/>
    <s v="CUST246"/>
    <s v="Priya"/>
    <x v="1"/>
    <n v="39"/>
    <x v="7"/>
    <x v="1"/>
    <x v="7"/>
    <x v="2"/>
    <n v="2"/>
    <n v="26834"/>
    <n v="20"/>
    <n v="10733.6"/>
    <n v="7728.19"/>
    <n v="488"/>
    <n v="51150.59"/>
    <x v="2"/>
    <x v="0"/>
    <s v="Mumbai"/>
    <x v="0"/>
    <x v="0"/>
    <n v="8"/>
    <x v="1"/>
    <n v="4"/>
    <s v="Shipped"/>
  </r>
  <r>
    <s v="ORD00863"/>
    <x v="57"/>
    <s v="CUST635"/>
    <s v="Riya"/>
    <x v="1"/>
    <n v="52"/>
    <x v="1"/>
    <x v="0"/>
    <x v="1"/>
    <x v="0"/>
    <n v="4"/>
    <n v="43417"/>
    <n v="20"/>
    <n v="34733.599999999999"/>
    <n v="25008.19"/>
    <n v="360"/>
    <n v="164302.59"/>
    <x v="0"/>
    <x v="1"/>
    <s v="Mumbai"/>
    <x v="0"/>
    <x v="0"/>
    <n v="5"/>
    <x v="0"/>
    <n v="1"/>
    <s v="Shipped"/>
  </r>
  <r>
    <s v="ORD00864"/>
    <x v="317"/>
    <s v="CUST293"/>
    <s v="Anjali"/>
    <x v="0"/>
    <n v="33"/>
    <x v="3"/>
    <x v="2"/>
    <x v="3"/>
    <x v="4"/>
    <n v="5"/>
    <n v="36728"/>
    <n v="10"/>
    <n v="18364"/>
    <n v="29749.68"/>
    <n v="119"/>
    <n v="195144.68"/>
    <x v="2"/>
    <x v="1"/>
    <s v="Delhi"/>
    <x v="5"/>
    <x v="1"/>
    <n v="1"/>
    <x v="1"/>
    <n v="4"/>
    <s v="Delivered"/>
  </r>
  <r>
    <s v="ORD00865"/>
    <x v="236"/>
    <s v="CUST482"/>
    <s v="Anjali"/>
    <x v="0"/>
    <n v="25"/>
    <x v="6"/>
    <x v="0"/>
    <x v="6"/>
    <x v="7"/>
    <n v="1"/>
    <n v="41533"/>
    <n v="0"/>
    <n v="0"/>
    <n v="7475.94"/>
    <n v="229"/>
    <n v="49237.94"/>
    <x v="3"/>
    <x v="0"/>
    <s v="Pune"/>
    <x v="0"/>
    <x v="0"/>
    <n v="2"/>
    <x v="1"/>
    <n v="5"/>
    <s v="Shipped"/>
  </r>
  <r>
    <s v="ORD00866"/>
    <x v="26"/>
    <s v="CUST379"/>
    <s v="Rahul"/>
    <x v="0"/>
    <n v="55"/>
    <x v="5"/>
    <x v="0"/>
    <x v="5"/>
    <x v="6"/>
    <n v="5"/>
    <n v="30419"/>
    <n v="10"/>
    <n v="15209.5"/>
    <n v="24639.39"/>
    <n v="45"/>
    <n v="161569.89000000001"/>
    <x v="1"/>
    <x v="0"/>
    <s v="Pune"/>
    <x v="0"/>
    <x v="0"/>
    <n v="3"/>
    <x v="0"/>
    <n v="4"/>
    <s v="Shipped"/>
  </r>
  <r>
    <s v="ORD00867"/>
    <x v="310"/>
    <s v="CUST366"/>
    <s v="Sneha"/>
    <x v="1"/>
    <n v="24"/>
    <x v="4"/>
    <x v="0"/>
    <x v="4"/>
    <x v="5"/>
    <n v="3"/>
    <n v="41505"/>
    <n v="20"/>
    <n v="24903"/>
    <n v="17930.16"/>
    <n v="297"/>
    <n v="117839.16"/>
    <x v="0"/>
    <x v="1"/>
    <s v="Mumbai"/>
    <x v="0"/>
    <x v="0"/>
    <n v="1"/>
    <x v="0"/>
    <n v="3"/>
    <s v="Delivered"/>
  </r>
  <r>
    <s v="ORD00868"/>
    <x v="195"/>
    <s v="CUST770"/>
    <s v="Neha"/>
    <x v="0"/>
    <n v="49"/>
    <x v="2"/>
    <x v="1"/>
    <x v="2"/>
    <x v="0"/>
    <n v="3"/>
    <n v="5310"/>
    <n v="10"/>
    <n v="1593"/>
    <n v="2580.66"/>
    <n v="400"/>
    <n v="17317.66"/>
    <x v="0"/>
    <x v="1"/>
    <s v="Delhi"/>
    <x v="5"/>
    <x v="1"/>
    <n v="6"/>
    <x v="0"/>
    <n v="5"/>
    <s v="Returned"/>
  </r>
  <r>
    <s v="ORD00869"/>
    <x v="252"/>
    <s v="CUST580"/>
    <s v="Anjali"/>
    <x v="1"/>
    <n v="32"/>
    <x v="8"/>
    <x v="0"/>
    <x v="8"/>
    <x v="8"/>
    <n v="4"/>
    <n v="14528"/>
    <n v="20"/>
    <n v="11622.4"/>
    <n v="8368.1299999999992"/>
    <n v="121"/>
    <n v="54978.73"/>
    <x v="1"/>
    <x v="0"/>
    <s v="Chandigarh"/>
    <x v="1"/>
    <x v="1"/>
    <n v="7"/>
    <x v="0"/>
    <n v="5"/>
    <s v="Cancelled"/>
  </r>
  <r>
    <s v="ORD00870"/>
    <x v="122"/>
    <s v="CUST103"/>
    <s v="Priya"/>
    <x v="1"/>
    <n v="34"/>
    <x v="7"/>
    <x v="1"/>
    <x v="7"/>
    <x v="8"/>
    <n v="4"/>
    <n v="29992"/>
    <n v="5"/>
    <n v="5998.4"/>
    <n v="20514.53"/>
    <n v="338"/>
    <n v="134822.13"/>
    <x v="3"/>
    <x v="1"/>
    <s v="Patiala"/>
    <x v="1"/>
    <x v="1"/>
    <n v="4"/>
    <x v="1"/>
    <n v="2"/>
    <s v="Cancelled"/>
  </r>
  <r>
    <s v="ORD00871"/>
    <x v="6"/>
    <s v="CUST210"/>
    <s v="Arjun"/>
    <x v="0"/>
    <n v="28"/>
    <x v="1"/>
    <x v="0"/>
    <x v="1"/>
    <x v="8"/>
    <n v="4"/>
    <n v="29117"/>
    <n v="15"/>
    <n v="17470.2"/>
    <n v="17819.599999999999"/>
    <n v="300"/>
    <n v="117117.4"/>
    <x v="1"/>
    <x v="0"/>
    <s v="Pune"/>
    <x v="0"/>
    <x v="0"/>
    <n v="9"/>
    <x v="0"/>
    <n v="5"/>
    <s v="Cancelled"/>
  </r>
  <r>
    <s v="ORD00872"/>
    <x v="96"/>
    <s v="CUST685"/>
    <s v="Rahul"/>
    <x v="0"/>
    <n v="32"/>
    <x v="1"/>
    <x v="0"/>
    <x v="1"/>
    <x v="0"/>
    <n v="1"/>
    <n v="6441"/>
    <n v="20"/>
    <n v="1288.2"/>
    <n v="927.5"/>
    <n v="124"/>
    <n v="6204.3"/>
    <x v="1"/>
    <x v="0"/>
    <s v="Jaipur"/>
    <x v="2"/>
    <x v="1"/>
    <n v="7"/>
    <x v="0"/>
    <n v="3"/>
    <s v="Shipped"/>
  </r>
  <r>
    <s v="ORD00873"/>
    <x v="112"/>
    <s v="CUST376"/>
    <s v="Vikas"/>
    <x v="0"/>
    <n v="25"/>
    <x v="3"/>
    <x v="2"/>
    <x v="3"/>
    <x v="6"/>
    <n v="3"/>
    <n v="23228"/>
    <n v="15"/>
    <n v="10452.6"/>
    <n v="10661.65"/>
    <n v="74"/>
    <n v="69967.05"/>
    <x v="2"/>
    <x v="1"/>
    <s v="Bangalore"/>
    <x v="3"/>
    <x v="2"/>
    <n v="4"/>
    <x v="1"/>
    <n v="2"/>
    <s v="Returned"/>
  </r>
  <r>
    <s v="ORD00874"/>
    <x v="301"/>
    <s v="CUST528"/>
    <s v="Karan"/>
    <x v="0"/>
    <n v="53"/>
    <x v="0"/>
    <x v="0"/>
    <x v="0"/>
    <x v="2"/>
    <n v="5"/>
    <n v="13705"/>
    <n v="20"/>
    <n v="13705"/>
    <n v="9867.6"/>
    <n v="26"/>
    <n v="64713.599999999999"/>
    <x v="0"/>
    <x v="0"/>
    <s v="Jaipur"/>
    <x v="2"/>
    <x v="1"/>
    <n v="4"/>
    <x v="1"/>
    <n v="3"/>
    <s v="Shipped"/>
  </r>
  <r>
    <s v="ORD00875"/>
    <x v="331"/>
    <s v="CUST894"/>
    <s v="Neha"/>
    <x v="0"/>
    <n v="38"/>
    <x v="3"/>
    <x v="2"/>
    <x v="3"/>
    <x v="2"/>
    <n v="2"/>
    <n v="48561"/>
    <n v="20"/>
    <n v="19424.400000000001"/>
    <n v="13985.57"/>
    <n v="179"/>
    <n v="91862.17"/>
    <x v="1"/>
    <x v="0"/>
    <s v="Bangalore"/>
    <x v="3"/>
    <x v="2"/>
    <n v="1"/>
    <x v="1"/>
    <n v="2"/>
    <s v="Cancelled"/>
  </r>
  <r>
    <s v="ORD00876"/>
    <x v="305"/>
    <s v="CUST458"/>
    <s v="Anjali"/>
    <x v="1"/>
    <n v="28"/>
    <x v="2"/>
    <x v="1"/>
    <x v="2"/>
    <x v="7"/>
    <n v="2"/>
    <n v="17048"/>
    <n v="10"/>
    <n v="3409.6"/>
    <n v="5523.55"/>
    <n v="126"/>
    <n v="36335.949999999997"/>
    <x v="0"/>
    <x v="1"/>
    <s v="Jaipur"/>
    <x v="2"/>
    <x v="1"/>
    <n v="6"/>
    <x v="0"/>
    <n v="2"/>
    <s v="Delivered"/>
  </r>
  <r>
    <s v="ORD00877"/>
    <x v="172"/>
    <s v="CUST929"/>
    <s v="Priya"/>
    <x v="0"/>
    <n v="55"/>
    <x v="1"/>
    <x v="0"/>
    <x v="1"/>
    <x v="7"/>
    <n v="2"/>
    <n v="46981"/>
    <n v="0"/>
    <n v="0"/>
    <n v="16913.16"/>
    <n v="252"/>
    <n v="111127.16"/>
    <x v="3"/>
    <x v="0"/>
    <s v="Mumbai"/>
    <x v="0"/>
    <x v="0"/>
    <n v="4"/>
    <x v="1"/>
    <n v="1"/>
    <s v="Delivered"/>
  </r>
  <r>
    <s v="ORD00878"/>
    <x v="206"/>
    <s v="CUST537"/>
    <s v="Sneha"/>
    <x v="0"/>
    <n v="59"/>
    <x v="4"/>
    <x v="0"/>
    <x v="4"/>
    <x v="7"/>
    <n v="3"/>
    <n v="42665"/>
    <n v="10"/>
    <n v="12799.5"/>
    <n v="20735.189999999999"/>
    <n v="452"/>
    <n v="136382.69"/>
    <x v="0"/>
    <x v="1"/>
    <s v="Delhi"/>
    <x v="5"/>
    <x v="1"/>
    <n v="1"/>
    <x v="0"/>
    <n v="3"/>
    <s v="Cancelled"/>
  </r>
  <r>
    <s v="ORD00879"/>
    <x v="216"/>
    <s v="CUST419"/>
    <s v="Sneha"/>
    <x v="0"/>
    <n v="42"/>
    <x v="4"/>
    <x v="0"/>
    <x v="4"/>
    <x v="8"/>
    <n v="3"/>
    <n v="33362"/>
    <n v="0"/>
    <n v="0"/>
    <n v="18015.48"/>
    <n v="429"/>
    <n v="118530.48"/>
    <x v="0"/>
    <x v="1"/>
    <s v="Lucknow"/>
    <x v="4"/>
    <x v="1"/>
    <n v="1"/>
    <x v="0"/>
    <n v="2"/>
    <s v="Returned"/>
  </r>
  <r>
    <s v="ORD00880"/>
    <x v="239"/>
    <s v="CUST510"/>
    <s v="Riya"/>
    <x v="0"/>
    <n v="45"/>
    <x v="8"/>
    <x v="0"/>
    <x v="8"/>
    <x v="4"/>
    <n v="1"/>
    <n v="4860"/>
    <n v="10"/>
    <n v="486"/>
    <n v="787.32"/>
    <n v="245"/>
    <n v="5406.32"/>
    <x v="0"/>
    <x v="1"/>
    <s v="Delhi"/>
    <x v="5"/>
    <x v="1"/>
    <n v="9"/>
    <x v="1"/>
    <n v="5"/>
    <s v="Cancelled"/>
  </r>
  <r>
    <s v="ORD00881"/>
    <x v="1"/>
    <s v="CUST979"/>
    <s v="Rahul"/>
    <x v="1"/>
    <n v="34"/>
    <x v="0"/>
    <x v="0"/>
    <x v="0"/>
    <x v="9"/>
    <n v="3"/>
    <n v="39078"/>
    <n v="15"/>
    <n v="17585.099999999999"/>
    <n v="17936.8"/>
    <n v="64"/>
    <n v="117649.7"/>
    <x v="2"/>
    <x v="1"/>
    <s v="Pune"/>
    <x v="0"/>
    <x v="0"/>
    <n v="7"/>
    <x v="0"/>
    <n v="1"/>
    <s v="Shipped"/>
  </r>
  <r>
    <s v="ORD00882"/>
    <x v="290"/>
    <s v="CUST999"/>
    <s v="Neha"/>
    <x v="1"/>
    <n v="47"/>
    <x v="7"/>
    <x v="1"/>
    <x v="7"/>
    <x v="1"/>
    <n v="5"/>
    <n v="5258"/>
    <n v="15"/>
    <n v="3943.5"/>
    <n v="4022.37"/>
    <n v="359"/>
    <n v="26727.87"/>
    <x v="0"/>
    <x v="1"/>
    <s v="Patiala"/>
    <x v="1"/>
    <x v="1"/>
    <n v="10"/>
    <x v="0"/>
    <n v="2"/>
    <s v="Cancelled"/>
  </r>
  <r>
    <s v="ORD00883"/>
    <x v="319"/>
    <s v="CUST321"/>
    <s v="Priya"/>
    <x v="0"/>
    <n v="31"/>
    <x v="1"/>
    <x v="0"/>
    <x v="1"/>
    <x v="0"/>
    <n v="5"/>
    <n v="13845"/>
    <n v="15"/>
    <n v="10383.75"/>
    <n v="10591.42"/>
    <n v="169"/>
    <n v="69601.679999999993"/>
    <x v="2"/>
    <x v="1"/>
    <s v="Pune"/>
    <x v="0"/>
    <x v="0"/>
    <n v="10"/>
    <x v="0"/>
    <n v="5"/>
    <s v="Returned"/>
  </r>
  <r>
    <s v="ORD00884"/>
    <x v="65"/>
    <s v="CUST575"/>
    <s v="Karan"/>
    <x v="0"/>
    <n v="19"/>
    <x v="0"/>
    <x v="0"/>
    <x v="0"/>
    <x v="6"/>
    <n v="3"/>
    <n v="39216"/>
    <n v="20"/>
    <n v="23529.599999999999"/>
    <n v="16941.310000000001"/>
    <n v="13"/>
    <n v="111072.71"/>
    <x v="0"/>
    <x v="1"/>
    <s v="Delhi"/>
    <x v="5"/>
    <x v="1"/>
    <n v="1"/>
    <x v="1"/>
    <n v="4"/>
    <s v="Delivered"/>
  </r>
  <r>
    <s v="ORD00885"/>
    <x v="141"/>
    <s v="CUST250"/>
    <s v="Neha"/>
    <x v="1"/>
    <n v="40"/>
    <x v="2"/>
    <x v="1"/>
    <x v="2"/>
    <x v="3"/>
    <n v="5"/>
    <n v="21764"/>
    <n v="20"/>
    <n v="21764"/>
    <n v="15670.08"/>
    <n v="260"/>
    <n v="102986.08"/>
    <x v="2"/>
    <x v="0"/>
    <s v="Patiala"/>
    <x v="1"/>
    <x v="1"/>
    <n v="2"/>
    <x v="1"/>
    <n v="4"/>
    <s v="Delivered"/>
  </r>
  <r>
    <s v="ORD00886"/>
    <x v="88"/>
    <s v="CUST916"/>
    <s v="Priya"/>
    <x v="0"/>
    <n v="21"/>
    <x v="9"/>
    <x v="0"/>
    <x v="9"/>
    <x v="2"/>
    <n v="1"/>
    <n v="35662"/>
    <n v="20"/>
    <n v="7132.4"/>
    <n v="5135.33"/>
    <n v="390"/>
    <n v="34054.93"/>
    <x v="0"/>
    <x v="1"/>
    <s v="Lucknow"/>
    <x v="4"/>
    <x v="1"/>
    <n v="5"/>
    <x v="1"/>
    <n v="3"/>
    <s v="Returned"/>
  </r>
  <r>
    <s v="ORD00887"/>
    <x v="22"/>
    <s v="CUST553"/>
    <s v="Anjali"/>
    <x v="0"/>
    <n v="26"/>
    <x v="9"/>
    <x v="0"/>
    <x v="9"/>
    <x v="7"/>
    <n v="2"/>
    <n v="32832"/>
    <n v="10"/>
    <n v="6566.4"/>
    <n v="10637.57"/>
    <n v="492"/>
    <n v="70227.17"/>
    <x v="1"/>
    <x v="1"/>
    <s v="Delhi"/>
    <x v="5"/>
    <x v="1"/>
    <n v="3"/>
    <x v="1"/>
    <n v="4"/>
    <s v="Delivered"/>
  </r>
  <r>
    <s v="ORD00888"/>
    <x v="128"/>
    <s v="CUST957"/>
    <s v="Anjali"/>
    <x v="1"/>
    <n v="51"/>
    <x v="9"/>
    <x v="0"/>
    <x v="9"/>
    <x v="2"/>
    <n v="5"/>
    <n v="42505"/>
    <n v="15"/>
    <n v="31878.75"/>
    <n v="32516.32"/>
    <n v="414"/>
    <n v="213576.58"/>
    <x v="1"/>
    <x v="0"/>
    <s v="Mumbai"/>
    <x v="0"/>
    <x v="0"/>
    <n v="7"/>
    <x v="0"/>
    <n v="2"/>
    <s v="Returned"/>
  </r>
  <r>
    <s v="ORD00889"/>
    <x v="149"/>
    <s v="CUST179"/>
    <s v="Neha"/>
    <x v="0"/>
    <n v="60"/>
    <x v="0"/>
    <x v="0"/>
    <x v="0"/>
    <x v="5"/>
    <n v="4"/>
    <n v="42685"/>
    <n v="20"/>
    <n v="34148"/>
    <n v="24586.560000000001"/>
    <n v="281"/>
    <n v="161459.56"/>
    <x v="2"/>
    <x v="0"/>
    <s v="Patiala"/>
    <x v="1"/>
    <x v="1"/>
    <n v="4"/>
    <x v="1"/>
    <n v="4"/>
    <s v="Delivered"/>
  </r>
  <r>
    <s v="ORD00890"/>
    <x v="244"/>
    <s v="CUST935"/>
    <s v="Rahul"/>
    <x v="0"/>
    <n v="42"/>
    <x v="6"/>
    <x v="0"/>
    <x v="6"/>
    <x v="8"/>
    <n v="4"/>
    <n v="38588"/>
    <n v="5"/>
    <n v="7717.6"/>
    <n v="26394.19"/>
    <n v="304"/>
    <n v="173332.59"/>
    <x v="1"/>
    <x v="0"/>
    <s v="Jaipur"/>
    <x v="2"/>
    <x v="1"/>
    <n v="10"/>
    <x v="1"/>
    <n v="3"/>
    <s v="Cancelled"/>
  </r>
  <r>
    <s v="ORD00891"/>
    <x v="324"/>
    <s v="CUST512"/>
    <s v="Priya"/>
    <x v="1"/>
    <n v="27"/>
    <x v="1"/>
    <x v="0"/>
    <x v="1"/>
    <x v="2"/>
    <n v="4"/>
    <n v="13547"/>
    <n v="15"/>
    <n v="8128.2"/>
    <n v="8290.76"/>
    <n v="303"/>
    <n v="54653.56"/>
    <x v="0"/>
    <x v="0"/>
    <s v="Delhi"/>
    <x v="5"/>
    <x v="1"/>
    <n v="3"/>
    <x v="1"/>
    <n v="4"/>
    <s v="Delivered"/>
  </r>
  <r>
    <s v="ORD00892"/>
    <x v="58"/>
    <s v="CUST271"/>
    <s v="Rahul"/>
    <x v="1"/>
    <n v="53"/>
    <x v="7"/>
    <x v="1"/>
    <x v="7"/>
    <x v="2"/>
    <n v="3"/>
    <n v="21239"/>
    <n v="0"/>
    <n v="0"/>
    <n v="11469.06"/>
    <n v="442"/>
    <n v="75628.06"/>
    <x v="1"/>
    <x v="0"/>
    <s v="Jaipur"/>
    <x v="2"/>
    <x v="1"/>
    <n v="2"/>
    <x v="1"/>
    <n v="3"/>
    <s v="Shipped"/>
  </r>
  <r>
    <s v="ORD00893"/>
    <x v="205"/>
    <s v="CUST485"/>
    <s v="Riya"/>
    <x v="1"/>
    <n v="31"/>
    <x v="1"/>
    <x v="0"/>
    <x v="1"/>
    <x v="1"/>
    <n v="5"/>
    <n v="29270"/>
    <n v="5"/>
    <n v="7317.5"/>
    <n v="25025.85"/>
    <n v="96"/>
    <n v="164154.35"/>
    <x v="0"/>
    <x v="0"/>
    <s v="Chandigarh"/>
    <x v="1"/>
    <x v="1"/>
    <n v="3"/>
    <x v="1"/>
    <n v="5"/>
    <s v="Cancelled"/>
  </r>
  <r>
    <s v="ORD00894"/>
    <x v="269"/>
    <s v="CUST325"/>
    <s v="Neha"/>
    <x v="0"/>
    <n v="50"/>
    <x v="8"/>
    <x v="0"/>
    <x v="8"/>
    <x v="6"/>
    <n v="2"/>
    <n v="21419"/>
    <n v="5"/>
    <n v="2141.9"/>
    <n v="7325.3"/>
    <n v="117"/>
    <n v="48138.400000000001"/>
    <x v="1"/>
    <x v="0"/>
    <s v="Patiala"/>
    <x v="1"/>
    <x v="1"/>
    <n v="4"/>
    <x v="0"/>
    <n v="5"/>
    <s v="Cancelled"/>
  </r>
  <r>
    <s v="ORD00895"/>
    <x v="218"/>
    <s v="CUST900"/>
    <s v="Rahul"/>
    <x v="1"/>
    <n v="32"/>
    <x v="2"/>
    <x v="1"/>
    <x v="2"/>
    <x v="4"/>
    <n v="1"/>
    <n v="49049"/>
    <n v="0"/>
    <n v="0"/>
    <n v="8828.82"/>
    <n v="224"/>
    <n v="58101.82"/>
    <x v="1"/>
    <x v="1"/>
    <s v="Chandigarh"/>
    <x v="1"/>
    <x v="1"/>
    <n v="5"/>
    <x v="1"/>
    <n v="1"/>
    <s v="Delivered"/>
  </r>
  <r>
    <s v="ORD00896"/>
    <x v="140"/>
    <s v="CUST908"/>
    <s v="Anjali"/>
    <x v="1"/>
    <n v="19"/>
    <x v="5"/>
    <x v="0"/>
    <x v="5"/>
    <x v="5"/>
    <n v="3"/>
    <n v="49307"/>
    <n v="5"/>
    <n v="7396.05"/>
    <n v="25294.49"/>
    <n v="113"/>
    <n v="165932.44"/>
    <x v="2"/>
    <x v="0"/>
    <s v="Jaipur"/>
    <x v="2"/>
    <x v="1"/>
    <n v="8"/>
    <x v="0"/>
    <n v="3"/>
    <s v="Delivered"/>
  </r>
  <r>
    <s v="ORD00897"/>
    <x v="265"/>
    <s v="CUST694"/>
    <s v="Neha"/>
    <x v="1"/>
    <n v="50"/>
    <x v="0"/>
    <x v="0"/>
    <x v="0"/>
    <x v="1"/>
    <n v="1"/>
    <n v="16899"/>
    <n v="15"/>
    <n v="2534.85"/>
    <n v="2585.5500000000002"/>
    <n v="2"/>
    <n v="16951.7"/>
    <x v="2"/>
    <x v="0"/>
    <s v="Patiala"/>
    <x v="1"/>
    <x v="1"/>
    <n v="10"/>
    <x v="0"/>
    <n v="4"/>
    <s v="Delivered"/>
  </r>
  <r>
    <s v="ORD00898"/>
    <x v="139"/>
    <s v="CUST546"/>
    <s v="Priya"/>
    <x v="1"/>
    <n v="30"/>
    <x v="7"/>
    <x v="1"/>
    <x v="7"/>
    <x v="2"/>
    <n v="3"/>
    <n v="48086"/>
    <n v="5"/>
    <n v="7212.9"/>
    <n v="24668.12"/>
    <n v="82"/>
    <n v="161795.22"/>
    <x v="3"/>
    <x v="1"/>
    <s v="Pune"/>
    <x v="0"/>
    <x v="0"/>
    <n v="6"/>
    <x v="1"/>
    <n v="1"/>
    <s v="Shipped"/>
  </r>
  <r>
    <s v="ORD00899"/>
    <x v="309"/>
    <s v="CUST804"/>
    <s v="Amit"/>
    <x v="1"/>
    <n v="59"/>
    <x v="6"/>
    <x v="0"/>
    <x v="6"/>
    <x v="6"/>
    <n v="2"/>
    <n v="39784"/>
    <n v="10"/>
    <n v="7956.8"/>
    <n v="12890.02"/>
    <n v="184"/>
    <n v="84685.22"/>
    <x v="1"/>
    <x v="1"/>
    <s v="Pune"/>
    <x v="0"/>
    <x v="0"/>
    <n v="6"/>
    <x v="0"/>
    <n v="3"/>
    <s v="Shipped"/>
  </r>
  <r>
    <s v="ORD00900"/>
    <x v="1"/>
    <s v="CUST294"/>
    <s v="Neha"/>
    <x v="0"/>
    <n v="58"/>
    <x v="8"/>
    <x v="0"/>
    <x v="8"/>
    <x v="7"/>
    <n v="1"/>
    <n v="17849"/>
    <n v="15"/>
    <n v="2677.35"/>
    <n v="2730.9"/>
    <n v="268"/>
    <n v="18170.55"/>
    <x v="3"/>
    <x v="1"/>
    <s v="Pune"/>
    <x v="0"/>
    <x v="0"/>
    <n v="3"/>
    <x v="0"/>
    <n v="4"/>
    <s v="Shipped"/>
  </r>
  <r>
    <s v="ORD00901"/>
    <x v="53"/>
    <s v="CUST345"/>
    <s v="Neha"/>
    <x v="0"/>
    <n v="18"/>
    <x v="2"/>
    <x v="1"/>
    <x v="2"/>
    <x v="5"/>
    <n v="4"/>
    <n v="22659"/>
    <n v="15"/>
    <n v="13595.4"/>
    <n v="13867.31"/>
    <n v="374"/>
    <n v="91281.91"/>
    <x v="0"/>
    <x v="0"/>
    <s v="Chandigarh"/>
    <x v="1"/>
    <x v="1"/>
    <n v="6"/>
    <x v="1"/>
    <n v="5"/>
    <s v="Shipped"/>
  </r>
  <r>
    <s v="ORD00902"/>
    <x v="220"/>
    <s v="CUST943"/>
    <s v="Amit"/>
    <x v="0"/>
    <n v="32"/>
    <x v="5"/>
    <x v="0"/>
    <x v="5"/>
    <x v="0"/>
    <n v="4"/>
    <n v="34273"/>
    <n v="0"/>
    <n v="0"/>
    <n v="24676.560000000001"/>
    <n v="420"/>
    <n v="162188.56"/>
    <x v="3"/>
    <x v="1"/>
    <s v="Bangalore"/>
    <x v="3"/>
    <x v="2"/>
    <n v="10"/>
    <x v="1"/>
    <n v="2"/>
    <s v="Returned"/>
  </r>
  <r>
    <s v="ORD00903"/>
    <x v="209"/>
    <s v="CUST120"/>
    <s v="Riya"/>
    <x v="1"/>
    <n v="26"/>
    <x v="2"/>
    <x v="1"/>
    <x v="2"/>
    <x v="0"/>
    <n v="1"/>
    <n v="5894"/>
    <n v="20"/>
    <n v="1178.8"/>
    <n v="848.74"/>
    <n v="203"/>
    <n v="5766.94"/>
    <x v="2"/>
    <x v="1"/>
    <s v="Delhi"/>
    <x v="5"/>
    <x v="1"/>
    <n v="10"/>
    <x v="0"/>
    <n v="2"/>
    <s v="Delivered"/>
  </r>
  <r>
    <s v="ORD00904"/>
    <x v="290"/>
    <s v="CUST702"/>
    <s v="Amit"/>
    <x v="1"/>
    <n v="53"/>
    <x v="1"/>
    <x v="0"/>
    <x v="1"/>
    <x v="1"/>
    <n v="5"/>
    <n v="31840"/>
    <n v="20"/>
    <n v="31840"/>
    <n v="22924.799999999999"/>
    <n v="434"/>
    <n v="150718.79999999999"/>
    <x v="2"/>
    <x v="0"/>
    <s v="Jaipur"/>
    <x v="2"/>
    <x v="1"/>
    <n v="7"/>
    <x v="0"/>
    <n v="1"/>
    <s v="Returned"/>
  </r>
  <r>
    <s v="ORD00905"/>
    <x v="260"/>
    <s v="CUST703"/>
    <s v="Amit"/>
    <x v="1"/>
    <n v="44"/>
    <x v="3"/>
    <x v="2"/>
    <x v="3"/>
    <x v="0"/>
    <n v="1"/>
    <n v="3751"/>
    <n v="10"/>
    <n v="375.1"/>
    <n v="607.66"/>
    <n v="21"/>
    <n v="4004.56"/>
    <x v="2"/>
    <x v="1"/>
    <s v="Lucknow"/>
    <x v="4"/>
    <x v="1"/>
    <n v="6"/>
    <x v="1"/>
    <n v="5"/>
    <s v="Delivered"/>
  </r>
  <r>
    <s v="ORD00906"/>
    <x v="10"/>
    <s v="CUST344"/>
    <s v="Neha"/>
    <x v="0"/>
    <n v="43"/>
    <x v="0"/>
    <x v="0"/>
    <x v="0"/>
    <x v="2"/>
    <n v="1"/>
    <n v="9225"/>
    <n v="5"/>
    <n v="461.25"/>
    <n v="1577.47"/>
    <n v="455"/>
    <n v="10796.23"/>
    <x v="0"/>
    <x v="0"/>
    <s v="Lucknow"/>
    <x v="4"/>
    <x v="1"/>
    <n v="1"/>
    <x v="1"/>
    <n v="3"/>
    <s v="Shipped"/>
  </r>
  <r>
    <s v="ORD00907"/>
    <x v="169"/>
    <s v="CUST917"/>
    <s v="Riya"/>
    <x v="1"/>
    <n v="44"/>
    <x v="8"/>
    <x v="0"/>
    <x v="8"/>
    <x v="5"/>
    <n v="1"/>
    <n v="6372"/>
    <n v="0"/>
    <n v="0"/>
    <n v="1146.96"/>
    <n v="422"/>
    <n v="7940.96"/>
    <x v="2"/>
    <x v="0"/>
    <s v="Pune"/>
    <x v="0"/>
    <x v="0"/>
    <n v="8"/>
    <x v="0"/>
    <n v="1"/>
    <s v="Shipped"/>
  </r>
  <r>
    <s v="ORD00908"/>
    <x v="332"/>
    <s v="CUST853"/>
    <s v="Sneha"/>
    <x v="0"/>
    <n v="24"/>
    <x v="2"/>
    <x v="1"/>
    <x v="2"/>
    <x v="0"/>
    <n v="5"/>
    <n v="49982"/>
    <n v="10"/>
    <n v="24991"/>
    <n v="40485.42"/>
    <n v="205"/>
    <n v="265609.42"/>
    <x v="1"/>
    <x v="1"/>
    <s v="Delhi"/>
    <x v="5"/>
    <x v="1"/>
    <n v="1"/>
    <x v="1"/>
    <n v="1"/>
    <s v="Shipped"/>
  </r>
  <r>
    <s v="ORD00909"/>
    <x v="225"/>
    <s v="CUST948"/>
    <s v="Rahul"/>
    <x v="0"/>
    <n v="44"/>
    <x v="3"/>
    <x v="2"/>
    <x v="3"/>
    <x v="0"/>
    <n v="5"/>
    <n v="35237"/>
    <n v="10"/>
    <n v="17618.5"/>
    <n v="28541.97"/>
    <n v="14"/>
    <n v="187122.47"/>
    <x v="1"/>
    <x v="1"/>
    <s v="Pune"/>
    <x v="0"/>
    <x v="0"/>
    <n v="1"/>
    <x v="1"/>
    <n v="4"/>
    <s v="Returned"/>
  </r>
  <r>
    <s v="ORD00910"/>
    <x v="123"/>
    <s v="CUST763"/>
    <s v="Arjun"/>
    <x v="1"/>
    <n v="47"/>
    <x v="2"/>
    <x v="1"/>
    <x v="2"/>
    <x v="7"/>
    <n v="4"/>
    <n v="26654"/>
    <n v="15"/>
    <n v="15992.4"/>
    <n v="16312.25"/>
    <n v="222"/>
    <n v="107157.85"/>
    <x v="0"/>
    <x v="1"/>
    <s v="Mumbai"/>
    <x v="0"/>
    <x v="0"/>
    <n v="3"/>
    <x v="0"/>
    <n v="2"/>
    <s v="Delivered"/>
  </r>
  <r>
    <s v="ORD00911"/>
    <x v="98"/>
    <s v="CUST287"/>
    <s v="Amit"/>
    <x v="0"/>
    <n v="25"/>
    <x v="8"/>
    <x v="0"/>
    <x v="8"/>
    <x v="5"/>
    <n v="3"/>
    <n v="12886"/>
    <n v="5"/>
    <n v="1932.9"/>
    <n v="6610.52"/>
    <n v="485"/>
    <n v="43820.62"/>
    <x v="3"/>
    <x v="0"/>
    <s v="Chandigarh"/>
    <x v="1"/>
    <x v="1"/>
    <n v="2"/>
    <x v="1"/>
    <n v="3"/>
    <s v="Cancelled"/>
  </r>
  <r>
    <s v="ORD00912"/>
    <x v="106"/>
    <s v="CUST164"/>
    <s v="Riya"/>
    <x v="1"/>
    <n v="28"/>
    <x v="2"/>
    <x v="1"/>
    <x v="2"/>
    <x v="3"/>
    <n v="4"/>
    <n v="35630"/>
    <n v="15"/>
    <n v="21378"/>
    <n v="21805.56"/>
    <n v="107"/>
    <n v="143054.56"/>
    <x v="1"/>
    <x v="1"/>
    <s v="Mumbai"/>
    <x v="0"/>
    <x v="0"/>
    <n v="3"/>
    <x v="0"/>
    <n v="1"/>
    <s v="Returned"/>
  </r>
  <r>
    <s v="ORD00913"/>
    <x v="70"/>
    <s v="CUST107"/>
    <s v="Neha"/>
    <x v="1"/>
    <n v="59"/>
    <x v="9"/>
    <x v="0"/>
    <x v="9"/>
    <x v="8"/>
    <n v="2"/>
    <n v="36760"/>
    <n v="20"/>
    <n v="14704"/>
    <n v="10586.88"/>
    <n v="454"/>
    <n v="69856.88"/>
    <x v="2"/>
    <x v="0"/>
    <s v="Chandigarh"/>
    <x v="1"/>
    <x v="1"/>
    <n v="8"/>
    <x v="1"/>
    <n v="2"/>
    <s v="Shipped"/>
  </r>
  <r>
    <s v="ORD00914"/>
    <x v="233"/>
    <s v="CUST344"/>
    <s v="Riya"/>
    <x v="1"/>
    <n v="49"/>
    <x v="8"/>
    <x v="0"/>
    <x v="8"/>
    <x v="5"/>
    <n v="1"/>
    <n v="18286"/>
    <n v="20"/>
    <n v="3657.2"/>
    <n v="2633.18"/>
    <n v="99"/>
    <n v="17360.98"/>
    <x v="2"/>
    <x v="0"/>
    <s v="Patiala"/>
    <x v="1"/>
    <x v="1"/>
    <n v="3"/>
    <x v="1"/>
    <n v="3"/>
    <s v="Returned"/>
  </r>
  <r>
    <s v="ORD00915"/>
    <x v="205"/>
    <s v="CUST605"/>
    <s v="Karan"/>
    <x v="0"/>
    <n v="52"/>
    <x v="2"/>
    <x v="1"/>
    <x v="2"/>
    <x v="0"/>
    <n v="2"/>
    <n v="25487"/>
    <n v="20"/>
    <n v="10194.799999999999"/>
    <n v="7340.26"/>
    <n v="126"/>
    <n v="48245.46"/>
    <x v="0"/>
    <x v="1"/>
    <s v="Delhi"/>
    <x v="5"/>
    <x v="1"/>
    <n v="4"/>
    <x v="1"/>
    <n v="5"/>
    <s v="Returned"/>
  </r>
  <r>
    <s v="ORD00916"/>
    <x v="296"/>
    <s v="CUST763"/>
    <s v="Riya"/>
    <x v="1"/>
    <n v="51"/>
    <x v="4"/>
    <x v="0"/>
    <x v="4"/>
    <x v="3"/>
    <n v="3"/>
    <n v="3238"/>
    <n v="0"/>
    <n v="0"/>
    <n v="1748.52"/>
    <n v="121"/>
    <n v="11583.52"/>
    <x v="2"/>
    <x v="0"/>
    <s v="Delhi"/>
    <x v="5"/>
    <x v="1"/>
    <n v="3"/>
    <x v="0"/>
    <n v="3"/>
    <s v="Shipped"/>
  </r>
  <r>
    <s v="ORD00917"/>
    <x v="117"/>
    <s v="CUST223"/>
    <s v="Rahul"/>
    <x v="1"/>
    <n v="59"/>
    <x v="7"/>
    <x v="1"/>
    <x v="7"/>
    <x v="8"/>
    <n v="4"/>
    <n v="9369"/>
    <n v="5"/>
    <n v="1873.8"/>
    <n v="6408.4"/>
    <n v="483"/>
    <n v="42493.599999999999"/>
    <x v="0"/>
    <x v="0"/>
    <s v="Bangalore"/>
    <x v="3"/>
    <x v="2"/>
    <n v="2"/>
    <x v="0"/>
    <n v="2"/>
    <s v="Cancelled"/>
  </r>
  <r>
    <s v="ORD00918"/>
    <x v="11"/>
    <s v="CUST283"/>
    <s v="Sneha"/>
    <x v="1"/>
    <n v="20"/>
    <x v="3"/>
    <x v="2"/>
    <x v="3"/>
    <x v="1"/>
    <n v="5"/>
    <n v="7487"/>
    <n v="20"/>
    <n v="7487"/>
    <n v="5390.64"/>
    <n v="492"/>
    <n v="35830.639999999999"/>
    <x v="3"/>
    <x v="0"/>
    <s v="Chandigarh"/>
    <x v="1"/>
    <x v="1"/>
    <n v="4"/>
    <x v="0"/>
    <n v="4"/>
    <s v="Returned"/>
  </r>
  <r>
    <s v="ORD00919"/>
    <x v="68"/>
    <s v="CUST652"/>
    <s v="Anjali"/>
    <x v="0"/>
    <n v="42"/>
    <x v="5"/>
    <x v="0"/>
    <x v="5"/>
    <x v="4"/>
    <n v="5"/>
    <n v="8615"/>
    <n v="5"/>
    <n v="2153.75"/>
    <n v="7365.82"/>
    <n v="143"/>
    <n v="48430.07"/>
    <x v="2"/>
    <x v="0"/>
    <s v="Mumbai"/>
    <x v="0"/>
    <x v="0"/>
    <n v="7"/>
    <x v="0"/>
    <n v="5"/>
    <s v="Delivered"/>
  </r>
  <r>
    <s v="ORD00920"/>
    <x v="169"/>
    <s v="CUST688"/>
    <s v="Amit"/>
    <x v="0"/>
    <n v="47"/>
    <x v="0"/>
    <x v="0"/>
    <x v="0"/>
    <x v="4"/>
    <n v="1"/>
    <n v="17074"/>
    <n v="15"/>
    <n v="2561.1"/>
    <n v="2612.3200000000002"/>
    <n v="197"/>
    <n v="17322.22"/>
    <x v="3"/>
    <x v="1"/>
    <s v="Delhi"/>
    <x v="5"/>
    <x v="1"/>
    <n v="10"/>
    <x v="1"/>
    <n v="2"/>
    <s v="Delivered"/>
  </r>
  <r>
    <s v="ORD00921"/>
    <x v="124"/>
    <s v="CUST454"/>
    <s v="Karan"/>
    <x v="0"/>
    <n v="22"/>
    <x v="6"/>
    <x v="0"/>
    <x v="6"/>
    <x v="4"/>
    <n v="5"/>
    <n v="31555"/>
    <n v="0"/>
    <n v="0"/>
    <n v="28399.5"/>
    <n v="290"/>
    <n v="186464.5"/>
    <x v="3"/>
    <x v="0"/>
    <s v="Jaipur"/>
    <x v="2"/>
    <x v="1"/>
    <n v="5"/>
    <x v="1"/>
    <n v="2"/>
    <s v="Delivered"/>
  </r>
  <r>
    <s v="ORD00922"/>
    <x v="71"/>
    <s v="CUST251"/>
    <s v="Sneha"/>
    <x v="1"/>
    <n v="42"/>
    <x v="5"/>
    <x v="0"/>
    <x v="5"/>
    <x v="8"/>
    <n v="2"/>
    <n v="36468"/>
    <n v="10"/>
    <n v="7293.6"/>
    <n v="11815.63"/>
    <n v="106"/>
    <n v="77564.03"/>
    <x v="0"/>
    <x v="1"/>
    <s v="Lucknow"/>
    <x v="4"/>
    <x v="1"/>
    <n v="7"/>
    <x v="0"/>
    <n v="1"/>
    <s v="Delivered"/>
  </r>
  <r>
    <s v="ORD00923"/>
    <x v="266"/>
    <s v="CUST613"/>
    <s v="Neha"/>
    <x v="0"/>
    <n v="19"/>
    <x v="7"/>
    <x v="1"/>
    <x v="7"/>
    <x v="7"/>
    <n v="1"/>
    <n v="17001"/>
    <n v="20"/>
    <n v="3400.2"/>
    <n v="2448.14"/>
    <n v="72"/>
    <n v="16120.94"/>
    <x v="2"/>
    <x v="0"/>
    <s v="Patiala"/>
    <x v="1"/>
    <x v="1"/>
    <n v="3"/>
    <x v="0"/>
    <n v="4"/>
    <s v="Delivered"/>
  </r>
  <r>
    <s v="ORD00924"/>
    <x v="333"/>
    <s v="CUST764"/>
    <s v="Vikas"/>
    <x v="1"/>
    <n v="24"/>
    <x v="7"/>
    <x v="1"/>
    <x v="7"/>
    <x v="2"/>
    <n v="1"/>
    <n v="2091"/>
    <n v="10"/>
    <n v="209.1"/>
    <n v="338.74"/>
    <n v="95"/>
    <n v="2315.64"/>
    <x v="1"/>
    <x v="1"/>
    <s v="Pune"/>
    <x v="0"/>
    <x v="0"/>
    <n v="4"/>
    <x v="1"/>
    <n v="4"/>
    <s v="Cancelled"/>
  </r>
  <r>
    <s v="ORD00925"/>
    <x v="299"/>
    <s v="CUST685"/>
    <s v="Riya"/>
    <x v="0"/>
    <n v="24"/>
    <x v="4"/>
    <x v="0"/>
    <x v="4"/>
    <x v="9"/>
    <n v="5"/>
    <n v="27061"/>
    <n v="15"/>
    <n v="20295.75"/>
    <n v="20701.669999999998"/>
    <n v="389"/>
    <n v="136099.92000000001"/>
    <x v="2"/>
    <x v="1"/>
    <s v="Jaipur"/>
    <x v="2"/>
    <x v="1"/>
    <n v="4"/>
    <x v="0"/>
    <n v="2"/>
    <s v="Cancelled"/>
  </r>
  <r>
    <s v="ORD00926"/>
    <x v="267"/>
    <s v="CUST300"/>
    <s v="Priya"/>
    <x v="0"/>
    <n v="35"/>
    <x v="4"/>
    <x v="0"/>
    <x v="4"/>
    <x v="5"/>
    <n v="3"/>
    <n v="9812"/>
    <n v="20"/>
    <n v="5887.2"/>
    <n v="4238.78"/>
    <n v="136"/>
    <n v="27923.58"/>
    <x v="1"/>
    <x v="0"/>
    <s v="Delhi"/>
    <x v="5"/>
    <x v="1"/>
    <n v="5"/>
    <x v="1"/>
    <n v="5"/>
    <s v="Cancelled"/>
  </r>
  <r>
    <s v="ORD00927"/>
    <x v="103"/>
    <s v="CUST542"/>
    <s v="Arjun"/>
    <x v="0"/>
    <n v="48"/>
    <x v="8"/>
    <x v="0"/>
    <x v="8"/>
    <x v="1"/>
    <n v="2"/>
    <n v="42773"/>
    <n v="0"/>
    <n v="0"/>
    <n v="15398.28"/>
    <n v="254"/>
    <n v="101198.28"/>
    <x v="1"/>
    <x v="0"/>
    <s v="Pune"/>
    <x v="0"/>
    <x v="0"/>
    <n v="3"/>
    <x v="1"/>
    <n v="2"/>
    <s v="Cancelled"/>
  </r>
  <r>
    <s v="ORD00928"/>
    <x v="304"/>
    <s v="CUST512"/>
    <s v="Priya"/>
    <x v="1"/>
    <n v="42"/>
    <x v="5"/>
    <x v="0"/>
    <x v="5"/>
    <x v="7"/>
    <n v="1"/>
    <n v="14852"/>
    <n v="15"/>
    <n v="2227.8000000000002"/>
    <n v="2272.36"/>
    <n v="109"/>
    <n v="15005.56"/>
    <x v="3"/>
    <x v="1"/>
    <s v="Delhi"/>
    <x v="5"/>
    <x v="1"/>
    <n v="5"/>
    <x v="0"/>
    <n v="5"/>
    <s v="Returned"/>
  </r>
  <r>
    <s v="ORD00929"/>
    <x v="298"/>
    <s v="CUST876"/>
    <s v="Anjali"/>
    <x v="1"/>
    <n v="58"/>
    <x v="9"/>
    <x v="0"/>
    <x v="9"/>
    <x v="3"/>
    <n v="3"/>
    <n v="8496"/>
    <n v="15"/>
    <n v="3823.2"/>
    <n v="3899.66"/>
    <n v="138"/>
    <n v="25702.46"/>
    <x v="0"/>
    <x v="0"/>
    <s v="Delhi"/>
    <x v="5"/>
    <x v="1"/>
    <n v="9"/>
    <x v="0"/>
    <n v="3"/>
    <s v="Shipped"/>
  </r>
  <r>
    <s v="ORD00930"/>
    <x v="250"/>
    <s v="CUST222"/>
    <s v="Anjali"/>
    <x v="1"/>
    <n v="49"/>
    <x v="9"/>
    <x v="0"/>
    <x v="9"/>
    <x v="2"/>
    <n v="3"/>
    <n v="8963"/>
    <n v="20"/>
    <n v="5377.8"/>
    <n v="3872.02"/>
    <n v="168"/>
    <n v="25551.22"/>
    <x v="1"/>
    <x v="0"/>
    <s v="Delhi"/>
    <x v="5"/>
    <x v="1"/>
    <n v="8"/>
    <x v="1"/>
    <n v="1"/>
    <s v="Shipped"/>
  </r>
  <r>
    <s v="ORD00931"/>
    <x v="129"/>
    <s v="CUST108"/>
    <s v="Sneha"/>
    <x v="1"/>
    <n v="41"/>
    <x v="4"/>
    <x v="0"/>
    <x v="4"/>
    <x v="3"/>
    <n v="5"/>
    <n v="13929"/>
    <n v="0"/>
    <n v="0"/>
    <n v="12536.1"/>
    <n v="429"/>
    <n v="82610.100000000006"/>
    <x v="3"/>
    <x v="0"/>
    <s v="Mumbai"/>
    <x v="0"/>
    <x v="0"/>
    <n v="1"/>
    <x v="0"/>
    <n v="2"/>
    <s v="Delivered"/>
  </r>
  <r>
    <s v="ORD00932"/>
    <x v="172"/>
    <s v="CUST917"/>
    <s v="Rahul"/>
    <x v="1"/>
    <n v="20"/>
    <x v="6"/>
    <x v="0"/>
    <x v="6"/>
    <x v="4"/>
    <n v="3"/>
    <n v="5257"/>
    <n v="0"/>
    <n v="0"/>
    <n v="2838.78"/>
    <n v="305"/>
    <n v="18914.78"/>
    <x v="1"/>
    <x v="1"/>
    <s v="Pune"/>
    <x v="0"/>
    <x v="0"/>
    <n v="8"/>
    <x v="1"/>
    <n v="1"/>
    <s v="Cancelled"/>
  </r>
  <r>
    <s v="ORD00933"/>
    <x v="148"/>
    <s v="CUST730"/>
    <s v="Neha"/>
    <x v="0"/>
    <n v="34"/>
    <x v="3"/>
    <x v="2"/>
    <x v="3"/>
    <x v="4"/>
    <n v="5"/>
    <n v="38726"/>
    <n v="10"/>
    <n v="19363"/>
    <n v="31368.06"/>
    <n v="69"/>
    <n v="205704.06"/>
    <x v="1"/>
    <x v="0"/>
    <s v="Bangalore"/>
    <x v="3"/>
    <x v="2"/>
    <n v="5"/>
    <x v="0"/>
    <n v="3"/>
    <s v="Shipped"/>
  </r>
  <r>
    <s v="ORD00934"/>
    <x v="319"/>
    <s v="CUST802"/>
    <s v="Rahul"/>
    <x v="0"/>
    <n v="37"/>
    <x v="9"/>
    <x v="0"/>
    <x v="9"/>
    <x v="3"/>
    <n v="3"/>
    <n v="36827"/>
    <n v="20"/>
    <n v="22096.2"/>
    <n v="15909.26"/>
    <n v="406"/>
    <n v="104700.06"/>
    <x v="3"/>
    <x v="1"/>
    <s v="Jaipur"/>
    <x v="2"/>
    <x v="1"/>
    <n v="2"/>
    <x v="0"/>
    <n v="1"/>
    <s v="Cancelled"/>
  </r>
  <r>
    <s v="ORD00935"/>
    <x v="97"/>
    <s v="CUST176"/>
    <s v="Neha"/>
    <x v="1"/>
    <n v="41"/>
    <x v="4"/>
    <x v="0"/>
    <x v="4"/>
    <x v="4"/>
    <n v="5"/>
    <n v="41450"/>
    <n v="15"/>
    <n v="31087.5"/>
    <n v="31709.25"/>
    <n v="432"/>
    <n v="208303.75"/>
    <x v="3"/>
    <x v="1"/>
    <s v="Lucknow"/>
    <x v="4"/>
    <x v="1"/>
    <n v="10"/>
    <x v="1"/>
    <n v="3"/>
    <s v="Shipped"/>
  </r>
  <r>
    <s v="ORD00936"/>
    <x v="91"/>
    <s v="CUST368"/>
    <s v="Anjali"/>
    <x v="0"/>
    <n v="49"/>
    <x v="7"/>
    <x v="1"/>
    <x v="7"/>
    <x v="1"/>
    <n v="4"/>
    <n v="26576"/>
    <n v="5"/>
    <n v="5315.2"/>
    <n v="18177.98"/>
    <n v="152"/>
    <n v="119318.78"/>
    <x v="1"/>
    <x v="1"/>
    <s v="Delhi"/>
    <x v="5"/>
    <x v="1"/>
    <n v="9"/>
    <x v="1"/>
    <n v="4"/>
    <s v="Shipped"/>
  </r>
  <r>
    <s v="ORD00937"/>
    <x v="108"/>
    <s v="CUST910"/>
    <s v="Arjun"/>
    <x v="1"/>
    <n v="29"/>
    <x v="0"/>
    <x v="0"/>
    <x v="0"/>
    <x v="5"/>
    <n v="1"/>
    <n v="24845"/>
    <n v="5"/>
    <n v="1242.25"/>
    <n v="4248.49"/>
    <n v="17"/>
    <n v="27868.240000000002"/>
    <x v="1"/>
    <x v="0"/>
    <s v="Mumbai"/>
    <x v="0"/>
    <x v="0"/>
    <n v="9"/>
    <x v="1"/>
    <n v="4"/>
    <s v="Delivered"/>
  </r>
  <r>
    <s v="ORD00938"/>
    <x v="189"/>
    <s v="CUST635"/>
    <s v="Riya"/>
    <x v="1"/>
    <n v="55"/>
    <x v="0"/>
    <x v="0"/>
    <x v="0"/>
    <x v="1"/>
    <n v="2"/>
    <n v="49886"/>
    <n v="15"/>
    <n v="14965.8"/>
    <n v="15265.12"/>
    <n v="266"/>
    <n v="100337.32"/>
    <x v="2"/>
    <x v="0"/>
    <s v="Chandigarh"/>
    <x v="1"/>
    <x v="1"/>
    <n v="1"/>
    <x v="0"/>
    <n v="5"/>
    <s v="Shipped"/>
  </r>
  <r>
    <s v="ORD00939"/>
    <x v="334"/>
    <s v="CUST755"/>
    <s v="Anjali"/>
    <x v="0"/>
    <n v="52"/>
    <x v="6"/>
    <x v="0"/>
    <x v="6"/>
    <x v="0"/>
    <n v="5"/>
    <n v="31838"/>
    <n v="15"/>
    <n v="23878.5"/>
    <n v="24356.07"/>
    <n v="154"/>
    <n v="159821.57"/>
    <x v="0"/>
    <x v="0"/>
    <s v="Jaipur"/>
    <x v="2"/>
    <x v="1"/>
    <n v="4"/>
    <x v="0"/>
    <n v="1"/>
    <s v="Shipped"/>
  </r>
  <r>
    <s v="ORD00940"/>
    <x v="282"/>
    <s v="CUST232"/>
    <s v="Riya"/>
    <x v="0"/>
    <n v="43"/>
    <x v="2"/>
    <x v="1"/>
    <x v="2"/>
    <x v="9"/>
    <n v="5"/>
    <n v="41624"/>
    <n v="5"/>
    <n v="10406"/>
    <n v="35588.519999999997"/>
    <n v="290"/>
    <n v="233592.52"/>
    <x v="0"/>
    <x v="0"/>
    <s v="Bangalore"/>
    <x v="3"/>
    <x v="2"/>
    <n v="3"/>
    <x v="0"/>
    <n v="2"/>
    <s v="Shipped"/>
  </r>
  <r>
    <s v="ORD00941"/>
    <x v="67"/>
    <s v="CUST928"/>
    <s v="Karan"/>
    <x v="0"/>
    <n v="40"/>
    <x v="2"/>
    <x v="1"/>
    <x v="2"/>
    <x v="9"/>
    <n v="5"/>
    <n v="7734"/>
    <n v="0"/>
    <n v="0"/>
    <n v="6960.6"/>
    <n v="264"/>
    <n v="45894.6"/>
    <x v="2"/>
    <x v="1"/>
    <s v="Mumbai"/>
    <x v="0"/>
    <x v="0"/>
    <n v="5"/>
    <x v="0"/>
    <n v="5"/>
    <s v="Delivered"/>
  </r>
  <r>
    <s v="ORD00942"/>
    <x v="15"/>
    <s v="CUST468"/>
    <s v="Priya"/>
    <x v="0"/>
    <n v="46"/>
    <x v="3"/>
    <x v="2"/>
    <x v="3"/>
    <x v="9"/>
    <n v="1"/>
    <n v="13846"/>
    <n v="5"/>
    <n v="692.3"/>
    <n v="2367.67"/>
    <n v="300"/>
    <n v="15821.37"/>
    <x v="2"/>
    <x v="1"/>
    <s v="Chandigarh"/>
    <x v="1"/>
    <x v="1"/>
    <n v="6"/>
    <x v="1"/>
    <n v="5"/>
    <s v="Cancelled"/>
  </r>
  <r>
    <s v="ORD00943"/>
    <x v="335"/>
    <s v="CUST272"/>
    <s v="Neha"/>
    <x v="1"/>
    <n v="51"/>
    <x v="3"/>
    <x v="2"/>
    <x v="3"/>
    <x v="9"/>
    <n v="3"/>
    <n v="7577"/>
    <n v="10"/>
    <n v="2273.1"/>
    <n v="3682.42"/>
    <n v="242"/>
    <n v="24382.32"/>
    <x v="0"/>
    <x v="0"/>
    <s v="Patiala"/>
    <x v="1"/>
    <x v="1"/>
    <n v="1"/>
    <x v="0"/>
    <n v="2"/>
    <s v="Returned"/>
  </r>
  <r>
    <s v="ORD00944"/>
    <x v="304"/>
    <s v="CUST621"/>
    <s v="Priya"/>
    <x v="0"/>
    <n v="20"/>
    <x v="1"/>
    <x v="0"/>
    <x v="1"/>
    <x v="1"/>
    <n v="5"/>
    <n v="32146"/>
    <n v="10"/>
    <n v="16073"/>
    <n v="26038.26"/>
    <n v="38"/>
    <n v="170733.26"/>
    <x v="0"/>
    <x v="1"/>
    <s v="Patiala"/>
    <x v="1"/>
    <x v="1"/>
    <n v="3"/>
    <x v="1"/>
    <n v="1"/>
    <s v="Returned"/>
  </r>
  <r>
    <s v="ORD00945"/>
    <x v="336"/>
    <s v="CUST101"/>
    <s v="Priya"/>
    <x v="0"/>
    <n v="37"/>
    <x v="8"/>
    <x v="0"/>
    <x v="8"/>
    <x v="0"/>
    <n v="2"/>
    <n v="36331"/>
    <n v="15"/>
    <n v="10899.3"/>
    <n v="11117.29"/>
    <n v="386"/>
    <n v="73265.990000000005"/>
    <x v="1"/>
    <x v="0"/>
    <s v="Mumbai"/>
    <x v="0"/>
    <x v="0"/>
    <n v="3"/>
    <x v="1"/>
    <n v="5"/>
    <s v="Shipped"/>
  </r>
  <r>
    <s v="ORD00946"/>
    <x v="12"/>
    <s v="CUST501"/>
    <s v="Priya"/>
    <x v="1"/>
    <n v="54"/>
    <x v="3"/>
    <x v="2"/>
    <x v="3"/>
    <x v="2"/>
    <n v="3"/>
    <n v="30863"/>
    <n v="0"/>
    <n v="0"/>
    <n v="16666.02"/>
    <n v="493"/>
    <n v="109748.02"/>
    <x v="3"/>
    <x v="1"/>
    <s v="Patiala"/>
    <x v="1"/>
    <x v="1"/>
    <n v="10"/>
    <x v="0"/>
    <n v="3"/>
    <s v="Cancelled"/>
  </r>
  <r>
    <s v="ORD00947"/>
    <x v="97"/>
    <s v="CUST195"/>
    <s v="Neha"/>
    <x v="1"/>
    <n v="18"/>
    <x v="8"/>
    <x v="0"/>
    <x v="8"/>
    <x v="3"/>
    <n v="1"/>
    <n v="14652"/>
    <n v="0"/>
    <n v="0"/>
    <n v="2637.36"/>
    <n v="24"/>
    <n v="17313.36"/>
    <x v="3"/>
    <x v="1"/>
    <s v="Chandigarh"/>
    <x v="1"/>
    <x v="1"/>
    <n v="4"/>
    <x v="0"/>
    <n v="4"/>
    <s v="Returned"/>
  </r>
  <r>
    <s v="ORD00948"/>
    <x v="214"/>
    <s v="CUST810"/>
    <s v="Amit"/>
    <x v="1"/>
    <n v="21"/>
    <x v="0"/>
    <x v="0"/>
    <x v="0"/>
    <x v="9"/>
    <n v="5"/>
    <n v="1032"/>
    <n v="10"/>
    <n v="516"/>
    <n v="835.92"/>
    <n v="234"/>
    <n v="5713.92"/>
    <x v="3"/>
    <x v="0"/>
    <s v="Mumbai"/>
    <x v="0"/>
    <x v="0"/>
    <n v="4"/>
    <x v="0"/>
    <n v="3"/>
    <s v="Delivered"/>
  </r>
  <r>
    <s v="ORD00949"/>
    <x v="217"/>
    <s v="CUST787"/>
    <s v="Karan"/>
    <x v="0"/>
    <n v="42"/>
    <x v="5"/>
    <x v="0"/>
    <x v="5"/>
    <x v="2"/>
    <n v="5"/>
    <n v="4697"/>
    <n v="0"/>
    <n v="0"/>
    <n v="4227.3"/>
    <n v="377"/>
    <n v="28089.3"/>
    <x v="3"/>
    <x v="1"/>
    <s v="Pune"/>
    <x v="0"/>
    <x v="0"/>
    <n v="7"/>
    <x v="0"/>
    <n v="3"/>
    <s v="Delivered"/>
  </r>
  <r>
    <s v="ORD00950"/>
    <x v="22"/>
    <s v="CUST171"/>
    <s v="Sneha"/>
    <x v="1"/>
    <n v="44"/>
    <x v="9"/>
    <x v="0"/>
    <x v="9"/>
    <x v="4"/>
    <n v="1"/>
    <n v="5912"/>
    <n v="10"/>
    <n v="591.20000000000005"/>
    <n v="957.74"/>
    <n v="45"/>
    <n v="6323.54"/>
    <x v="0"/>
    <x v="0"/>
    <s v="Mumbai"/>
    <x v="0"/>
    <x v="0"/>
    <n v="2"/>
    <x v="1"/>
    <n v="2"/>
    <s v="Delivered"/>
  </r>
  <r>
    <s v="ORD00951"/>
    <x v="167"/>
    <s v="CUST398"/>
    <s v="Amit"/>
    <x v="0"/>
    <n v="39"/>
    <x v="2"/>
    <x v="1"/>
    <x v="2"/>
    <x v="1"/>
    <n v="2"/>
    <n v="43132"/>
    <n v="0"/>
    <n v="0"/>
    <n v="15527.52"/>
    <n v="296"/>
    <n v="102087.52"/>
    <x v="1"/>
    <x v="0"/>
    <s v="Chandigarh"/>
    <x v="1"/>
    <x v="1"/>
    <n v="7"/>
    <x v="1"/>
    <n v="1"/>
    <s v="Delivered"/>
  </r>
  <r>
    <s v="ORD00952"/>
    <x v="123"/>
    <s v="CUST858"/>
    <s v="Vikas"/>
    <x v="1"/>
    <n v="23"/>
    <x v="9"/>
    <x v="0"/>
    <x v="9"/>
    <x v="3"/>
    <n v="1"/>
    <n v="47653"/>
    <n v="5"/>
    <n v="2382.65"/>
    <n v="8148.66"/>
    <n v="319"/>
    <n v="53738.01"/>
    <x v="0"/>
    <x v="0"/>
    <s v="Bangalore"/>
    <x v="3"/>
    <x v="2"/>
    <n v="9"/>
    <x v="1"/>
    <n v="3"/>
    <s v="Delivered"/>
  </r>
  <r>
    <s v="ORD00953"/>
    <x v="294"/>
    <s v="CUST827"/>
    <s v="Anjali"/>
    <x v="1"/>
    <n v="49"/>
    <x v="9"/>
    <x v="0"/>
    <x v="9"/>
    <x v="4"/>
    <n v="5"/>
    <n v="34519"/>
    <n v="10"/>
    <n v="17259.5"/>
    <n v="27960.39"/>
    <n v="202"/>
    <n v="183497.89"/>
    <x v="0"/>
    <x v="0"/>
    <s v="Pune"/>
    <x v="0"/>
    <x v="0"/>
    <n v="4"/>
    <x v="0"/>
    <n v="1"/>
    <s v="Cancelled"/>
  </r>
  <r>
    <s v="ORD00954"/>
    <x v="337"/>
    <s v="CUST761"/>
    <s v="Amit"/>
    <x v="0"/>
    <n v="23"/>
    <x v="7"/>
    <x v="1"/>
    <x v="7"/>
    <x v="8"/>
    <n v="3"/>
    <n v="39182"/>
    <n v="15"/>
    <n v="17631.900000000001"/>
    <n v="17984.54"/>
    <n v="76"/>
    <n v="117974.64"/>
    <x v="2"/>
    <x v="0"/>
    <s v="Jaipur"/>
    <x v="2"/>
    <x v="1"/>
    <n v="6"/>
    <x v="0"/>
    <n v="5"/>
    <s v="Delivered"/>
  </r>
  <r>
    <s v="ORD00955"/>
    <x v="86"/>
    <s v="CUST420"/>
    <s v="Arjun"/>
    <x v="0"/>
    <n v="51"/>
    <x v="9"/>
    <x v="0"/>
    <x v="9"/>
    <x v="0"/>
    <n v="4"/>
    <n v="34291"/>
    <n v="20"/>
    <n v="27432.799999999999"/>
    <n v="19751.62"/>
    <n v="458"/>
    <n v="129940.82"/>
    <x v="3"/>
    <x v="1"/>
    <s v="Mumbai"/>
    <x v="0"/>
    <x v="0"/>
    <n v="7"/>
    <x v="1"/>
    <n v="4"/>
    <s v="Delivered"/>
  </r>
  <r>
    <s v="ORD00956"/>
    <x v="177"/>
    <s v="CUST382"/>
    <s v="Priya"/>
    <x v="1"/>
    <n v="44"/>
    <x v="7"/>
    <x v="1"/>
    <x v="7"/>
    <x v="2"/>
    <n v="4"/>
    <n v="30226"/>
    <n v="0"/>
    <n v="0"/>
    <n v="21762.720000000001"/>
    <n v="174"/>
    <n v="142840.72"/>
    <x v="0"/>
    <x v="1"/>
    <s v="Jaipur"/>
    <x v="2"/>
    <x v="1"/>
    <n v="7"/>
    <x v="0"/>
    <n v="3"/>
    <s v="Returned"/>
  </r>
  <r>
    <s v="ORD00957"/>
    <x v="191"/>
    <s v="CUST302"/>
    <s v="Anjali"/>
    <x v="0"/>
    <n v="54"/>
    <x v="5"/>
    <x v="0"/>
    <x v="5"/>
    <x v="8"/>
    <n v="3"/>
    <n v="3452"/>
    <n v="20"/>
    <n v="2071.1999999999998"/>
    <n v="1491.26"/>
    <n v="219"/>
    <n v="9995.06"/>
    <x v="1"/>
    <x v="0"/>
    <s v="Jaipur"/>
    <x v="2"/>
    <x v="1"/>
    <n v="5"/>
    <x v="1"/>
    <n v="3"/>
    <s v="Shipped"/>
  </r>
  <r>
    <s v="ORD00958"/>
    <x v="101"/>
    <s v="CUST170"/>
    <s v="Neha"/>
    <x v="1"/>
    <n v="24"/>
    <x v="6"/>
    <x v="0"/>
    <x v="6"/>
    <x v="3"/>
    <n v="4"/>
    <n v="29812"/>
    <n v="5"/>
    <n v="5962.4"/>
    <n v="20391.41"/>
    <n v="257"/>
    <n v="133934.01"/>
    <x v="3"/>
    <x v="0"/>
    <s v="Bangalore"/>
    <x v="3"/>
    <x v="2"/>
    <n v="7"/>
    <x v="1"/>
    <n v="3"/>
    <s v="Delivered"/>
  </r>
  <r>
    <s v="ORD00959"/>
    <x v="322"/>
    <s v="CUST305"/>
    <s v="Anjali"/>
    <x v="0"/>
    <n v="33"/>
    <x v="6"/>
    <x v="0"/>
    <x v="6"/>
    <x v="7"/>
    <n v="4"/>
    <n v="12665"/>
    <n v="10"/>
    <n v="5066"/>
    <n v="8206.92"/>
    <n v="304"/>
    <n v="54104.92"/>
    <x v="0"/>
    <x v="0"/>
    <s v="Jaipur"/>
    <x v="2"/>
    <x v="1"/>
    <n v="9"/>
    <x v="1"/>
    <n v="3"/>
    <s v="Returned"/>
  </r>
  <r>
    <s v="ORD00960"/>
    <x v="279"/>
    <s v="CUST108"/>
    <s v="Sneha"/>
    <x v="1"/>
    <n v="34"/>
    <x v="0"/>
    <x v="0"/>
    <x v="0"/>
    <x v="3"/>
    <n v="2"/>
    <n v="19888"/>
    <n v="5"/>
    <n v="1988.8"/>
    <n v="6801.7"/>
    <n v="174"/>
    <n v="44762.9"/>
    <x v="1"/>
    <x v="1"/>
    <s v="Delhi"/>
    <x v="5"/>
    <x v="1"/>
    <n v="7"/>
    <x v="1"/>
    <n v="3"/>
    <s v="Shipped"/>
  </r>
  <r>
    <s v="ORD00961"/>
    <x v="34"/>
    <s v="CUST808"/>
    <s v="Priya"/>
    <x v="1"/>
    <n v="58"/>
    <x v="1"/>
    <x v="0"/>
    <x v="1"/>
    <x v="9"/>
    <n v="5"/>
    <n v="24187"/>
    <n v="20"/>
    <n v="24187"/>
    <n v="17414.64"/>
    <n v="271"/>
    <n v="114433.64"/>
    <x v="0"/>
    <x v="1"/>
    <s v="Delhi"/>
    <x v="5"/>
    <x v="1"/>
    <n v="9"/>
    <x v="1"/>
    <n v="2"/>
    <s v="Delivered"/>
  </r>
  <r>
    <s v="ORD00962"/>
    <x v="51"/>
    <s v="CUST203"/>
    <s v="Sneha"/>
    <x v="1"/>
    <n v="21"/>
    <x v="2"/>
    <x v="1"/>
    <x v="2"/>
    <x v="4"/>
    <n v="1"/>
    <n v="27343"/>
    <n v="5"/>
    <n v="1367.15"/>
    <n v="4675.6499999999996"/>
    <n v="427"/>
    <n v="31078.5"/>
    <x v="3"/>
    <x v="0"/>
    <s v="Chandigarh"/>
    <x v="1"/>
    <x v="1"/>
    <n v="6"/>
    <x v="0"/>
    <n v="1"/>
    <s v="Shipped"/>
  </r>
  <r>
    <s v="ORD00963"/>
    <x v="64"/>
    <s v="CUST992"/>
    <s v="Priya"/>
    <x v="0"/>
    <n v="23"/>
    <x v="4"/>
    <x v="0"/>
    <x v="4"/>
    <x v="2"/>
    <n v="1"/>
    <n v="36253"/>
    <n v="0"/>
    <n v="0"/>
    <n v="6525.54"/>
    <n v="493"/>
    <n v="43271.54"/>
    <x v="2"/>
    <x v="0"/>
    <s v="Patiala"/>
    <x v="1"/>
    <x v="1"/>
    <n v="7"/>
    <x v="0"/>
    <n v="2"/>
    <s v="Delivered"/>
  </r>
  <r>
    <s v="ORD00964"/>
    <x v="242"/>
    <s v="CUST363"/>
    <s v="Sneha"/>
    <x v="1"/>
    <n v="47"/>
    <x v="6"/>
    <x v="0"/>
    <x v="6"/>
    <x v="3"/>
    <n v="2"/>
    <n v="6461"/>
    <n v="0"/>
    <n v="0"/>
    <n v="2325.96"/>
    <n v="137"/>
    <n v="15384.96"/>
    <x v="0"/>
    <x v="1"/>
    <s v="Mumbai"/>
    <x v="0"/>
    <x v="0"/>
    <n v="4"/>
    <x v="1"/>
    <n v="2"/>
    <s v="Cancelled"/>
  </r>
  <r>
    <s v="ORD00965"/>
    <x v="181"/>
    <s v="CUST175"/>
    <s v="Neha"/>
    <x v="0"/>
    <n v="26"/>
    <x v="0"/>
    <x v="0"/>
    <x v="0"/>
    <x v="0"/>
    <n v="5"/>
    <n v="34990"/>
    <n v="20"/>
    <n v="34990"/>
    <n v="25192.799999999999"/>
    <n v="340"/>
    <n v="165492.79999999999"/>
    <x v="3"/>
    <x v="0"/>
    <s v="Lucknow"/>
    <x v="4"/>
    <x v="1"/>
    <n v="2"/>
    <x v="1"/>
    <n v="1"/>
    <s v="Shipped"/>
  </r>
  <r>
    <s v="ORD00966"/>
    <x v="99"/>
    <s v="CUST509"/>
    <s v="Arjun"/>
    <x v="1"/>
    <n v="33"/>
    <x v="1"/>
    <x v="0"/>
    <x v="1"/>
    <x v="1"/>
    <n v="3"/>
    <n v="6736"/>
    <n v="15"/>
    <n v="3031.2"/>
    <n v="3091.82"/>
    <n v="130"/>
    <n v="20398.62"/>
    <x v="2"/>
    <x v="0"/>
    <s v="Delhi"/>
    <x v="5"/>
    <x v="1"/>
    <n v="8"/>
    <x v="1"/>
    <n v="3"/>
    <s v="Cancelled"/>
  </r>
  <r>
    <s v="ORD00967"/>
    <x v="268"/>
    <s v="CUST151"/>
    <s v="Amit"/>
    <x v="0"/>
    <n v="27"/>
    <x v="0"/>
    <x v="0"/>
    <x v="0"/>
    <x v="6"/>
    <n v="1"/>
    <n v="24799"/>
    <n v="0"/>
    <n v="0"/>
    <n v="4463.82"/>
    <n v="488"/>
    <n v="29750.82"/>
    <x v="3"/>
    <x v="1"/>
    <s v="Chandigarh"/>
    <x v="1"/>
    <x v="1"/>
    <n v="1"/>
    <x v="1"/>
    <n v="4"/>
    <s v="Shipped"/>
  </r>
  <r>
    <s v="ORD00968"/>
    <x v="177"/>
    <s v="CUST611"/>
    <s v="Rahul"/>
    <x v="1"/>
    <n v="47"/>
    <x v="9"/>
    <x v="0"/>
    <x v="9"/>
    <x v="6"/>
    <n v="1"/>
    <n v="9195"/>
    <n v="20"/>
    <n v="1839"/>
    <n v="1324.08"/>
    <n v="174"/>
    <n v="8854.08"/>
    <x v="2"/>
    <x v="0"/>
    <s v="Delhi"/>
    <x v="5"/>
    <x v="1"/>
    <n v="2"/>
    <x v="1"/>
    <n v="5"/>
    <s v="Returned"/>
  </r>
  <r>
    <s v="ORD00969"/>
    <x v="304"/>
    <s v="CUST466"/>
    <s v="Riya"/>
    <x v="0"/>
    <n v="41"/>
    <x v="1"/>
    <x v="0"/>
    <x v="1"/>
    <x v="9"/>
    <n v="3"/>
    <n v="46281"/>
    <n v="5"/>
    <n v="6942.15"/>
    <n v="23742.15"/>
    <n v="54"/>
    <n v="155697"/>
    <x v="2"/>
    <x v="1"/>
    <s v="Mumbai"/>
    <x v="0"/>
    <x v="0"/>
    <n v="8"/>
    <x v="1"/>
    <n v="2"/>
    <s v="Cancelled"/>
  </r>
  <r>
    <s v="ORD00970"/>
    <x v="267"/>
    <s v="CUST886"/>
    <s v="Sneha"/>
    <x v="1"/>
    <n v="47"/>
    <x v="1"/>
    <x v="0"/>
    <x v="1"/>
    <x v="8"/>
    <n v="3"/>
    <n v="11665"/>
    <n v="15"/>
    <n v="5249.25"/>
    <n v="5354.23"/>
    <n v="392"/>
    <n v="35491.99"/>
    <x v="3"/>
    <x v="1"/>
    <s v="Jaipur"/>
    <x v="2"/>
    <x v="1"/>
    <n v="6"/>
    <x v="0"/>
    <n v="5"/>
    <s v="Returned"/>
  </r>
  <r>
    <s v="ORD00971"/>
    <x v="8"/>
    <s v="CUST692"/>
    <s v="Neha"/>
    <x v="0"/>
    <n v="23"/>
    <x v="1"/>
    <x v="0"/>
    <x v="1"/>
    <x v="0"/>
    <n v="2"/>
    <n v="41905"/>
    <n v="20"/>
    <n v="16762"/>
    <n v="12068.64"/>
    <n v="427"/>
    <n v="79543.64"/>
    <x v="2"/>
    <x v="1"/>
    <s v="Patiala"/>
    <x v="1"/>
    <x v="1"/>
    <n v="5"/>
    <x v="0"/>
    <n v="1"/>
    <s v="Cancelled"/>
  </r>
  <r>
    <s v="ORD00972"/>
    <x v="203"/>
    <s v="CUST251"/>
    <s v="Arjun"/>
    <x v="1"/>
    <n v="38"/>
    <x v="1"/>
    <x v="0"/>
    <x v="1"/>
    <x v="4"/>
    <n v="1"/>
    <n v="13855"/>
    <n v="15"/>
    <n v="2078.25"/>
    <n v="2119.8200000000002"/>
    <n v="127"/>
    <n v="14023.57"/>
    <x v="1"/>
    <x v="0"/>
    <s v="Jaipur"/>
    <x v="2"/>
    <x v="1"/>
    <n v="7"/>
    <x v="1"/>
    <n v="5"/>
    <s v="Delivered"/>
  </r>
  <r>
    <s v="ORD00973"/>
    <x v="316"/>
    <s v="CUST798"/>
    <s v="Sneha"/>
    <x v="1"/>
    <n v="51"/>
    <x v="2"/>
    <x v="1"/>
    <x v="2"/>
    <x v="0"/>
    <n v="4"/>
    <n v="29217"/>
    <n v="0"/>
    <n v="0"/>
    <n v="21036.240000000002"/>
    <n v="188"/>
    <n v="138092.24"/>
    <x v="2"/>
    <x v="1"/>
    <s v="Mumbai"/>
    <x v="0"/>
    <x v="0"/>
    <n v="10"/>
    <x v="0"/>
    <n v="1"/>
    <s v="Delivered"/>
  </r>
  <r>
    <s v="ORD00974"/>
    <x v="192"/>
    <s v="CUST431"/>
    <s v="Priya"/>
    <x v="0"/>
    <n v="19"/>
    <x v="3"/>
    <x v="2"/>
    <x v="3"/>
    <x v="6"/>
    <n v="3"/>
    <n v="34047"/>
    <n v="0"/>
    <n v="0"/>
    <n v="18385.38"/>
    <n v="42"/>
    <n v="120568.38"/>
    <x v="2"/>
    <x v="1"/>
    <s v="Delhi"/>
    <x v="5"/>
    <x v="1"/>
    <n v="3"/>
    <x v="0"/>
    <n v="5"/>
    <s v="Delivered"/>
  </r>
  <r>
    <s v="ORD00975"/>
    <x v="338"/>
    <s v="CUST242"/>
    <s v="Riya"/>
    <x v="1"/>
    <n v="47"/>
    <x v="7"/>
    <x v="1"/>
    <x v="7"/>
    <x v="1"/>
    <n v="4"/>
    <n v="40544"/>
    <n v="5"/>
    <n v="8108.8"/>
    <n v="27732.1"/>
    <n v="384"/>
    <n v="182183.3"/>
    <x v="1"/>
    <x v="0"/>
    <s v="Delhi"/>
    <x v="5"/>
    <x v="1"/>
    <n v="10"/>
    <x v="1"/>
    <n v="1"/>
    <s v="Cancelled"/>
  </r>
  <r>
    <s v="ORD00976"/>
    <x v="56"/>
    <s v="CUST276"/>
    <s v="Rahul"/>
    <x v="1"/>
    <n v="23"/>
    <x v="0"/>
    <x v="0"/>
    <x v="0"/>
    <x v="6"/>
    <n v="1"/>
    <n v="34177"/>
    <n v="15"/>
    <n v="5126.55"/>
    <n v="5229.08"/>
    <n v="114"/>
    <n v="34393.53"/>
    <x v="3"/>
    <x v="0"/>
    <s v="Bangalore"/>
    <x v="3"/>
    <x v="2"/>
    <n v="7"/>
    <x v="0"/>
    <n v="5"/>
    <s v="Cancelled"/>
  </r>
  <r>
    <s v="ORD00977"/>
    <x v="111"/>
    <s v="CUST137"/>
    <s v="Neha"/>
    <x v="1"/>
    <n v="35"/>
    <x v="7"/>
    <x v="1"/>
    <x v="7"/>
    <x v="0"/>
    <n v="4"/>
    <n v="32481"/>
    <n v="20"/>
    <n v="25984.799999999999"/>
    <n v="18709.060000000001"/>
    <n v="431"/>
    <n v="123079.26"/>
    <x v="2"/>
    <x v="1"/>
    <s v="Mumbai"/>
    <x v="0"/>
    <x v="0"/>
    <n v="5"/>
    <x v="1"/>
    <n v="3"/>
    <s v="Cancelled"/>
  </r>
  <r>
    <s v="ORD00978"/>
    <x v="23"/>
    <s v="CUST947"/>
    <s v="Anjali"/>
    <x v="1"/>
    <n v="45"/>
    <x v="5"/>
    <x v="0"/>
    <x v="5"/>
    <x v="2"/>
    <n v="4"/>
    <n v="26540"/>
    <n v="10"/>
    <n v="10616"/>
    <n v="17197.919999999998"/>
    <n v="448"/>
    <n v="113189.92"/>
    <x v="0"/>
    <x v="1"/>
    <s v="Bangalore"/>
    <x v="3"/>
    <x v="2"/>
    <n v="8"/>
    <x v="1"/>
    <n v="5"/>
    <s v="Shipped"/>
  </r>
  <r>
    <s v="ORD00979"/>
    <x v="251"/>
    <s v="CUST468"/>
    <s v="Neha"/>
    <x v="0"/>
    <n v="57"/>
    <x v="1"/>
    <x v="0"/>
    <x v="1"/>
    <x v="1"/>
    <n v="2"/>
    <n v="7396"/>
    <n v="20"/>
    <n v="2958.4"/>
    <n v="2130.0500000000002"/>
    <n v="160"/>
    <n v="14123.65"/>
    <x v="0"/>
    <x v="1"/>
    <s v="Chandigarh"/>
    <x v="1"/>
    <x v="1"/>
    <n v="2"/>
    <x v="1"/>
    <n v="4"/>
    <s v="Returned"/>
  </r>
  <r>
    <s v="ORD00980"/>
    <x v="97"/>
    <s v="CUST944"/>
    <s v="Riya"/>
    <x v="1"/>
    <n v="19"/>
    <x v="4"/>
    <x v="0"/>
    <x v="4"/>
    <x v="5"/>
    <n v="4"/>
    <n v="12010"/>
    <n v="5"/>
    <n v="2402"/>
    <n v="8214.84"/>
    <n v="40"/>
    <n v="53892.84"/>
    <x v="1"/>
    <x v="1"/>
    <s v="Mumbai"/>
    <x v="0"/>
    <x v="0"/>
    <n v="2"/>
    <x v="1"/>
    <n v="1"/>
    <s v="Returned"/>
  </r>
  <r>
    <s v="ORD00981"/>
    <x v="327"/>
    <s v="CUST139"/>
    <s v="Riya"/>
    <x v="1"/>
    <n v="26"/>
    <x v="8"/>
    <x v="0"/>
    <x v="8"/>
    <x v="8"/>
    <n v="2"/>
    <n v="2315"/>
    <n v="20"/>
    <n v="926"/>
    <n v="666.72"/>
    <n v="203"/>
    <n v="4573.72"/>
    <x v="2"/>
    <x v="1"/>
    <s v="Pune"/>
    <x v="0"/>
    <x v="0"/>
    <n v="10"/>
    <x v="0"/>
    <n v="4"/>
    <s v="Returned"/>
  </r>
  <r>
    <s v="ORD00982"/>
    <x v="92"/>
    <s v="CUST106"/>
    <s v="Sneha"/>
    <x v="1"/>
    <n v="59"/>
    <x v="4"/>
    <x v="0"/>
    <x v="4"/>
    <x v="7"/>
    <n v="2"/>
    <n v="14022"/>
    <n v="20"/>
    <n v="5608.8"/>
    <n v="4038.34"/>
    <n v="455"/>
    <n v="26928.54"/>
    <x v="3"/>
    <x v="0"/>
    <s v="Delhi"/>
    <x v="5"/>
    <x v="1"/>
    <n v="1"/>
    <x v="0"/>
    <n v="3"/>
    <s v="Returned"/>
  </r>
  <r>
    <s v="ORD00983"/>
    <x v="272"/>
    <s v="CUST518"/>
    <s v="Rahul"/>
    <x v="1"/>
    <n v="58"/>
    <x v="3"/>
    <x v="2"/>
    <x v="3"/>
    <x v="0"/>
    <n v="3"/>
    <n v="31885"/>
    <n v="5"/>
    <n v="4782.75"/>
    <n v="16357"/>
    <n v="220"/>
    <n v="107449.26"/>
    <x v="0"/>
    <x v="0"/>
    <s v="Jaipur"/>
    <x v="2"/>
    <x v="1"/>
    <n v="8"/>
    <x v="0"/>
    <n v="1"/>
    <s v="Returned"/>
  </r>
  <r>
    <s v="ORD00984"/>
    <x v="244"/>
    <s v="CUST396"/>
    <s v="Rahul"/>
    <x v="1"/>
    <n v="32"/>
    <x v="3"/>
    <x v="2"/>
    <x v="3"/>
    <x v="3"/>
    <n v="2"/>
    <n v="12286"/>
    <n v="20"/>
    <n v="4914.3999999999996"/>
    <n v="3538.37"/>
    <n v="422"/>
    <n v="23617.97"/>
    <x v="3"/>
    <x v="1"/>
    <s v="Patiala"/>
    <x v="1"/>
    <x v="1"/>
    <n v="4"/>
    <x v="0"/>
    <n v="3"/>
    <s v="Cancelled"/>
  </r>
  <r>
    <s v="ORD00985"/>
    <x v="88"/>
    <s v="CUST376"/>
    <s v="Riya"/>
    <x v="0"/>
    <n v="23"/>
    <x v="8"/>
    <x v="0"/>
    <x v="8"/>
    <x v="6"/>
    <n v="3"/>
    <n v="49317"/>
    <n v="20"/>
    <n v="29590.2"/>
    <n v="21304.94"/>
    <n v="76"/>
    <n v="139741.74"/>
    <x v="1"/>
    <x v="0"/>
    <s v="Pune"/>
    <x v="0"/>
    <x v="0"/>
    <n v="7"/>
    <x v="0"/>
    <n v="4"/>
    <s v="Shipped"/>
  </r>
  <r>
    <s v="ORD00986"/>
    <x v="285"/>
    <s v="CUST180"/>
    <s v="Rahul"/>
    <x v="1"/>
    <n v="59"/>
    <x v="6"/>
    <x v="0"/>
    <x v="6"/>
    <x v="3"/>
    <n v="1"/>
    <n v="2308"/>
    <n v="20"/>
    <n v="461.6"/>
    <n v="332.35"/>
    <n v="445"/>
    <n v="2623.75"/>
    <x v="1"/>
    <x v="1"/>
    <s v="Bangalore"/>
    <x v="3"/>
    <x v="2"/>
    <n v="6"/>
    <x v="0"/>
    <n v="5"/>
    <s v="Shipped"/>
  </r>
  <r>
    <s v="ORD00987"/>
    <x v="304"/>
    <s v="CUST544"/>
    <s v="Sneha"/>
    <x v="1"/>
    <n v="49"/>
    <x v="2"/>
    <x v="1"/>
    <x v="2"/>
    <x v="8"/>
    <n v="2"/>
    <n v="12242"/>
    <n v="5"/>
    <n v="1224.2"/>
    <n v="4186.76"/>
    <n v="314"/>
    <n v="27760.560000000001"/>
    <x v="0"/>
    <x v="0"/>
    <s v="Delhi"/>
    <x v="5"/>
    <x v="1"/>
    <n v="10"/>
    <x v="1"/>
    <n v="4"/>
    <s v="Returned"/>
  </r>
  <r>
    <s v="ORD00988"/>
    <x v="0"/>
    <s v="CUST865"/>
    <s v="Vikas"/>
    <x v="1"/>
    <n v="54"/>
    <x v="9"/>
    <x v="0"/>
    <x v="9"/>
    <x v="0"/>
    <n v="4"/>
    <n v="2691"/>
    <n v="15"/>
    <n v="1614.6"/>
    <n v="1646.89"/>
    <n v="248"/>
    <n v="11044.29"/>
    <x v="0"/>
    <x v="1"/>
    <s v="Chandigarh"/>
    <x v="1"/>
    <x v="1"/>
    <n v="9"/>
    <x v="0"/>
    <n v="1"/>
    <s v="Returned"/>
  </r>
  <r>
    <s v="ORD00989"/>
    <x v="289"/>
    <s v="CUST852"/>
    <s v="Anjali"/>
    <x v="1"/>
    <n v="52"/>
    <x v="4"/>
    <x v="0"/>
    <x v="4"/>
    <x v="8"/>
    <n v="1"/>
    <n v="3151"/>
    <n v="15"/>
    <n v="472.65"/>
    <n v="482.1"/>
    <n v="224"/>
    <n v="3384.45"/>
    <x v="2"/>
    <x v="1"/>
    <s v="Bangalore"/>
    <x v="3"/>
    <x v="2"/>
    <n v="6"/>
    <x v="0"/>
    <n v="2"/>
    <s v="Delivered"/>
  </r>
  <r>
    <s v="ORD00990"/>
    <x v="125"/>
    <s v="CUST213"/>
    <s v="Riya"/>
    <x v="1"/>
    <n v="52"/>
    <x v="9"/>
    <x v="0"/>
    <x v="9"/>
    <x v="6"/>
    <n v="5"/>
    <n v="31839"/>
    <n v="15"/>
    <n v="23879.25"/>
    <n v="24356.83"/>
    <n v="295"/>
    <n v="159967.57999999999"/>
    <x v="0"/>
    <x v="0"/>
    <s v="Pune"/>
    <x v="0"/>
    <x v="0"/>
    <n v="3"/>
    <x v="1"/>
    <n v="4"/>
    <s v="Returned"/>
  </r>
  <r>
    <s v="ORD00991"/>
    <x v="143"/>
    <s v="CUST982"/>
    <s v="Vikas"/>
    <x v="1"/>
    <n v="54"/>
    <x v="3"/>
    <x v="2"/>
    <x v="3"/>
    <x v="1"/>
    <n v="1"/>
    <n v="18336"/>
    <n v="0"/>
    <n v="0"/>
    <n v="3300.48"/>
    <n v="116"/>
    <n v="21752.48"/>
    <x v="3"/>
    <x v="1"/>
    <s v="Lucknow"/>
    <x v="4"/>
    <x v="1"/>
    <n v="8"/>
    <x v="0"/>
    <n v="2"/>
    <s v="Returned"/>
  </r>
  <r>
    <s v="ORD00992"/>
    <x v="77"/>
    <s v="CUST283"/>
    <s v="Karan"/>
    <x v="0"/>
    <n v="57"/>
    <x v="2"/>
    <x v="1"/>
    <x v="2"/>
    <x v="6"/>
    <n v="5"/>
    <n v="39114"/>
    <n v="20"/>
    <n v="39114"/>
    <n v="28162.080000000002"/>
    <n v="411"/>
    <n v="185029.08"/>
    <x v="0"/>
    <x v="1"/>
    <s v="Mumbai"/>
    <x v="0"/>
    <x v="0"/>
    <n v="8"/>
    <x v="1"/>
    <n v="2"/>
    <s v="Delivered"/>
  </r>
  <r>
    <s v="ORD00993"/>
    <x v="106"/>
    <s v="CUST225"/>
    <s v="Karan"/>
    <x v="1"/>
    <n v="27"/>
    <x v="3"/>
    <x v="2"/>
    <x v="3"/>
    <x v="5"/>
    <n v="1"/>
    <n v="17294"/>
    <n v="15"/>
    <n v="2594.1"/>
    <n v="2645.98"/>
    <n v="210"/>
    <n v="17555.88"/>
    <x v="1"/>
    <x v="0"/>
    <s v="Jaipur"/>
    <x v="2"/>
    <x v="1"/>
    <n v="3"/>
    <x v="1"/>
    <n v="2"/>
    <s v="Shipped"/>
  </r>
  <r>
    <s v="ORD00994"/>
    <x v="257"/>
    <s v="CUST442"/>
    <s v="Sneha"/>
    <x v="0"/>
    <n v="48"/>
    <x v="7"/>
    <x v="1"/>
    <x v="7"/>
    <x v="8"/>
    <n v="1"/>
    <n v="24272"/>
    <n v="20"/>
    <n v="4854.3999999999996"/>
    <n v="3495.17"/>
    <n v="462"/>
    <n v="23374.77"/>
    <x v="3"/>
    <x v="0"/>
    <s v="Bangalore"/>
    <x v="3"/>
    <x v="2"/>
    <n v="7"/>
    <x v="1"/>
    <n v="4"/>
    <s v="Cancelled"/>
  </r>
  <r>
    <s v="ORD00995"/>
    <x v="212"/>
    <s v="CUST205"/>
    <s v="Vikas"/>
    <x v="1"/>
    <n v="50"/>
    <x v="4"/>
    <x v="0"/>
    <x v="4"/>
    <x v="3"/>
    <n v="2"/>
    <n v="39387"/>
    <n v="15"/>
    <n v="11816.1"/>
    <n v="12052.42"/>
    <n v="127"/>
    <n v="79137.320000000007"/>
    <x v="2"/>
    <x v="1"/>
    <s v="Delhi"/>
    <x v="5"/>
    <x v="1"/>
    <n v="5"/>
    <x v="0"/>
    <n v="5"/>
    <s v="Delivered"/>
  </r>
  <r>
    <s v="ORD00996"/>
    <x v="117"/>
    <s v="CUST724"/>
    <s v="Karan"/>
    <x v="1"/>
    <n v="30"/>
    <x v="9"/>
    <x v="0"/>
    <x v="9"/>
    <x v="4"/>
    <n v="4"/>
    <n v="1783"/>
    <n v="5"/>
    <n v="356.6"/>
    <n v="1219.57"/>
    <n v="382"/>
    <n v="8376.9699999999993"/>
    <x v="2"/>
    <x v="1"/>
    <s v="Chandigarh"/>
    <x v="1"/>
    <x v="1"/>
    <n v="6"/>
    <x v="1"/>
    <n v="5"/>
    <s v="Delivered"/>
  </r>
  <r>
    <s v="ORD00997"/>
    <x v="116"/>
    <s v="CUST522"/>
    <s v="Rahul"/>
    <x v="1"/>
    <n v="34"/>
    <x v="9"/>
    <x v="0"/>
    <x v="9"/>
    <x v="6"/>
    <n v="2"/>
    <n v="9037"/>
    <n v="20"/>
    <n v="3614.8"/>
    <n v="2602.66"/>
    <n v="427"/>
    <n v="17488.86"/>
    <x v="3"/>
    <x v="1"/>
    <s v="Mumbai"/>
    <x v="0"/>
    <x v="0"/>
    <n v="8"/>
    <x v="0"/>
    <n v="4"/>
    <s v="Shipped"/>
  </r>
  <r>
    <s v="ORD00998"/>
    <x v="334"/>
    <s v="CUST640"/>
    <s v="Amit"/>
    <x v="0"/>
    <n v="28"/>
    <x v="7"/>
    <x v="1"/>
    <x v="7"/>
    <x v="1"/>
    <n v="4"/>
    <n v="4700"/>
    <n v="10"/>
    <n v="1880"/>
    <n v="3045.6"/>
    <n v="112"/>
    <n v="20077.599999999999"/>
    <x v="2"/>
    <x v="0"/>
    <s v="Lucknow"/>
    <x v="4"/>
    <x v="1"/>
    <n v="2"/>
    <x v="0"/>
    <n v="3"/>
    <s v="Cancelled"/>
  </r>
  <r>
    <s v="ORD00999"/>
    <x v="331"/>
    <s v="CUST947"/>
    <s v="Priya"/>
    <x v="1"/>
    <n v="27"/>
    <x v="0"/>
    <x v="0"/>
    <x v="0"/>
    <x v="8"/>
    <n v="3"/>
    <n v="3766"/>
    <n v="0"/>
    <n v="0"/>
    <n v="2033.64"/>
    <n v="38"/>
    <n v="13369.64"/>
    <x v="3"/>
    <x v="1"/>
    <s v="Chandigarh"/>
    <x v="1"/>
    <x v="1"/>
    <n v="2"/>
    <x v="1"/>
    <n v="5"/>
    <s v="Cancelled"/>
  </r>
  <r>
    <s v="ORD01000"/>
    <x v="165"/>
    <s v="CUST131"/>
    <s v="Sneha"/>
    <x v="0"/>
    <n v="39"/>
    <x v="0"/>
    <x v="0"/>
    <x v="0"/>
    <x v="9"/>
    <n v="3"/>
    <n v="26044"/>
    <n v="20"/>
    <n v="15626.4"/>
    <n v="11251.01"/>
    <n v="346"/>
    <n v="74102.61"/>
    <x v="0"/>
    <x v="0"/>
    <s v="Patiala"/>
    <x v="1"/>
    <x v="1"/>
    <n v="9"/>
    <x v="1"/>
    <n v="3"/>
    <s v="Shipp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AEB82E-5A33-49A1-B0B4-99C1B4783F38}" name="retur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Y3:Z6"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axis="axisRow" showAll="0">
      <items count="3">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3"/>
  </rowFields>
  <rowItems count="3">
    <i>
      <x/>
    </i>
    <i>
      <x v="1"/>
    </i>
    <i t="grand">
      <x/>
    </i>
  </rowItems>
  <colItems count="1">
    <i/>
  </colItems>
  <dataFields count="1">
    <dataField name="Sum of TotalAmount" fld="16"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23" count="1" selected="0">
            <x v="0"/>
          </reference>
        </references>
      </pivotArea>
    </chartFormat>
    <chartFormat chart="6" format="3">
      <pivotArea type="data" outline="0" fieldPosition="0">
        <references count="2">
          <reference field="4294967294" count="1" selected="0">
            <x v="0"/>
          </reference>
          <reference field="23"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3" count="1" selected="0">
            <x v="0"/>
          </reference>
        </references>
      </pivotArea>
    </chartFormat>
    <chartFormat chart="7" format="6">
      <pivotArea type="data" outline="0" fieldPosition="0">
        <references count="2">
          <reference field="4294967294" count="1" selected="0">
            <x v="0"/>
          </reference>
          <reference field="23" count="1" selected="0">
            <x v="1"/>
          </reference>
        </references>
      </pivotArea>
    </chartFormat>
    <chartFormat chart="0" format="1">
      <pivotArea type="data" outline="0" fieldPosition="0">
        <references count="2">
          <reference field="4294967294" count="1" selected="0">
            <x v="0"/>
          </reference>
          <reference field="23" count="1" selected="0">
            <x v="0"/>
          </reference>
        </references>
      </pivotArea>
    </chartFormat>
    <chartFormat chart="0" format="2">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254416-AA74-4AC3-8E6D-C34AABEA3F0E}" name="total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C3:AC4" firstHeaderRow="1" firstDataRow="1" firstDataCol="0"/>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TotalAmount" fld="1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7E7C34-3DBF-4CE3-BC65-8DE45D05C146}" name="rating"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I3:AI4" firstHeaderRow="1" firstDataRow="1" firstDataCol="0"/>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Average of Rating" fld="24" subtotal="average"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ABB270-D9C9-4C65-B0C8-C6E3028D3BE4}" name="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6" firstHeaderRow="1" firstDataRow="1" firstDataCol="1"/>
  <pivotFields count="29">
    <pivotField showAll="0"/>
    <pivotField axis="axisRow"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6"/>
    <field x="1"/>
  </rowFields>
  <rowItems count="13">
    <i>
      <x v="1"/>
    </i>
    <i>
      <x v="2"/>
    </i>
    <i>
      <x v="3"/>
    </i>
    <i>
      <x v="4"/>
    </i>
    <i>
      <x v="5"/>
    </i>
    <i>
      <x v="6"/>
    </i>
    <i>
      <x v="7"/>
    </i>
    <i>
      <x v="8"/>
    </i>
    <i>
      <x v="9"/>
    </i>
    <i>
      <x v="10"/>
    </i>
    <i>
      <x v="11"/>
    </i>
    <i>
      <x v="12"/>
    </i>
    <i t="grand">
      <x/>
    </i>
  </rowItems>
  <colItems count="1">
    <i/>
  </colItems>
  <dataFields count="1">
    <dataField name="Sum of TotalAmount" fld="16" showDataAs="percentOfTotal" baseField="0" baseItem="0" numFmtId="1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14DA6E-B4EC-4A00-868E-6962313175CB}" name="delivery day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F3:AF4" firstHeaderRow="1" firstDataRow="1" firstDataCol="0"/>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dataField="1" showAll="0"/>
    <pivotField showAll="0">
      <items count="3">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Average of DeliveryDays" fld="22"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235E68-0AEE-4C83-980C-E47B34E05205}" name="stat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U3:V10"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axis="axisRow" showAll="0">
      <items count="7">
        <item x="5"/>
        <item x="3"/>
        <item x="0"/>
        <item x="1"/>
        <item x="2"/>
        <item x="4"/>
        <item t="default"/>
      </items>
    </pivotField>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0"/>
  </rowFields>
  <rowItems count="7">
    <i>
      <x/>
    </i>
    <i>
      <x v="1"/>
    </i>
    <i>
      <x v="2"/>
    </i>
    <i>
      <x v="3"/>
    </i>
    <i>
      <x v="4"/>
    </i>
    <i>
      <x v="5"/>
    </i>
    <i t="grand">
      <x/>
    </i>
  </rowItems>
  <colItems count="1">
    <i/>
  </colItems>
  <dataFields count="1">
    <dataField name="Sum of TotalAmount"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001F0E-91AF-4A4E-95A2-1E083982A162}" name="payment metho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M3:N8"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axis="axisRow" showAll="0">
      <items count="5">
        <item x="3"/>
        <item x="1"/>
        <item x="0"/>
        <item x="2"/>
        <item t="default"/>
      </items>
    </pivotField>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5">
    <i>
      <x/>
    </i>
    <i>
      <x v="1"/>
    </i>
    <i>
      <x v="2"/>
    </i>
    <i>
      <x v="3"/>
    </i>
    <i t="grand">
      <x/>
    </i>
  </rowItems>
  <colItems count="1">
    <i/>
  </colItems>
  <dataFields count="1">
    <dataField name="Sum of TotalAmount" fld="16"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6F3A98-B1DC-48B2-A96B-BB33D9D4A572}" name="order 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Q3:R6"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items count="5">
        <item x="3"/>
        <item x="1"/>
        <item x="0"/>
        <item x="2"/>
        <item t="default"/>
      </items>
    </pivotField>
    <pivotField axis="axisRow"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8"/>
  </rowFields>
  <rowItems count="3">
    <i>
      <x/>
    </i>
    <i>
      <x v="1"/>
    </i>
    <i t="grand">
      <x/>
    </i>
  </rowItems>
  <colItems count="1">
    <i/>
  </colItems>
  <dataFields count="1">
    <dataField name="Sum of TotalAmount" fld="16"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8" count="1" selected="0">
            <x v="0"/>
          </reference>
        </references>
      </pivotArea>
    </chartFormat>
    <chartFormat chart="6" format="6">
      <pivotArea type="data" outline="0" fieldPosition="0">
        <references count="2">
          <reference field="4294967294" count="1" selected="0">
            <x v="0"/>
          </reference>
          <reference field="18" count="1" selected="0">
            <x v="1"/>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302D96-9797-406E-8797-47229B9909F3}" name="bran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I3:J14"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axis="axisRow"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1">
    <i>
      <x/>
    </i>
    <i>
      <x v="1"/>
    </i>
    <i>
      <x v="2"/>
    </i>
    <i>
      <x v="3"/>
    </i>
    <i>
      <x v="4"/>
    </i>
    <i>
      <x v="5"/>
    </i>
    <i>
      <x v="6"/>
    </i>
    <i>
      <x v="7"/>
    </i>
    <i>
      <x v="8"/>
    </i>
    <i>
      <x v="9"/>
    </i>
    <i t="grand">
      <x/>
    </i>
  </rowItems>
  <colItems count="1">
    <i/>
  </colItems>
  <dataFields count="1">
    <dataField name="Sum of TotalAmount" fld="16"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975517-07E1-40C2-A57C-D83B260B183E}" name="produc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E3:F13"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axis="axisRow"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sd="0"/>
      </items>
    </pivotField>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10">
    <i>
      <x/>
    </i>
    <i>
      <x v="1"/>
    </i>
    <i>
      <x v="2"/>
    </i>
    <i>
      <x v="3"/>
    </i>
    <i>
      <x v="4"/>
    </i>
    <i>
      <x v="5"/>
    </i>
    <i>
      <x v="6"/>
    </i>
    <i>
      <x v="7"/>
    </i>
    <i>
      <x v="8"/>
    </i>
    <i>
      <x v="9"/>
    </i>
  </rowItems>
  <colItems count="1">
    <i/>
  </colItems>
  <dataFields count="1">
    <dataField name="Sum of TotalAmount"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33C97E0-FB40-4A10-B3E7-E7FE2CBFC9B7}" sourceName="Gender">
  <pivotTables>
    <pivotTable tabId="3" name="brand"/>
    <pivotTable tabId="3" name="delivery days"/>
    <pivotTable tabId="3" name="month"/>
    <pivotTable tabId="3" name="order channel"/>
    <pivotTable tabId="3" name="payment method"/>
    <pivotTable tabId="3" name="product"/>
    <pivotTable tabId="3" name="rating"/>
    <pivotTable tabId="3" name="return"/>
    <pivotTable tabId="3" name="state"/>
    <pivotTable tabId="3" name="total sales"/>
  </pivotTables>
  <data>
    <tabular pivotCacheId="19706057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F78843F-0FE6-4791-993E-138EB4B7AC22}" sourceName="Category">
  <pivotTables>
    <pivotTable tabId="3" name="brand"/>
    <pivotTable tabId="3" name="delivery days"/>
    <pivotTable tabId="3" name="month"/>
    <pivotTable tabId="3" name="order channel"/>
    <pivotTable tabId="3" name="payment method"/>
    <pivotTable tabId="3" name="product"/>
    <pivotTable tabId="3" name="rating"/>
    <pivotTable tabId="3" name="return"/>
    <pivotTable tabId="3" name="state"/>
    <pivotTable tabId="3" name="total sales"/>
  </pivotTables>
  <data>
    <tabular pivotCacheId="197060571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Channel" xr10:uid="{6BAC6791-BEA0-44CD-B41E-9F94E9E5EF47}" sourceName="OrderChannel">
  <pivotTables>
    <pivotTable tabId="3" name="brand"/>
    <pivotTable tabId="3" name="delivery days"/>
    <pivotTable tabId="3" name="month"/>
    <pivotTable tabId="3" name="order channel"/>
    <pivotTable tabId="3" name="payment method"/>
    <pivotTable tabId="3" name="product"/>
    <pivotTable tabId="3" name="rating"/>
    <pivotTable tabId="3" name="return"/>
    <pivotTable tabId="3" name="state"/>
    <pivotTable tabId="3" name="total sales"/>
  </pivotTables>
  <data>
    <tabular pivotCacheId="197060571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33AAA9-D945-4213-AAE0-F0AD1FBFE58C}" sourceName="Region">
  <pivotTables>
    <pivotTable tabId="3" name="brand"/>
    <pivotTable tabId="3" name="delivery days"/>
    <pivotTable tabId="3" name="month"/>
    <pivotTable tabId="3" name="order channel"/>
    <pivotTable tabId="3" name="payment method"/>
    <pivotTable tabId="3" name="product"/>
    <pivotTable tabId="3" name="rating"/>
    <pivotTable tabId="3" name="return"/>
    <pivotTable tabId="3" name="state"/>
    <pivotTable tabId="3" name="total sales"/>
  </pivotTables>
  <data>
    <tabular pivotCacheId="197060571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FF5FBD3-DCDD-4A57-BB7B-46D17E4EBDE0}" cache="Slicer_Gender" caption="Gender" style="SlicerStyleDark1" rowHeight="247650"/>
  <slicer name="Category 1" xr10:uid="{5D7A3FE7-FEF7-4746-97D8-FF33B9D84E5E}" cache="Slicer_Category" caption="Category" style="SlicerStyleDark1" rowHeight="247650"/>
  <slicer name="OrderChannel 1" xr10:uid="{ECC0C583-79BB-420E-9DB2-449F72B5BAAF}" cache="Slicer_OrderChannel" caption="OrderChannel" style="SlicerStyleDark1" rowHeight="247650"/>
  <slicer name="Region 1" xr10:uid="{80071430-A4F6-4CCE-8605-098519013398}" cache="Slicer_Region" caption="Region"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D9B0129-A147-44E9-897F-C96F93184DA3}" cache="Slicer_Gender" caption="Gender" rowHeight="247650"/>
  <slicer name="Category" xr10:uid="{416655F0-6B6F-4523-904B-AE0FD2E6EF3B}" cache="Slicer_Category" caption="Category" rowHeight="247650"/>
  <slicer name="OrderChannel" xr10:uid="{1024FF09-BC57-4524-9DC4-1F2802FC0B0C}" cache="Slicer_OrderChannel" caption="OrderChannel" rowHeight="247650"/>
  <slicer name="Region" xr10:uid="{8C14AB5B-C304-4E14-BA66-EFC3FBD67C41}"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C359230A-B436-4855-A97C-90E26A79C33F}" sourceName="OrderDate">
  <pivotTables>
    <pivotTable tabId="3" name="payment method"/>
    <pivotTable tabId="3" name="brand"/>
    <pivotTable tabId="3" name="delivery days"/>
    <pivotTable tabId="3" name="rating"/>
    <pivotTable tabId="3" name="return"/>
    <pivotTable tabId="3" name="state"/>
    <pivotTable tabId="3" name="total sales"/>
    <pivotTable tabId="3" name="month"/>
    <pivotTable tabId="3" name="order channel"/>
    <pivotTable tabId="3" name="product"/>
  </pivotTables>
  <state minimalRefreshVersion="6" lastRefreshVersion="6" pivotCacheId="1970605719"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34A6F0CA-E534-457F-B337-22220FF66D87}" cache="NativeTimeline_OrderDate" caption="OrderDate" level="2" selectionLevel="2" scrollPosition="2025-10-2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D21C1401-9655-4F24-8DB4-E1B7A436BCEF}" cache="NativeTimeline_OrderDate" caption="OrderDate" level="2" selectionLevel="2" scrollPosition="2026-05-18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0867-2674-439C-B0F1-1FC8F6BA64FA}">
  <sheetPr>
    <tabColor rgb="FFFFC000"/>
  </sheetPr>
  <dimension ref="A1"/>
  <sheetViews>
    <sheetView showGridLines="0" tabSelected="1" zoomScale="84" zoomScaleNormal="84" workbookViewId="0">
      <selection activeCell="AA3" sqref="AA3"/>
    </sheetView>
  </sheetViews>
  <sheetFormatPr defaultRowHeight="14.4" x14ac:dyDescent="0.3"/>
  <cols>
    <col min="1" max="16384" width="8.88671875" style="1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73DD1-43B8-4DAA-B1BE-18E06BB9B2BF}">
  <sheetPr>
    <tabColor rgb="FFFF0000"/>
  </sheetPr>
  <dimension ref="A2:AI28"/>
  <sheetViews>
    <sheetView topLeftCell="Q1" zoomScale="86" zoomScaleNormal="86" workbookViewId="0">
      <selection activeCell="AI2" sqref="AI2"/>
    </sheetView>
  </sheetViews>
  <sheetFormatPr defaultRowHeight="14.4" x14ac:dyDescent="0.3"/>
  <cols>
    <col min="1" max="1" width="12.88671875" bestFit="1" customWidth="1"/>
    <col min="2" max="2" width="18.21875" bestFit="1" customWidth="1"/>
    <col min="5" max="5" width="12.88671875" bestFit="1" customWidth="1"/>
    <col min="6" max="6" width="18.21875" bestFit="1" customWidth="1"/>
    <col min="9" max="9" width="12.88671875" bestFit="1" customWidth="1"/>
    <col min="10" max="10" width="18.21875" bestFit="1" customWidth="1"/>
    <col min="13" max="13" width="15" bestFit="1" customWidth="1"/>
    <col min="14" max="14" width="18.21875" bestFit="1" customWidth="1"/>
    <col min="17" max="17" width="12.88671875" bestFit="1" customWidth="1"/>
    <col min="18" max="18" width="18.21875" bestFit="1" customWidth="1"/>
    <col min="21" max="21" width="12.88671875" bestFit="1" customWidth="1"/>
    <col min="22" max="22" width="18.21875" bestFit="1" customWidth="1"/>
    <col min="25" max="25" width="12.88671875" bestFit="1" customWidth="1"/>
    <col min="26" max="26" width="18.21875" bestFit="1" customWidth="1"/>
    <col min="29" max="29" width="18.21875" bestFit="1" customWidth="1"/>
    <col min="32" max="32" width="21.33203125" bestFit="1" customWidth="1"/>
    <col min="35" max="35" width="15.44140625" bestFit="1" customWidth="1"/>
  </cols>
  <sheetData>
    <row r="2" spans="1:35" x14ac:dyDescent="0.3">
      <c r="AC2" s="10">
        <f>AC4</f>
        <v>80659661.129999921</v>
      </c>
      <c r="AF2" s="14">
        <f>AF4</f>
        <v>5.4630000000000001</v>
      </c>
      <c r="AI2" s="9">
        <f>AI4</f>
        <v>3.0019999999999998</v>
      </c>
    </row>
    <row r="3" spans="1:35" x14ac:dyDescent="0.3">
      <c r="A3" s="6" t="s">
        <v>1695</v>
      </c>
      <c r="B3" t="s">
        <v>1709</v>
      </c>
      <c r="E3" s="6" t="s">
        <v>1695</v>
      </c>
      <c r="F3" t="s">
        <v>1709</v>
      </c>
      <c r="I3" s="6" t="s">
        <v>1695</v>
      </c>
      <c r="J3" t="s">
        <v>1709</v>
      </c>
      <c r="M3" s="6" t="s">
        <v>1695</v>
      </c>
      <c r="N3" t="s">
        <v>1709</v>
      </c>
      <c r="Q3" s="6" t="s">
        <v>1695</v>
      </c>
      <c r="R3" t="s">
        <v>1709</v>
      </c>
      <c r="U3" s="6" t="s">
        <v>1695</v>
      </c>
      <c r="V3" t="s">
        <v>1709</v>
      </c>
      <c r="Y3" s="6" t="s">
        <v>1695</v>
      </c>
      <c r="Z3" t="s">
        <v>1709</v>
      </c>
      <c r="AC3" t="s">
        <v>1709</v>
      </c>
      <c r="AF3" t="s">
        <v>1710</v>
      </c>
      <c r="AI3" t="s">
        <v>1711</v>
      </c>
    </row>
    <row r="4" spans="1:35" x14ac:dyDescent="0.3">
      <c r="A4" s="7" t="s">
        <v>1697</v>
      </c>
      <c r="B4" s="8">
        <v>8.56446883512961E-2</v>
      </c>
      <c r="E4" s="7" t="s">
        <v>67</v>
      </c>
      <c r="F4" s="8">
        <v>8.5756091869164983E-2</v>
      </c>
      <c r="I4" s="7" t="s">
        <v>201</v>
      </c>
      <c r="J4" s="8">
        <v>7.5605540794069045E-2</v>
      </c>
      <c r="M4" s="7" t="s">
        <v>83</v>
      </c>
      <c r="N4" s="8">
        <v>0.23484261593252237</v>
      </c>
      <c r="Q4" s="7" t="s">
        <v>63</v>
      </c>
      <c r="R4" s="8">
        <v>0.50859993267120218</v>
      </c>
      <c r="U4" s="7" t="s">
        <v>103</v>
      </c>
      <c r="V4" s="8">
        <v>0.13517930285408342</v>
      </c>
      <c r="Y4" s="7" t="s">
        <v>38</v>
      </c>
      <c r="Z4" s="8">
        <v>0.50130134262318327</v>
      </c>
      <c r="AC4" s="10">
        <v>80659661.129999921</v>
      </c>
      <c r="AF4" s="10">
        <v>5.4630000000000001</v>
      </c>
      <c r="AI4" s="10">
        <v>3.0019999999999998</v>
      </c>
    </row>
    <row r="5" spans="1:35" x14ac:dyDescent="0.3">
      <c r="A5" s="7" t="s">
        <v>1698</v>
      </c>
      <c r="B5" s="8">
        <v>6.2402314359933889E-2</v>
      </c>
      <c r="E5" s="7" t="s">
        <v>90</v>
      </c>
      <c r="F5" s="8">
        <v>8.9874505030666019E-2</v>
      </c>
      <c r="I5" s="7" t="s">
        <v>125</v>
      </c>
      <c r="J5" s="8">
        <v>9.8825594954492446E-2</v>
      </c>
      <c r="M5" s="7" t="s">
        <v>45</v>
      </c>
      <c r="N5" s="8">
        <v>0.24382527603609319</v>
      </c>
      <c r="Q5" s="7" t="s">
        <v>34</v>
      </c>
      <c r="R5" s="8">
        <v>0.49140006732879776</v>
      </c>
      <c r="U5" s="7" t="s">
        <v>85</v>
      </c>
      <c r="V5" s="8">
        <v>0.120176115473348</v>
      </c>
      <c r="Y5" s="7" t="s">
        <v>47</v>
      </c>
      <c r="Z5" s="8">
        <v>0.49869865737681679</v>
      </c>
    </row>
    <row r="6" spans="1:35" x14ac:dyDescent="0.3">
      <c r="A6" s="7" t="s">
        <v>1699</v>
      </c>
      <c r="B6" s="8">
        <v>8.407114888656364E-2</v>
      </c>
      <c r="E6" s="7" t="s">
        <v>30</v>
      </c>
      <c r="F6" s="8">
        <v>0.11734726897432476</v>
      </c>
      <c r="I6" s="7" t="s">
        <v>53</v>
      </c>
      <c r="J6" s="8">
        <v>0.11045782681432896</v>
      </c>
      <c r="M6" s="7" t="s">
        <v>33</v>
      </c>
      <c r="N6" s="8">
        <v>0.25601057741513</v>
      </c>
      <c r="Q6" s="7" t="s">
        <v>1696</v>
      </c>
      <c r="R6" s="8">
        <v>1</v>
      </c>
      <c r="U6" s="7" t="s">
        <v>36</v>
      </c>
      <c r="V6" s="8">
        <v>0.27869229569127496</v>
      </c>
      <c r="Y6" s="7" t="s">
        <v>1696</v>
      </c>
      <c r="Z6" s="8">
        <v>1</v>
      </c>
    </row>
    <row r="7" spans="1:35" x14ac:dyDescent="0.3">
      <c r="A7" s="7" t="s">
        <v>1700</v>
      </c>
      <c r="B7" s="8">
        <v>8.0622742011264376E-2</v>
      </c>
      <c r="E7" s="7" t="s">
        <v>44</v>
      </c>
      <c r="F7" s="8">
        <v>0.12747846068219654</v>
      </c>
      <c r="I7" s="7" t="s">
        <v>62</v>
      </c>
      <c r="J7" s="8">
        <v>0.11831345304834903</v>
      </c>
      <c r="M7" s="7" t="s">
        <v>54</v>
      </c>
      <c r="N7" s="8">
        <v>0.26532153061625435</v>
      </c>
      <c r="U7" s="7" t="s">
        <v>56</v>
      </c>
      <c r="V7" s="8">
        <v>0.23219149755433638</v>
      </c>
    </row>
    <row r="8" spans="1:35" x14ac:dyDescent="0.3">
      <c r="A8" s="7" t="s">
        <v>1701</v>
      </c>
      <c r="B8" s="8">
        <v>7.8644186091685345E-2</v>
      </c>
      <c r="E8" s="7" t="s">
        <v>74</v>
      </c>
      <c r="F8" s="8">
        <v>9.248757006276799E-2</v>
      </c>
      <c r="I8" s="7" t="s">
        <v>69</v>
      </c>
      <c r="J8" s="8">
        <v>9.4789188088422544E-2</v>
      </c>
      <c r="M8" s="7" t="s">
        <v>1696</v>
      </c>
      <c r="N8" s="8">
        <v>1</v>
      </c>
      <c r="U8" s="7" t="s">
        <v>77</v>
      </c>
      <c r="V8" s="8">
        <v>0.10884441921780735</v>
      </c>
    </row>
    <row r="9" spans="1:35" x14ac:dyDescent="0.3">
      <c r="A9" s="7" t="s">
        <v>1702</v>
      </c>
      <c r="B9" s="8">
        <v>6.8126935856369378E-2</v>
      </c>
      <c r="E9" s="7" t="s">
        <v>139</v>
      </c>
      <c r="F9" s="8">
        <v>0.10019628047995989</v>
      </c>
      <c r="I9" s="7" t="s">
        <v>75</v>
      </c>
      <c r="J9" s="8">
        <v>9.7033368233294004E-2</v>
      </c>
      <c r="U9" s="7" t="s">
        <v>96</v>
      </c>
      <c r="V9" s="8">
        <v>0.12491636920914999</v>
      </c>
    </row>
    <row r="10" spans="1:35" x14ac:dyDescent="0.3">
      <c r="A10" s="7" t="s">
        <v>1703</v>
      </c>
      <c r="B10" s="8">
        <v>8.9830498646926327E-2</v>
      </c>
      <c r="E10" s="7" t="s">
        <v>94</v>
      </c>
      <c r="F10" s="8">
        <v>8.927502371221531E-2</v>
      </c>
      <c r="I10" s="7" t="s">
        <v>112</v>
      </c>
      <c r="J10" s="8">
        <v>0.10066246753645394</v>
      </c>
      <c r="U10" s="7" t="s">
        <v>1696</v>
      </c>
      <c r="V10" s="8">
        <v>1</v>
      </c>
    </row>
    <row r="11" spans="1:35" x14ac:dyDescent="0.3">
      <c r="A11" s="7" t="s">
        <v>1704</v>
      </c>
      <c r="B11" s="8">
        <v>8.8095021606248089E-2</v>
      </c>
      <c r="E11" s="7" t="s">
        <v>51</v>
      </c>
      <c r="F11" s="8">
        <v>0.10320517782219943</v>
      </c>
      <c r="I11" s="7" t="s">
        <v>150</v>
      </c>
      <c r="J11" s="8">
        <v>0.10197751335383029</v>
      </c>
    </row>
    <row r="12" spans="1:35" x14ac:dyDescent="0.3">
      <c r="A12" s="7" t="s">
        <v>1705</v>
      </c>
      <c r="B12" s="8">
        <v>8.9153586182441749E-2</v>
      </c>
      <c r="E12" s="7" t="s">
        <v>134</v>
      </c>
      <c r="F12" s="8">
        <v>8.9246608145277753E-2</v>
      </c>
      <c r="I12" s="7" t="s">
        <v>102</v>
      </c>
      <c r="J12" s="8">
        <v>8.4144933724196513E-2</v>
      </c>
    </row>
    <row r="13" spans="1:35" x14ac:dyDescent="0.3">
      <c r="A13" s="7" t="s">
        <v>1706</v>
      </c>
      <c r="B13" s="8">
        <v>8.6356432973028044E-2</v>
      </c>
      <c r="E13" s="7" t="s">
        <v>99</v>
      </c>
      <c r="F13" s="8">
        <v>0.10513301322122717</v>
      </c>
      <c r="I13" s="7" t="s">
        <v>32</v>
      </c>
      <c r="J13" s="8">
        <v>0.11819011345256311</v>
      </c>
      <c r="U13" s="11" t="s">
        <v>1695</v>
      </c>
      <c r="V13" s="11" t="s">
        <v>1709</v>
      </c>
    </row>
    <row r="14" spans="1:35" x14ac:dyDescent="0.3">
      <c r="A14" s="7" t="s">
        <v>1707</v>
      </c>
      <c r="B14" s="8">
        <v>8.2522954184893166E-2</v>
      </c>
      <c r="I14" s="7" t="s">
        <v>1696</v>
      </c>
      <c r="J14" s="8">
        <v>1</v>
      </c>
      <c r="U14" t="str">
        <f>IF(U4=0,"",U4)</f>
        <v>Delhi</v>
      </c>
      <c r="V14" s="12">
        <f>IF(V4=0,"",V4)</f>
        <v>0.13517930285408342</v>
      </c>
    </row>
    <row r="15" spans="1:35" x14ac:dyDescent="0.3">
      <c r="A15" s="7" t="s">
        <v>1708</v>
      </c>
      <c r="B15" s="8">
        <v>0.10452949084934995</v>
      </c>
      <c r="U15" t="str">
        <f t="shared" ref="U15:U19" si="0">IF(U5=0,"",U5)</f>
        <v>Karnataka</v>
      </c>
      <c r="V15" s="12">
        <f t="shared" ref="V15:V19" si="1">IF(V5=0,"",V5)</f>
        <v>0.120176115473348</v>
      </c>
    </row>
    <row r="16" spans="1:35" x14ac:dyDescent="0.3">
      <c r="A16" s="7" t="s">
        <v>1696</v>
      </c>
      <c r="B16" s="8">
        <v>1</v>
      </c>
      <c r="U16" t="str">
        <f t="shared" si="0"/>
        <v>Maharashtra</v>
      </c>
      <c r="V16" s="12">
        <f t="shared" si="1"/>
        <v>0.27869229569127496</v>
      </c>
    </row>
    <row r="17" spans="5:22" x14ac:dyDescent="0.3">
      <c r="U17" t="str">
        <f t="shared" si="0"/>
        <v>Punjab</v>
      </c>
      <c r="V17" s="12">
        <f t="shared" si="1"/>
        <v>0.23219149755433638</v>
      </c>
    </row>
    <row r="18" spans="5:22" x14ac:dyDescent="0.3">
      <c r="E18" t="s">
        <v>1695</v>
      </c>
      <c r="F18" t="s">
        <v>1709</v>
      </c>
      <c r="U18" t="str">
        <f t="shared" si="0"/>
        <v>Rajasthan</v>
      </c>
      <c r="V18" s="12">
        <f t="shared" si="1"/>
        <v>0.10884441921780735</v>
      </c>
    </row>
    <row r="19" spans="5:22" x14ac:dyDescent="0.3">
      <c r="E19" t="str">
        <f>IF(E4=0,"",E4)</f>
        <v>Backpack</v>
      </c>
      <c r="F19" s="8">
        <f>IF(F4=0,"",F4)</f>
        <v>8.5756091869164983E-2</v>
      </c>
      <c r="U19" t="str">
        <f t="shared" si="0"/>
        <v>Uttar Pradesh</v>
      </c>
      <c r="V19" s="12">
        <f t="shared" si="1"/>
        <v>0.12491636920914999</v>
      </c>
    </row>
    <row r="20" spans="5:22" x14ac:dyDescent="0.3">
      <c r="E20" t="str">
        <f t="shared" ref="E20:E28" si="2">IF(E5=0,"",E5)</f>
        <v>Camera</v>
      </c>
      <c r="F20" s="8">
        <f t="shared" ref="F20:F28" si="3">IF(F5=0,"",F5)</f>
        <v>8.9874505030666019E-2</v>
      </c>
    </row>
    <row r="21" spans="5:22" x14ac:dyDescent="0.3">
      <c r="E21" t="str">
        <f t="shared" si="2"/>
        <v>Headphones</v>
      </c>
      <c r="F21" s="8">
        <f t="shared" si="3"/>
        <v>0.11734726897432476</v>
      </c>
    </row>
    <row r="22" spans="5:22" x14ac:dyDescent="0.3">
      <c r="E22" t="str">
        <f t="shared" si="2"/>
        <v>Keyboard</v>
      </c>
      <c r="F22" s="8">
        <f t="shared" si="3"/>
        <v>0.12747846068219654</v>
      </c>
    </row>
    <row r="23" spans="5:22" x14ac:dyDescent="0.3">
      <c r="E23" t="str">
        <f t="shared" si="2"/>
        <v>Laptop</v>
      </c>
      <c r="F23" s="8">
        <f t="shared" si="3"/>
        <v>9.248757006276799E-2</v>
      </c>
    </row>
    <row r="24" spans="5:22" x14ac:dyDescent="0.3">
      <c r="E24" t="str">
        <f t="shared" si="2"/>
        <v>Mouse</v>
      </c>
      <c r="F24" s="8">
        <f t="shared" si="3"/>
        <v>0.10019628047995989</v>
      </c>
    </row>
    <row r="25" spans="5:22" x14ac:dyDescent="0.3">
      <c r="E25" t="str">
        <f t="shared" si="2"/>
        <v>Phone</v>
      </c>
      <c r="F25" s="8">
        <f t="shared" si="3"/>
        <v>8.927502371221531E-2</v>
      </c>
    </row>
    <row r="26" spans="5:22" x14ac:dyDescent="0.3">
      <c r="E26" t="str">
        <f t="shared" si="2"/>
        <v>Shoes</v>
      </c>
      <c r="F26" s="8">
        <f t="shared" si="3"/>
        <v>0.10320517782219943</v>
      </c>
    </row>
    <row r="27" spans="5:22" x14ac:dyDescent="0.3">
      <c r="E27" t="str">
        <f t="shared" si="2"/>
        <v>Tablet</v>
      </c>
      <c r="F27" s="8">
        <f t="shared" si="3"/>
        <v>8.9246608145277753E-2</v>
      </c>
    </row>
    <row r="28" spans="5:22" x14ac:dyDescent="0.3">
      <c r="E28" t="str">
        <f t="shared" si="2"/>
        <v>Watch</v>
      </c>
      <c r="F28" s="8">
        <f t="shared" si="3"/>
        <v>0.10513301322122717</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A5C7E-2197-4530-853F-312CA09DDF81}">
  <sheetPr>
    <tabColor rgb="FF92D050"/>
  </sheetPr>
  <dimension ref="A1:Z1001"/>
  <sheetViews>
    <sheetView workbookViewId="0"/>
  </sheetViews>
  <sheetFormatPr defaultRowHeight="14.4" x14ac:dyDescent="0.3"/>
  <cols>
    <col min="1" max="1" width="9.6640625" bestFit="1" customWidth="1"/>
    <col min="2" max="2" width="9.5546875" bestFit="1" customWidth="1"/>
    <col min="3" max="3" width="10.21875" bestFit="1" customWidth="1"/>
    <col min="4" max="4" width="13.109375" bestFit="1" customWidth="1"/>
    <col min="5" max="5" width="7" bestFit="1" customWidth="1"/>
    <col min="6" max="6" width="3.77734375" bestFit="1" customWidth="1"/>
    <col min="7" max="7" width="11.21875" bestFit="1" customWidth="1"/>
    <col min="8" max="8" width="10.88671875" bestFit="1" customWidth="1"/>
    <col min="9" max="9" width="11.21875" bestFit="1" customWidth="1"/>
    <col min="10" max="10" width="8.33203125" bestFit="1" customWidth="1"/>
    <col min="11" max="11" width="7.44140625" bestFit="1" customWidth="1"/>
    <col min="12" max="13" width="8" bestFit="1" customWidth="1"/>
    <col min="14" max="14" width="14.109375" bestFit="1" customWidth="1"/>
    <col min="15" max="15" width="9" bestFit="1" customWidth="1"/>
    <col min="16" max="16" width="11.44140625" bestFit="1" customWidth="1"/>
    <col min="17" max="17" width="10.6640625" bestFit="1" customWidth="1"/>
    <col min="18" max="18" width="14.21875" bestFit="1" customWidth="1"/>
    <col min="19" max="19" width="11.6640625" bestFit="1" customWidth="1"/>
    <col min="20" max="20" width="10.21875" bestFit="1" customWidth="1"/>
    <col min="21" max="21" width="12" bestFit="1" customWidth="1"/>
    <col min="22" max="22" width="6.21875" bestFit="1" customWidth="1"/>
    <col min="23" max="23" width="10.77734375" bestFit="1" customWidth="1"/>
    <col min="24" max="24" width="10.88671875" bestFit="1" customWidth="1"/>
    <col min="25" max="25" width="5.77734375" bestFit="1" customWidth="1"/>
    <col min="26" max="26" width="9.109375" bestFit="1"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s="2">
        <v>45854</v>
      </c>
      <c r="C2" t="s">
        <v>27</v>
      </c>
      <c r="D2" t="s">
        <v>28</v>
      </c>
      <c r="E2" t="s">
        <v>29</v>
      </c>
      <c r="F2">
        <v>35</v>
      </c>
      <c r="G2" t="s">
        <v>30</v>
      </c>
      <c r="H2" t="s">
        <v>31</v>
      </c>
      <c r="I2" t="s">
        <v>30</v>
      </c>
      <c r="J2" t="s">
        <v>32</v>
      </c>
      <c r="K2">
        <v>2</v>
      </c>
      <c r="L2">
        <v>24446</v>
      </c>
      <c r="M2">
        <v>5</v>
      </c>
      <c r="N2">
        <v>2444.6</v>
      </c>
      <c r="O2">
        <v>8360.5300000000007</v>
      </c>
      <c r="P2">
        <v>310</v>
      </c>
      <c r="Q2">
        <v>55117.93</v>
      </c>
      <c r="R2" t="s">
        <v>33</v>
      </c>
      <c r="S2" t="s">
        <v>34</v>
      </c>
      <c r="T2" t="s">
        <v>35</v>
      </c>
      <c r="U2" t="s">
        <v>36</v>
      </c>
      <c r="V2" t="s">
        <v>37</v>
      </c>
      <c r="W2">
        <v>1</v>
      </c>
      <c r="X2" t="s">
        <v>38</v>
      </c>
      <c r="Y2">
        <v>1</v>
      </c>
      <c r="Z2" t="s">
        <v>39</v>
      </c>
    </row>
    <row r="3" spans="1:26" x14ac:dyDescent="0.3">
      <c r="A3" t="s">
        <v>40</v>
      </c>
      <c r="B3" s="2">
        <v>45791</v>
      </c>
      <c r="C3" t="s">
        <v>41</v>
      </c>
      <c r="D3" t="s">
        <v>42</v>
      </c>
      <c r="E3" t="s">
        <v>43</v>
      </c>
      <c r="F3">
        <v>45</v>
      </c>
      <c r="G3" t="s">
        <v>44</v>
      </c>
      <c r="H3" t="s">
        <v>31</v>
      </c>
      <c r="I3" t="s">
        <v>44</v>
      </c>
      <c r="J3" t="s">
        <v>32</v>
      </c>
      <c r="K3">
        <v>2</v>
      </c>
      <c r="L3">
        <v>18047</v>
      </c>
      <c r="M3">
        <v>20</v>
      </c>
      <c r="N3">
        <v>7218.8</v>
      </c>
      <c r="O3">
        <v>5197.54</v>
      </c>
      <c r="P3">
        <v>363</v>
      </c>
      <c r="Q3">
        <v>34435.74</v>
      </c>
      <c r="R3" t="s">
        <v>45</v>
      </c>
      <c r="S3" t="s">
        <v>34</v>
      </c>
      <c r="T3" t="s">
        <v>46</v>
      </c>
      <c r="U3" t="s">
        <v>36</v>
      </c>
      <c r="V3" t="s">
        <v>37</v>
      </c>
      <c r="W3">
        <v>4</v>
      </c>
      <c r="X3" t="s">
        <v>38</v>
      </c>
      <c r="Y3">
        <v>1</v>
      </c>
      <c r="Z3" t="s">
        <v>47</v>
      </c>
    </row>
    <row r="4" spans="1:26" x14ac:dyDescent="0.3">
      <c r="A4" t="s">
        <v>48</v>
      </c>
      <c r="B4" s="2">
        <v>45897</v>
      </c>
      <c r="C4" t="s">
        <v>49</v>
      </c>
      <c r="D4" t="s">
        <v>50</v>
      </c>
      <c r="E4" t="s">
        <v>29</v>
      </c>
      <c r="F4">
        <v>29</v>
      </c>
      <c r="G4" t="s">
        <v>51</v>
      </c>
      <c r="H4" t="s">
        <v>52</v>
      </c>
      <c r="I4" t="s">
        <v>51</v>
      </c>
      <c r="J4" t="s">
        <v>53</v>
      </c>
      <c r="K4">
        <v>2</v>
      </c>
      <c r="L4">
        <v>15876</v>
      </c>
      <c r="M4">
        <v>5</v>
      </c>
      <c r="N4">
        <v>1587.6</v>
      </c>
      <c r="O4">
        <v>5429.59</v>
      </c>
      <c r="P4">
        <v>156</v>
      </c>
      <c r="Q4">
        <v>35749.99</v>
      </c>
      <c r="R4" t="s">
        <v>54</v>
      </c>
      <c r="S4" t="s">
        <v>34</v>
      </c>
      <c r="T4" t="s">
        <v>55</v>
      </c>
      <c r="U4" t="s">
        <v>56</v>
      </c>
      <c r="V4" t="s">
        <v>57</v>
      </c>
      <c r="W4">
        <v>3</v>
      </c>
      <c r="X4" t="s">
        <v>38</v>
      </c>
      <c r="Y4">
        <v>4</v>
      </c>
      <c r="Z4" t="s">
        <v>58</v>
      </c>
    </row>
    <row r="5" spans="1:26" x14ac:dyDescent="0.3">
      <c r="A5" t="s">
        <v>59</v>
      </c>
      <c r="B5" s="2">
        <v>45850</v>
      </c>
      <c r="C5" t="s">
        <v>60</v>
      </c>
      <c r="D5" t="s">
        <v>61</v>
      </c>
      <c r="E5" t="s">
        <v>29</v>
      </c>
      <c r="F5">
        <v>18</v>
      </c>
      <c r="G5" t="s">
        <v>44</v>
      </c>
      <c r="H5" t="s">
        <v>31</v>
      </c>
      <c r="I5" t="s">
        <v>44</v>
      </c>
      <c r="J5" t="s">
        <v>62</v>
      </c>
      <c r="K5">
        <v>4</v>
      </c>
      <c r="L5">
        <v>22930</v>
      </c>
      <c r="M5">
        <v>15</v>
      </c>
      <c r="N5">
        <v>13758</v>
      </c>
      <c r="O5">
        <v>14033.16</v>
      </c>
      <c r="P5">
        <v>264</v>
      </c>
      <c r="Q5">
        <v>92259.16</v>
      </c>
      <c r="R5" t="s">
        <v>45</v>
      </c>
      <c r="S5" t="s">
        <v>63</v>
      </c>
      <c r="T5" t="s">
        <v>55</v>
      </c>
      <c r="U5" t="s">
        <v>56</v>
      </c>
      <c r="V5" t="s">
        <v>57</v>
      </c>
      <c r="W5">
        <v>10</v>
      </c>
      <c r="X5" t="s">
        <v>38</v>
      </c>
      <c r="Y5">
        <v>2</v>
      </c>
      <c r="Z5" t="s">
        <v>39</v>
      </c>
    </row>
    <row r="6" spans="1:26" x14ac:dyDescent="0.3">
      <c r="A6" t="s">
        <v>64</v>
      </c>
      <c r="B6" s="2">
        <v>45929</v>
      </c>
      <c r="C6" t="s">
        <v>65</v>
      </c>
      <c r="D6" t="s">
        <v>66</v>
      </c>
      <c r="E6" t="s">
        <v>43</v>
      </c>
      <c r="F6">
        <v>22</v>
      </c>
      <c r="G6" t="s">
        <v>67</v>
      </c>
      <c r="H6" t="s">
        <v>68</v>
      </c>
      <c r="I6" t="s">
        <v>67</v>
      </c>
      <c r="J6" t="s">
        <v>69</v>
      </c>
      <c r="K6">
        <v>3</v>
      </c>
      <c r="L6">
        <v>28947</v>
      </c>
      <c r="M6">
        <v>10</v>
      </c>
      <c r="N6">
        <v>8684.1</v>
      </c>
      <c r="O6">
        <v>14068.24</v>
      </c>
      <c r="P6">
        <v>398</v>
      </c>
      <c r="Q6">
        <v>92623.14</v>
      </c>
      <c r="R6" t="s">
        <v>33</v>
      </c>
      <c r="S6" t="s">
        <v>63</v>
      </c>
      <c r="T6" t="s">
        <v>70</v>
      </c>
      <c r="U6" t="s">
        <v>56</v>
      </c>
      <c r="V6" t="s">
        <v>57</v>
      </c>
      <c r="W6">
        <v>6</v>
      </c>
      <c r="X6" t="s">
        <v>38</v>
      </c>
      <c r="Y6">
        <v>2</v>
      </c>
      <c r="Z6" t="s">
        <v>39</v>
      </c>
    </row>
    <row r="7" spans="1:26" x14ac:dyDescent="0.3">
      <c r="A7" t="s">
        <v>71</v>
      </c>
      <c r="B7" s="2">
        <v>46058</v>
      </c>
      <c r="C7" t="s">
        <v>72</v>
      </c>
      <c r="D7" t="s">
        <v>73</v>
      </c>
      <c r="E7" t="s">
        <v>43</v>
      </c>
      <c r="F7">
        <v>45</v>
      </c>
      <c r="G7" t="s">
        <v>74</v>
      </c>
      <c r="H7" t="s">
        <v>31</v>
      </c>
      <c r="I7" t="s">
        <v>74</v>
      </c>
      <c r="J7" t="s">
        <v>75</v>
      </c>
      <c r="K7">
        <v>5</v>
      </c>
      <c r="L7">
        <v>5222</v>
      </c>
      <c r="M7">
        <v>10</v>
      </c>
      <c r="N7">
        <v>2611</v>
      </c>
      <c r="O7">
        <v>4229.82</v>
      </c>
      <c r="P7">
        <v>392</v>
      </c>
      <c r="Q7">
        <v>28120.82</v>
      </c>
      <c r="R7" t="s">
        <v>33</v>
      </c>
      <c r="S7" t="s">
        <v>63</v>
      </c>
      <c r="T7" t="s">
        <v>76</v>
      </c>
      <c r="U7" t="s">
        <v>77</v>
      </c>
      <c r="V7" t="s">
        <v>57</v>
      </c>
      <c r="W7">
        <v>6</v>
      </c>
      <c r="X7" t="s">
        <v>38</v>
      </c>
      <c r="Y7">
        <v>3</v>
      </c>
      <c r="Z7" t="s">
        <v>39</v>
      </c>
    </row>
    <row r="8" spans="1:26" x14ac:dyDescent="0.3">
      <c r="A8" t="s">
        <v>78</v>
      </c>
      <c r="B8" s="2">
        <v>46009</v>
      </c>
      <c r="C8" t="s">
        <v>79</v>
      </c>
      <c r="D8" t="s">
        <v>80</v>
      </c>
      <c r="E8" t="s">
        <v>29</v>
      </c>
      <c r="F8">
        <v>42</v>
      </c>
      <c r="G8" t="s">
        <v>30</v>
      </c>
      <c r="H8" t="s">
        <v>31</v>
      </c>
      <c r="I8" t="s">
        <v>30</v>
      </c>
      <c r="J8" t="s">
        <v>62</v>
      </c>
      <c r="K8">
        <v>3</v>
      </c>
      <c r="L8">
        <v>47976</v>
      </c>
      <c r="M8">
        <v>10</v>
      </c>
      <c r="N8">
        <v>14392.8</v>
      </c>
      <c r="O8">
        <v>23316.34</v>
      </c>
      <c r="P8">
        <v>272</v>
      </c>
      <c r="Q8">
        <v>153123.54</v>
      </c>
      <c r="R8" t="s">
        <v>45</v>
      </c>
      <c r="S8" t="s">
        <v>63</v>
      </c>
      <c r="T8" t="s">
        <v>35</v>
      </c>
      <c r="U8" t="s">
        <v>36</v>
      </c>
      <c r="V8" t="s">
        <v>37</v>
      </c>
      <c r="W8">
        <v>7</v>
      </c>
      <c r="X8" t="s">
        <v>47</v>
      </c>
      <c r="Y8">
        <v>1</v>
      </c>
      <c r="Z8" t="s">
        <v>47</v>
      </c>
    </row>
    <row r="9" spans="1:26" x14ac:dyDescent="0.3">
      <c r="A9" t="s">
        <v>81</v>
      </c>
      <c r="B9" s="2">
        <v>45781</v>
      </c>
      <c r="C9" t="s">
        <v>82</v>
      </c>
      <c r="D9" t="s">
        <v>50</v>
      </c>
      <c r="E9" t="s">
        <v>43</v>
      </c>
      <c r="F9">
        <v>28</v>
      </c>
      <c r="G9" t="s">
        <v>44</v>
      </c>
      <c r="H9" t="s">
        <v>31</v>
      </c>
      <c r="I9" t="s">
        <v>44</v>
      </c>
      <c r="J9" t="s">
        <v>69</v>
      </c>
      <c r="K9">
        <v>1</v>
      </c>
      <c r="L9">
        <v>15216</v>
      </c>
      <c r="M9">
        <v>10</v>
      </c>
      <c r="N9">
        <v>1521.6</v>
      </c>
      <c r="O9">
        <v>2464.9899999999998</v>
      </c>
      <c r="P9">
        <v>366</v>
      </c>
      <c r="Q9">
        <v>16525.39</v>
      </c>
      <c r="R9" t="s">
        <v>83</v>
      </c>
      <c r="S9" t="s">
        <v>34</v>
      </c>
      <c r="T9" t="s">
        <v>84</v>
      </c>
      <c r="U9" t="s">
        <v>85</v>
      </c>
      <c r="V9" t="s">
        <v>86</v>
      </c>
      <c r="W9">
        <v>3</v>
      </c>
      <c r="X9" t="s">
        <v>38</v>
      </c>
      <c r="Y9">
        <v>4</v>
      </c>
      <c r="Z9" t="s">
        <v>47</v>
      </c>
    </row>
    <row r="10" spans="1:26" x14ac:dyDescent="0.3">
      <c r="A10" t="s">
        <v>87</v>
      </c>
      <c r="B10" s="2">
        <v>45778</v>
      </c>
      <c r="C10" t="s">
        <v>88</v>
      </c>
      <c r="D10" t="s">
        <v>89</v>
      </c>
      <c r="E10" t="s">
        <v>43</v>
      </c>
      <c r="F10">
        <v>52</v>
      </c>
      <c r="G10" t="s">
        <v>90</v>
      </c>
      <c r="H10" t="s">
        <v>31</v>
      </c>
      <c r="I10" t="s">
        <v>90</v>
      </c>
      <c r="J10" t="s">
        <v>75</v>
      </c>
      <c r="K10">
        <v>3</v>
      </c>
      <c r="L10">
        <v>39902</v>
      </c>
      <c r="M10">
        <v>0</v>
      </c>
      <c r="N10">
        <v>0</v>
      </c>
      <c r="O10">
        <v>21547.08</v>
      </c>
      <c r="P10">
        <v>82</v>
      </c>
      <c r="Q10">
        <v>141335.07999999999</v>
      </c>
      <c r="R10" t="s">
        <v>54</v>
      </c>
      <c r="S10" t="s">
        <v>34</v>
      </c>
      <c r="T10" t="s">
        <v>84</v>
      </c>
      <c r="U10" t="s">
        <v>85</v>
      </c>
      <c r="V10" t="s">
        <v>86</v>
      </c>
      <c r="W10">
        <v>8</v>
      </c>
      <c r="X10" t="s">
        <v>38</v>
      </c>
      <c r="Y10">
        <v>4</v>
      </c>
      <c r="Z10" t="s">
        <v>91</v>
      </c>
    </row>
    <row r="11" spans="1:26" x14ac:dyDescent="0.3">
      <c r="A11" t="s">
        <v>92</v>
      </c>
      <c r="B11" s="2">
        <v>45863</v>
      </c>
      <c r="C11" t="s">
        <v>93</v>
      </c>
      <c r="D11" t="s">
        <v>89</v>
      </c>
      <c r="E11" t="s">
        <v>29</v>
      </c>
      <c r="F11">
        <v>32</v>
      </c>
      <c r="G11" t="s">
        <v>94</v>
      </c>
      <c r="H11" t="s">
        <v>31</v>
      </c>
      <c r="I11" t="s">
        <v>94</v>
      </c>
      <c r="J11" t="s">
        <v>32</v>
      </c>
      <c r="K11">
        <v>5</v>
      </c>
      <c r="L11">
        <v>20474</v>
      </c>
      <c r="M11">
        <v>5</v>
      </c>
      <c r="N11">
        <v>5118.5</v>
      </c>
      <c r="O11">
        <v>17505.27</v>
      </c>
      <c r="P11">
        <v>217</v>
      </c>
      <c r="Q11">
        <v>114973.77</v>
      </c>
      <c r="R11" t="s">
        <v>83</v>
      </c>
      <c r="S11" t="s">
        <v>63</v>
      </c>
      <c r="T11" t="s">
        <v>95</v>
      </c>
      <c r="U11" t="s">
        <v>96</v>
      </c>
      <c r="V11" t="s">
        <v>57</v>
      </c>
      <c r="W11">
        <v>7</v>
      </c>
      <c r="X11" t="s">
        <v>38</v>
      </c>
      <c r="Y11">
        <v>5</v>
      </c>
      <c r="Z11" t="s">
        <v>91</v>
      </c>
    </row>
    <row r="12" spans="1:26" x14ac:dyDescent="0.3">
      <c r="A12" t="s">
        <v>97</v>
      </c>
      <c r="B12" s="2">
        <v>45832</v>
      </c>
      <c r="C12" t="s">
        <v>98</v>
      </c>
      <c r="D12" t="s">
        <v>80</v>
      </c>
      <c r="E12" t="s">
        <v>43</v>
      </c>
      <c r="F12">
        <v>22</v>
      </c>
      <c r="G12" t="s">
        <v>99</v>
      </c>
      <c r="H12" t="s">
        <v>52</v>
      </c>
      <c r="I12" t="s">
        <v>99</v>
      </c>
      <c r="J12" t="s">
        <v>62</v>
      </c>
      <c r="K12">
        <v>5</v>
      </c>
      <c r="L12">
        <v>33495</v>
      </c>
      <c r="M12">
        <v>0</v>
      </c>
      <c r="N12">
        <v>0</v>
      </c>
      <c r="O12">
        <v>30145.5</v>
      </c>
      <c r="P12">
        <v>336</v>
      </c>
      <c r="Q12">
        <v>197956.5</v>
      </c>
      <c r="R12" t="s">
        <v>83</v>
      </c>
      <c r="S12" t="s">
        <v>34</v>
      </c>
      <c r="T12" t="s">
        <v>84</v>
      </c>
      <c r="U12" t="s">
        <v>85</v>
      </c>
      <c r="V12" t="s">
        <v>86</v>
      </c>
      <c r="W12">
        <v>10</v>
      </c>
      <c r="X12" t="s">
        <v>38</v>
      </c>
      <c r="Y12">
        <v>4</v>
      </c>
      <c r="Z12" t="s">
        <v>47</v>
      </c>
    </row>
    <row r="13" spans="1:26" x14ac:dyDescent="0.3">
      <c r="A13" t="s">
        <v>100</v>
      </c>
      <c r="B13" s="2">
        <v>46033</v>
      </c>
      <c r="C13" t="s">
        <v>101</v>
      </c>
      <c r="D13" t="s">
        <v>50</v>
      </c>
      <c r="E13" t="s">
        <v>29</v>
      </c>
      <c r="F13">
        <v>58</v>
      </c>
      <c r="G13" t="s">
        <v>30</v>
      </c>
      <c r="H13" t="s">
        <v>31</v>
      </c>
      <c r="I13" t="s">
        <v>30</v>
      </c>
      <c r="J13" t="s">
        <v>102</v>
      </c>
      <c r="K13">
        <v>5</v>
      </c>
      <c r="L13">
        <v>28508</v>
      </c>
      <c r="M13">
        <v>0</v>
      </c>
      <c r="N13">
        <v>0</v>
      </c>
      <c r="O13">
        <v>25657.200000000001</v>
      </c>
      <c r="P13">
        <v>8</v>
      </c>
      <c r="Q13">
        <v>168205.2</v>
      </c>
      <c r="R13" t="s">
        <v>33</v>
      </c>
      <c r="S13" t="s">
        <v>34</v>
      </c>
      <c r="T13" t="s">
        <v>103</v>
      </c>
      <c r="U13" t="s">
        <v>103</v>
      </c>
      <c r="V13" t="s">
        <v>57</v>
      </c>
      <c r="W13">
        <v>4</v>
      </c>
      <c r="X13" t="s">
        <v>47</v>
      </c>
      <c r="Y13">
        <v>1</v>
      </c>
      <c r="Z13" t="s">
        <v>47</v>
      </c>
    </row>
    <row r="14" spans="1:26" x14ac:dyDescent="0.3">
      <c r="A14" t="s">
        <v>104</v>
      </c>
      <c r="B14" s="2">
        <v>45970</v>
      </c>
      <c r="C14" t="s">
        <v>105</v>
      </c>
      <c r="D14" t="s">
        <v>66</v>
      </c>
      <c r="E14" t="s">
        <v>29</v>
      </c>
      <c r="F14">
        <v>25</v>
      </c>
      <c r="G14" t="s">
        <v>94</v>
      </c>
      <c r="H14" t="s">
        <v>31</v>
      </c>
      <c r="I14" t="s">
        <v>94</v>
      </c>
      <c r="J14" t="s">
        <v>69</v>
      </c>
      <c r="K14">
        <v>3</v>
      </c>
      <c r="L14">
        <v>25199</v>
      </c>
      <c r="M14">
        <v>10</v>
      </c>
      <c r="N14">
        <v>7559.7</v>
      </c>
      <c r="O14">
        <v>12246.71</v>
      </c>
      <c r="P14">
        <v>373</v>
      </c>
      <c r="Q14">
        <v>80657.009999999995</v>
      </c>
      <c r="R14" t="s">
        <v>54</v>
      </c>
      <c r="S14" t="s">
        <v>63</v>
      </c>
      <c r="T14" t="s">
        <v>95</v>
      </c>
      <c r="U14" t="s">
        <v>96</v>
      </c>
      <c r="V14" t="s">
        <v>57</v>
      </c>
      <c r="W14">
        <v>6</v>
      </c>
      <c r="X14" t="s">
        <v>38</v>
      </c>
      <c r="Y14">
        <v>4</v>
      </c>
      <c r="Z14" t="s">
        <v>47</v>
      </c>
    </row>
    <row r="15" spans="1:26" x14ac:dyDescent="0.3">
      <c r="A15" t="s">
        <v>106</v>
      </c>
      <c r="B15" s="2">
        <v>45960</v>
      </c>
      <c r="C15" t="s">
        <v>107</v>
      </c>
      <c r="D15" t="s">
        <v>108</v>
      </c>
      <c r="E15" t="s">
        <v>29</v>
      </c>
      <c r="F15">
        <v>22</v>
      </c>
      <c r="G15" t="s">
        <v>51</v>
      </c>
      <c r="H15" t="s">
        <v>52</v>
      </c>
      <c r="I15" t="s">
        <v>51</v>
      </c>
      <c r="J15" t="s">
        <v>62</v>
      </c>
      <c r="K15">
        <v>3</v>
      </c>
      <c r="L15">
        <v>528</v>
      </c>
      <c r="M15">
        <v>5</v>
      </c>
      <c r="N15">
        <v>79.2</v>
      </c>
      <c r="O15">
        <v>270.86</v>
      </c>
      <c r="P15">
        <v>489</v>
      </c>
      <c r="Q15">
        <v>2264.66</v>
      </c>
      <c r="R15" t="s">
        <v>83</v>
      </c>
      <c r="S15" t="s">
        <v>63</v>
      </c>
      <c r="T15" t="s">
        <v>76</v>
      </c>
      <c r="U15" t="s">
        <v>77</v>
      </c>
      <c r="V15" t="s">
        <v>57</v>
      </c>
      <c r="W15">
        <v>7</v>
      </c>
      <c r="X15" t="s">
        <v>47</v>
      </c>
      <c r="Y15">
        <v>5</v>
      </c>
      <c r="Z15" t="s">
        <v>39</v>
      </c>
    </row>
    <row r="16" spans="1:26" x14ac:dyDescent="0.3">
      <c r="A16" t="s">
        <v>109</v>
      </c>
      <c r="B16" s="2">
        <v>46094</v>
      </c>
      <c r="C16" t="s">
        <v>110</v>
      </c>
      <c r="D16" t="s">
        <v>111</v>
      </c>
      <c r="E16" t="s">
        <v>43</v>
      </c>
      <c r="F16">
        <v>19</v>
      </c>
      <c r="G16" t="s">
        <v>30</v>
      </c>
      <c r="H16" s="3" t="s">
        <v>31</v>
      </c>
      <c r="I16" t="s">
        <v>30</v>
      </c>
      <c r="J16" t="s">
        <v>112</v>
      </c>
      <c r="K16">
        <v>2</v>
      </c>
      <c r="L16">
        <v>4978</v>
      </c>
      <c r="M16">
        <v>10</v>
      </c>
      <c r="N16">
        <v>995.6</v>
      </c>
      <c r="O16">
        <v>1612.87</v>
      </c>
      <c r="P16">
        <v>228</v>
      </c>
      <c r="Q16">
        <v>10801.27</v>
      </c>
      <c r="R16" t="s">
        <v>33</v>
      </c>
      <c r="S16" t="s">
        <v>63</v>
      </c>
      <c r="T16" t="s">
        <v>76</v>
      </c>
      <c r="U16" t="s">
        <v>77</v>
      </c>
      <c r="V16" t="s">
        <v>57</v>
      </c>
      <c r="W16">
        <v>8</v>
      </c>
      <c r="X16" t="s">
        <v>47</v>
      </c>
      <c r="Y16">
        <v>3</v>
      </c>
      <c r="Z16" t="s">
        <v>91</v>
      </c>
    </row>
    <row r="17" spans="1:26" x14ac:dyDescent="0.3">
      <c r="A17" t="s">
        <v>113</v>
      </c>
      <c r="B17" s="2">
        <v>46001</v>
      </c>
      <c r="C17" t="s">
        <v>114</v>
      </c>
      <c r="D17" t="s">
        <v>108</v>
      </c>
      <c r="E17" t="s">
        <v>43</v>
      </c>
      <c r="F17">
        <v>51</v>
      </c>
      <c r="G17" t="s">
        <v>74</v>
      </c>
      <c r="H17" t="s">
        <v>31</v>
      </c>
      <c r="I17" t="s">
        <v>74</v>
      </c>
      <c r="J17" t="s">
        <v>102</v>
      </c>
      <c r="K17">
        <v>5</v>
      </c>
      <c r="L17">
        <v>46989</v>
      </c>
      <c r="M17">
        <v>10</v>
      </c>
      <c r="N17">
        <v>23494.5</v>
      </c>
      <c r="O17">
        <v>38061.089999999997</v>
      </c>
      <c r="P17">
        <v>201</v>
      </c>
      <c r="Q17">
        <v>249712.59</v>
      </c>
      <c r="R17" t="s">
        <v>54</v>
      </c>
      <c r="S17" t="s">
        <v>34</v>
      </c>
      <c r="T17" t="s">
        <v>84</v>
      </c>
      <c r="U17" t="s">
        <v>85</v>
      </c>
      <c r="V17" t="s">
        <v>86</v>
      </c>
      <c r="W17">
        <v>9</v>
      </c>
      <c r="X17" t="s">
        <v>47</v>
      </c>
      <c r="Y17">
        <v>4</v>
      </c>
      <c r="Z17" t="s">
        <v>39</v>
      </c>
    </row>
    <row r="18" spans="1:26" x14ac:dyDescent="0.3">
      <c r="A18" t="s">
        <v>115</v>
      </c>
      <c r="B18" s="2">
        <v>45808</v>
      </c>
      <c r="C18" t="s">
        <v>116</v>
      </c>
      <c r="D18" t="s">
        <v>111</v>
      </c>
      <c r="E18" t="s">
        <v>29</v>
      </c>
      <c r="F18">
        <v>31</v>
      </c>
      <c r="G18" t="s">
        <v>67</v>
      </c>
      <c r="H18" t="s">
        <v>68</v>
      </c>
      <c r="I18" t="s">
        <v>67</v>
      </c>
      <c r="J18" t="s">
        <v>69</v>
      </c>
      <c r="K18">
        <v>1</v>
      </c>
      <c r="L18">
        <v>48667</v>
      </c>
      <c r="M18">
        <v>5</v>
      </c>
      <c r="N18">
        <v>2433.35</v>
      </c>
      <c r="O18">
        <v>8322.06</v>
      </c>
      <c r="P18">
        <v>58</v>
      </c>
      <c r="Q18">
        <v>54613.71</v>
      </c>
      <c r="R18" t="s">
        <v>83</v>
      </c>
      <c r="S18" t="s">
        <v>63</v>
      </c>
      <c r="T18" t="s">
        <v>84</v>
      </c>
      <c r="U18" t="s">
        <v>85</v>
      </c>
      <c r="V18" t="s">
        <v>86</v>
      </c>
      <c r="W18">
        <v>1</v>
      </c>
      <c r="X18" t="s">
        <v>47</v>
      </c>
      <c r="Y18">
        <v>2</v>
      </c>
      <c r="Z18" t="s">
        <v>91</v>
      </c>
    </row>
    <row r="19" spans="1:26" x14ac:dyDescent="0.3">
      <c r="A19" t="s">
        <v>117</v>
      </c>
      <c r="B19" s="2">
        <v>45784</v>
      </c>
      <c r="C19" t="s">
        <v>118</v>
      </c>
      <c r="D19" t="s">
        <v>66</v>
      </c>
      <c r="E19" t="s">
        <v>29</v>
      </c>
      <c r="F19">
        <v>31</v>
      </c>
      <c r="G19" t="s">
        <v>94</v>
      </c>
      <c r="H19" t="s">
        <v>31</v>
      </c>
      <c r="I19" t="s">
        <v>94</v>
      </c>
      <c r="J19" t="s">
        <v>53</v>
      </c>
      <c r="K19">
        <v>3</v>
      </c>
      <c r="L19">
        <v>33636</v>
      </c>
      <c r="M19">
        <v>10</v>
      </c>
      <c r="N19">
        <v>10090.799999999999</v>
      </c>
      <c r="O19">
        <v>16347.1</v>
      </c>
      <c r="P19">
        <v>272</v>
      </c>
      <c r="Q19">
        <v>107436.3</v>
      </c>
      <c r="R19" t="s">
        <v>83</v>
      </c>
      <c r="S19" t="s">
        <v>34</v>
      </c>
      <c r="T19" t="s">
        <v>76</v>
      </c>
      <c r="U19" t="s">
        <v>77</v>
      </c>
      <c r="V19" t="s">
        <v>57</v>
      </c>
      <c r="W19">
        <v>1</v>
      </c>
      <c r="X19" t="s">
        <v>38</v>
      </c>
      <c r="Y19">
        <v>3</v>
      </c>
      <c r="Z19" t="s">
        <v>39</v>
      </c>
    </row>
    <row r="20" spans="1:26" x14ac:dyDescent="0.3">
      <c r="A20" t="s">
        <v>119</v>
      </c>
      <c r="B20" s="2">
        <v>45987</v>
      </c>
      <c r="C20" t="s">
        <v>120</v>
      </c>
      <c r="D20" t="s">
        <v>66</v>
      </c>
      <c r="E20" t="s">
        <v>43</v>
      </c>
      <c r="F20">
        <v>55</v>
      </c>
      <c r="G20" t="s">
        <v>51</v>
      </c>
      <c r="H20" t="s">
        <v>52</v>
      </c>
      <c r="I20" t="s">
        <v>51</v>
      </c>
      <c r="J20" t="s">
        <v>53</v>
      </c>
      <c r="K20">
        <v>3</v>
      </c>
      <c r="L20">
        <v>40213</v>
      </c>
      <c r="M20">
        <v>15</v>
      </c>
      <c r="N20">
        <v>18095.849999999999</v>
      </c>
      <c r="O20">
        <v>18457.77</v>
      </c>
      <c r="P20">
        <v>371</v>
      </c>
      <c r="Q20">
        <v>121371.92</v>
      </c>
      <c r="R20" t="s">
        <v>33</v>
      </c>
      <c r="S20" t="s">
        <v>34</v>
      </c>
      <c r="T20" t="s">
        <v>55</v>
      </c>
      <c r="U20" t="s">
        <v>56</v>
      </c>
      <c r="V20" t="s">
        <v>57</v>
      </c>
      <c r="W20">
        <v>6</v>
      </c>
      <c r="X20" t="s">
        <v>47</v>
      </c>
      <c r="Y20">
        <v>4</v>
      </c>
      <c r="Z20" t="s">
        <v>47</v>
      </c>
    </row>
    <row r="21" spans="1:26" x14ac:dyDescent="0.3">
      <c r="A21" t="s">
        <v>121</v>
      </c>
      <c r="B21" s="2">
        <v>45895</v>
      </c>
      <c r="C21" t="s">
        <v>122</v>
      </c>
      <c r="D21" t="s">
        <v>111</v>
      </c>
      <c r="E21" t="s">
        <v>29</v>
      </c>
      <c r="F21">
        <v>36</v>
      </c>
      <c r="G21" t="s">
        <v>51</v>
      </c>
      <c r="H21" t="s">
        <v>52</v>
      </c>
      <c r="I21" t="s">
        <v>51</v>
      </c>
      <c r="J21" t="s">
        <v>102</v>
      </c>
      <c r="K21">
        <v>4</v>
      </c>
      <c r="L21">
        <v>7214</v>
      </c>
      <c r="M21">
        <v>5</v>
      </c>
      <c r="N21">
        <v>1442.8</v>
      </c>
      <c r="O21">
        <v>4934.38</v>
      </c>
      <c r="P21">
        <v>443</v>
      </c>
      <c r="Q21">
        <v>32790.58</v>
      </c>
      <c r="R21" t="s">
        <v>33</v>
      </c>
      <c r="S21" t="s">
        <v>63</v>
      </c>
      <c r="T21" t="s">
        <v>95</v>
      </c>
      <c r="U21" t="s">
        <v>96</v>
      </c>
      <c r="V21" t="s">
        <v>57</v>
      </c>
      <c r="W21">
        <v>9</v>
      </c>
      <c r="X21" t="s">
        <v>38</v>
      </c>
      <c r="Y21">
        <v>5</v>
      </c>
      <c r="Z21" t="s">
        <v>47</v>
      </c>
    </row>
    <row r="22" spans="1:26" x14ac:dyDescent="0.3">
      <c r="A22" t="s">
        <v>123</v>
      </c>
      <c r="B22" s="2">
        <v>46019</v>
      </c>
      <c r="C22" t="s">
        <v>124</v>
      </c>
      <c r="D22" t="s">
        <v>111</v>
      </c>
      <c r="E22" t="s">
        <v>43</v>
      </c>
      <c r="F22">
        <v>54</v>
      </c>
      <c r="G22" t="s">
        <v>30</v>
      </c>
      <c r="H22" t="s">
        <v>31</v>
      </c>
      <c r="I22" t="s">
        <v>30</v>
      </c>
      <c r="J22" t="s">
        <v>125</v>
      </c>
      <c r="K22">
        <v>2</v>
      </c>
      <c r="L22">
        <v>33517</v>
      </c>
      <c r="M22">
        <v>0</v>
      </c>
      <c r="N22">
        <v>0</v>
      </c>
      <c r="O22">
        <v>12066.12</v>
      </c>
      <c r="P22">
        <v>341</v>
      </c>
      <c r="Q22">
        <v>79441.119999999995</v>
      </c>
      <c r="R22" t="s">
        <v>83</v>
      </c>
      <c r="S22" t="s">
        <v>63</v>
      </c>
      <c r="T22" t="s">
        <v>76</v>
      </c>
      <c r="U22" t="s">
        <v>77</v>
      </c>
      <c r="V22" t="s">
        <v>57</v>
      </c>
      <c r="W22">
        <v>5</v>
      </c>
      <c r="X22" t="s">
        <v>47</v>
      </c>
      <c r="Y22">
        <v>3</v>
      </c>
      <c r="Z22" t="s">
        <v>58</v>
      </c>
    </row>
    <row r="23" spans="1:26" x14ac:dyDescent="0.3">
      <c r="A23" t="s">
        <v>126</v>
      </c>
      <c r="B23" s="2">
        <v>46014</v>
      </c>
      <c r="C23" t="s">
        <v>127</v>
      </c>
      <c r="D23" t="s">
        <v>61</v>
      </c>
      <c r="E23" t="s">
        <v>29</v>
      </c>
      <c r="F23">
        <v>45</v>
      </c>
      <c r="G23" t="s">
        <v>67</v>
      </c>
      <c r="H23" t="s">
        <v>68</v>
      </c>
      <c r="I23" t="s">
        <v>67</v>
      </c>
      <c r="J23" t="s">
        <v>102</v>
      </c>
      <c r="K23">
        <v>1</v>
      </c>
      <c r="L23">
        <v>29256</v>
      </c>
      <c r="M23">
        <v>15</v>
      </c>
      <c r="N23">
        <v>4388.3999999999996</v>
      </c>
      <c r="O23">
        <v>4476.17</v>
      </c>
      <c r="P23">
        <v>37</v>
      </c>
      <c r="Q23">
        <v>29380.77</v>
      </c>
      <c r="R23" t="s">
        <v>83</v>
      </c>
      <c r="S23" t="s">
        <v>63</v>
      </c>
      <c r="T23" t="s">
        <v>95</v>
      </c>
      <c r="U23" t="s">
        <v>96</v>
      </c>
      <c r="V23" t="s">
        <v>57</v>
      </c>
      <c r="W23">
        <v>9</v>
      </c>
      <c r="X23" t="s">
        <v>38</v>
      </c>
      <c r="Y23">
        <v>4</v>
      </c>
      <c r="Z23" t="s">
        <v>58</v>
      </c>
    </row>
    <row r="24" spans="1:26" x14ac:dyDescent="0.3">
      <c r="A24" t="s">
        <v>128</v>
      </c>
      <c r="B24" s="2">
        <v>46079</v>
      </c>
      <c r="C24" t="s">
        <v>129</v>
      </c>
      <c r="D24" t="s">
        <v>66</v>
      </c>
      <c r="E24" t="s">
        <v>29</v>
      </c>
      <c r="F24">
        <v>31</v>
      </c>
      <c r="G24" t="s">
        <v>44</v>
      </c>
      <c r="H24" t="s">
        <v>31</v>
      </c>
      <c r="I24" t="s">
        <v>44</v>
      </c>
      <c r="J24" t="s">
        <v>69</v>
      </c>
      <c r="K24">
        <v>1</v>
      </c>
      <c r="L24">
        <v>36299</v>
      </c>
      <c r="M24">
        <v>10</v>
      </c>
      <c r="N24">
        <v>3629.9</v>
      </c>
      <c r="O24">
        <v>5880.44</v>
      </c>
      <c r="P24">
        <v>385</v>
      </c>
      <c r="Q24">
        <v>38934.54</v>
      </c>
      <c r="R24" t="s">
        <v>54</v>
      </c>
      <c r="S24" t="s">
        <v>34</v>
      </c>
      <c r="T24" t="s">
        <v>46</v>
      </c>
      <c r="U24" t="s">
        <v>36</v>
      </c>
      <c r="V24" t="s">
        <v>37</v>
      </c>
      <c r="W24">
        <v>1</v>
      </c>
      <c r="X24" t="s">
        <v>38</v>
      </c>
      <c r="Y24">
        <v>1</v>
      </c>
      <c r="Z24" t="s">
        <v>58</v>
      </c>
    </row>
    <row r="25" spans="1:26" x14ac:dyDescent="0.3">
      <c r="A25" t="s">
        <v>130</v>
      </c>
      <c r="B25" s="2">
        <v>45930</v>
      </c>
      <c r="C25" t="s">
        <v>131</v>
      </c>
      <c r="D25" t="s">
        <v>80</v>
      </c>
      <c r="E25" t="s">
        <v>43</v>
      </c>
      <c r="F25">
        <v>56</v>
      </c>
      <c r="G25" t="s">
        <v>74</v>
      </c>
      <c r="H25" t="s">
        <v>31</v>
      </c>
      <c r="I25" t="s">
        <v>74</v>
      </c>
      <c r="J25" t="s">
        <v>53</v>
      </c>
      <c r="K25">
        <v>3</v>
      </c>
      <c r="L25">
        <v>24675</v>
      </c>
      <c r="M25">
        <v>15</v>
      </c>
      <c r="N25">
        <v>11103.75</v>
      </c>
      <c r="O25">
        <v>11325.82</v>
      </c>
      <c r="P25">
        <v>294</v>
      </c>
      <c r="Q25">
        <v>74541.070000000007</v>
      </c>
      <c r="R25" t="s">
        <v>83</v>
      </c>
      <c r="S25" t="s">
        <v>63</v>
      </c>
      <c r="T25" t="s">
        <v>95</v>
      </c>
      <c r="U25" t="s">
        <v>96</v>
      </c>
      <c r="V25" t="s">
        <v>57</v>
      </c>
      <c r="W25">
        <v>4</v>
      </c>
      <c r="X25" t="s">
        <v>38</v>
      </c>
      <c r="Y25">
        <v>4</v>
      </c>
      <c r="Z25" t="s">
        <v>39</v>
      </c>
    </row>
    <row r="26" spans="1:26" x14ac:dyDescent="0.3">
      <c r="A26" t="s">
        <v>132</v>
      </c>
      <c r="B26" s="2">
        <v>46107</v>
      </c>
      <c r="C26" t="s">
        <v>133</v>
      </c>
      <c r="D26" t="s">
        <v>108</v>
      </c>
      <c r="E26" t="s">
        <v>29</v>
      </c>
      <c r="F26">
        <v>30</v>
      </c>
      <c r="G26" t="s">
        <v>134</v>
      </c>
      <c r="H26" t="s">
        <v>31</v>
      </c>
      <c r="I26" t="s">
        <v>134</v>
      </c>
      <c r="J26" t="s">
        <v>125</v>
      </c>
      <c r="K26">
        <v>5</v>
      </c>
      <c r="L26">
        <v>1082</v>
      </c>
      <c r="M26">
        <v>20</v>
      </c>
      <c r="N26">
        <v>1082</v>
      </c>
      <c r="O26">
        <v>779.04</v>
      </c>
      <c r="P26">
        <v>274</v>
      </c>
      <c r="Q26">
        <v>5381.04</v>
      </c>
      <c r="R26" t="s">
        <v>45</v>
      </c>
      <c r="S26" t="s">
        <v>34</v>
      </c>
      <c r="T26" t="s">
        <v>35</v>
      </c>
      <c r="U26" t="s">
        <v>36</v>
      </c>
      <c r="V26" t="s">
        <v>37</v>
      </c>
      <c r="W26">
        <v>2</v>
      </c>
      <c r="X26" t="s">
        <v>38</v>
      </c>
      <c r="Y26">
        <v>2</v>
      </c>
      <c r="Z26" t="s">
        <v>91</v>
      </c>
    </row>
    <row r="27" spans="1:26" x14ac:dyDescent="0.3">
      <c r="A27" t="s">
        <v>135</v>
      </c>
      <c r="B27" s="2">
        <v>46049</v>
      </c>
      <c r="C27" t="s">
        <v>136</v>
      </c>
      <c r="D27" t="s">
        <v>73</v>
      </c>
      <c r="E27" t="s">
        <v>43</v>
      </c>
      <c r="F27">
        <v>48</v>
      </c>
      <c r="G27" t="s">
        <v>30</v>
      </c>
      <c r="H27" t="s">
        <v>31</v>
      </c>
      <c r="I27" t="s">
        <v>30</v>
      </c>
      <c r="J27" t="s">
        <v>102</v>
      </c>
      <c r="K27">
        <v>2</v>
      </c>
      <c r="L27">
        <v>971</v>
      </c>
      <c r="M27">
        <v>20</v>
      </c>
      <c r="N27">
        <v>388.4</v>
      </c>
      <c r="O27">
        <v>279.64999999999998</v>
      </c>
      <c r="P27">
        <v>249</v>
      </c>
      <c r="Q27">
        <v>2082.25</v>
      </c>
      <c r="R27" t="s">
        <v>83</v>
      </c>
      <c r="S27" t="s">
        <v>63</v>
      </c>
      <c r="T27" t="s">
        <v>35</v>
      </c>
      <c r="U27" t="s">
        <v>36</v>
      </c>
      <c r="V27" t="s">
        <v>37</v>
      </c>
      <c r="W27">
        <v>7</v>
      </c>
      <c r="X27" t="s">
        <v>38</v>
      </c>
      <c r="Y27">
        <v>2</v>
      </c>
      <c r="Z27" t="s">
        <v>39</v>
      </c>
    </row>
    <row r="28" spans="1:26" x14ac:dyDescent="0.3">
      <c r="A28" t="s">
        <v>137</v>
      </c>
      <c r="B28" s="2">
        <v>46116</v>
      </c>
      <c r="C28" t="s">
        <v>138</v>
      </c>
      <c r="D28" t="s">
        <v>111</v>
      </c>
      <c r="E28" t="s">
        <v>29</v>
      </c>
      <c r="F28">
        <v>43</v>
      </c>
      <c r="G28" t="s">
        <v>139</v>
      </c>
      <c r="H28" t="s">
        <v>31</v>
      </c>
      <c r="I28" t="s">
        <v>139</v>
      </c>
      <c r="J28" t="s">
        <v>53</v>
      </c>
      <c r="K28">
        <v>2</v>
      </c>
      <c r="L28">
        <v>12340</v>
      </c>
      <c r="M28">
        <v>10</v>
      </c>
      <c r="N28">
        <v>2468</v>
      </c>
      <c r="O28">
        <v>3998.16</v>
      </c>
      <c r="P28">
        <v>380</v>
      </c>
      <c r="Q28">
        <v>26590.16</v>
      </c>
      <c r="R28" t="s">
        <v>54</v>
      </c>
      <c r="S28" t="s">
        <v>63</v>
      </c>
      <c r="T28" t="s">
        <v>76</v>
      </c>
      <c r="U28" t="s">
        <v>77</v>
      </c>
      <c r="V28" t="s">
        <v>57</v>
      </c>
      <c r="W28">
        <v>3</v>
      </c>
      <c r="X28" t="s">
        <v>38</v>
      </c>
      <c r="Y28">
        <v>1</v>
      </c>
      <c r="Z28" t="s">
        <v>39</v>
      </c>
    </row>
    <row r="29" spans="1:26" x14ac:dyDescent="0.3">
      <c r="A29" t="s">
        <v>140</v>
      </c>
      <c r="B29" s="2">
        <v>45881</v>
      </c>
      <c r="C29" t="s">
        <v>141</v>
      </c>
      <c r="D29" t="s">
        <v>50</v>
      </c>
      <c r="E29" t="s">
        <v>29</v>
      </c>
      <c r="F29">
        <v>44</v>
      </c>
      <c r="G29" t="s">
        <v>94</v>
      </c>
      <c r="H29" t="s">
        <v>31</v>
      </c>
      <c r="I29" t="s">
        <v>94</v>
      </c>
      <c r="J29" t="s">
        <v>125</v>
      </c>
      <c r="K29">
        <v>4</v>
      </c>
      <c r="L29">
        <v>3291</v>
      </c>
      <c r="M29">
        <v>5</v>
      </c>
      <c r="N29">
        <v>658.2</v>
      </c>
      <c r="O29">
        <v>2251.04</v>
      </c>
      <c r="P29">
        <v>242</v>
      </c>
      <c r="Q29">
        <v>14998.84</v>
      </c>
      <c r="R29" t="s">
        <v>33</v>
      </c>
      <c r="S29" t="s">
        <v>63</v>
      </c>
      <c r="T29" t="s">
        <v>76</v>
      </c>
      <c r="U29" t="s">
        <v>77</v>
      </c>
      <c r="V29" t="s">
        <v>57</v>
      </c>
      <c r="W29">
        <v>1</v>
      </c>
      <c r="X29" t="s">
        <v>38</v>
      </c>
      <c r="Y29">
        <v>3</v>
      </c>
      <c r="Z29" t="s">
        <v>47</v>
      </c>
    </row>
    <row r="30" spans="1:26" x14ac:dyDescent="0.3">
      <c r="A30" t="s">
        <v>142</v>
      </c>
      <c r="B30" s="2">
        <v>45822</v>
      </c>
      <c r="C30" t="s">
        <v>143</v>
      </c>
      <c r="D30" t="s">
        <v>28</v>
      </c>
      <c r="E30" t="s">
        <v>43</v>
      </c>
      <c r="F30">
        <v>19</v>
      </c>
      <c r="G30" t="s">
        <v>134</v>
      </c>
      <c r="H30" t="s">
        <v>31</v>
      </c>
      <c r="I30" t="s">
        <v>134</v>
      </c>
      <c r="J30" t="s">
        <v>125</v>
      </c>
      <c r="K30">
        <v>3</v>
      </c>
      <c r="L30">
        <v>44392</v>
      </c>
      <c r="M30">
        <v>0</v>
      </c>
      <c r="N30">
        <v>0</v>
      </c>
      <c r="O30">
        <v>23971.68</v>
      </c>
      <c r="P30">
        <v>464</v>
      </c>
      <c r="Q30">
        <v>157611.68</v>
      </c>
      <c r="R30" t="s">
        <v>33</v>
      </c>
      <c r="S30" t="s">
        <v>34</v>
      </c>
      <c r="T30" t="s">
        <v>46</v>
      </c>
      <c r="U30" t="s">
        <v>36</v>
      </c>
      <c r="V30" t="s">
        <v>37</v>
      </c>
      <c r="W30">
        <v>9</v>
      </c>
      <c r="X30" t="s">
        <v>47</v>
      </c>
      <c r="Y30">
        <v>2</v>
      </c>
      <c r="Z30" t="s">
        <v>58</v>
      </c>
    </row>
    <row r="31" spans="1:26" x14ac:dyDescent="0.3">
      <c r="A31" t="s">
        <v>144</v>
      </c>
      <c r="B31" s="2">
        <v>46004</v>
      </c>
      <c r="C31" t="s">
        <v>145</v>
      </c>
      <c r="D31" t="s">
        <v>111</v>
      </c>
      <c r="E31" t="s">
        <v>43</v>
      </c>
      <c r="F31">
        <v>59</v>
      </c>
      <c r="G31" t="s">
        <v>94</v>
      </c>
      <c r="H31" t="s">
        <v>31</v>
      </c>
      <c r="I31" t="s">
        <v>94</v>
      </c>
      <c r="J31" t="s">
        <v>69</v>
      </c>
      <c r="K31">
        <v>2</v>
      </c>
      <c r="L31">
        <v>40547</v>
      </c>
      <c r="M31">
        <v>20</v>
      </c>
      <c r="N31">
        <v>16218.8</v>
      </c>
      <c r="O31">
        <v>11677.54</v>
      </c>
      <c r="P31">
        <v>177</v>
      </c>
      <c r="Q31">
        <v>76729.740000000005</v>
      </c>
      <c r="R31" t="s">
        <v>45</v>
      </c>
      <c r="S31" t="s">
        <v>34</v>
      </c>
      <c r="T31" t="s">
        <v>95</v>
      </c>
      <c r="U31" t="s">
        <v>96</v>
      </c>
      <c r="V31" t="s">
        <v>57</v>
      </c>
      <c r="W31">
        <v>2</v>
      </c>
      <c r="X31" t="s">
        <v>47</v>
      </c>
      <c r="Y31">
        <v>3</v>
      </c>
      <c r="Z31" t="s">
        <v>58</v>
      </c>
    </row>
    <row r="32" spans="1:26" x14ac:dyDescent="0.3">
      <c r="A32" t="s">
        <v>146</v>
      </c>
      <c r="B32" s="2">
        <v>45940</v>
      </c>
      <c r="C32" t="s">
        <v>147</v>
      </c>
      <c r="D32" t="s">
        <v>89</v>
      </c>
      <c r="E32" t="s">
        <v>29</v>
      </c>
      <c r="F32">
        <v>60</v>
      </c>
      <c r="G32" t="s">
        <v>30</v>
      </c>
      <c r="H32" t="s">
        <v>31</v>
      </c>
      <c r="I32" t="s">
        <v>30</v>
      </c>
      <c r="J32" t="s">
        <v>53</v>
      </c>
      <c r="K32">
        <v>5</v>
      </c>
      <c r="L32">
        <v>31394</v>
      </c>
      <c r="M32">
        <v>0</v>
      </c>
      <c r="N32">
        <v>0</v>
      </c>
      <c r="O32">
        <v>28254.6</v>
      </c>
      <c r="P32">
        <v>446</v>
      </c>
      <c r="Q32">
        <v>185670.6</v>
      </c>
      <c r="R32" t="s">
        <v>45</v>
      </c>
      <c r="S32" t="s">
        <v>34</v>
      </c>
      <c r="T32" t="s">
        <v>84</v>
      </c>
      <c r="U32" t="s">
        <v>85</v>
      </c>
      <c r="V32" t="s">
        <v>86</v>
      </c>
      <c r="W32">
        <v>3</v>
      </c>
      <c r="X32" t="s">
        <v>38</v>
      </c>
      <c r="Y32">
        <v>2</v>
      </c>
      <c r="Z32" t="s">
        <v>58</v>
      </c>
    </row>
    <row r="33" spans="1:26" x14ac:dyDescent="0.3">
      <c r="A33" t="s">
        <v>148</v>
      </c>
      <c r="B33" s="2">
        <v>46068</v>
      </c>
      <c r="C33" t="s">
        <v>149</v>
      </c>
      <c r="D33" t="s">
        <v>89</v>
      </c>
      <c r="E33" t="s">
        <v>29</v>
      </c>
      <c r="F33">
        <v>57</v>
      </c>
      <c r="G33" t="s">
        <v>90</v>
      </c>
      <c r="H33" t="s">
        <v>31</v>
      </c>
      <c r="I33" t="s">
        <v>90</v>
      </c>
      <c r="J33" t="s">
        <v>150</v>
      </c>
      <c r="K33">
        <v>2</v>
      </c>
      <c r="L33">
        <v>35379</v>
      </c>
      <c r="M33">
        <v>0</v>
      </c>
      <c r="N33">
        <v>0</v>
      </c>
      <c r="O33">
        <v>12736.44</v>
      </c>
      <c r="P33">
        <v>53</v>
      </c>
      <c r="Q33">
        <v>83547.44</v>
      </c>
      <c r="R33" t="s">
        <v>54</v>
      </c>
      <c r="S33" t="s">
        <v>63</v>
      </c>
      <c r="T33" t="s">
        <v>46</v>
      </c>
      <c r="U33" t="s">
        <v>36</v>
      </c>
      <c r="V33" t="s">
        <v>37</v>
      </c>
      <c r="W33">
        <v>4</v>
      </c>
      <c r="X33" t="s">
        <v>38</v>
      </c>
      <c r="Y33">
        <v>4</v>
      </c>
      <c r="Z33" t="s">
        <v>58</v>
      </c>
    </row>
    <row r="34" spans="1:26" x14ac:dyDescent="0.3">
      <c r="A34" t="s">
        <v>151</v>
      </c>
      <c r="B34" s="2">
        <v>45807</v>
      </c>
      <c r="C34" t="s">
        <v>152</v>
      </c>
      <c r="D34" t="s">
        <v>89</v>
      </c>
      <c r="E34" t="s">
        <v>29</v>
      </c>
      <c r="F34">
        <v>54</v>
      </c>
      <c r="G34" t="s">
        <v>51</v>
      </c>
      <c r="H34" t="s">
        <v>52</v>
      </c>
      <c r="I34" t="s">
        <v>51</v>
      </c>
      <c r="J34" t="s">
        <v>62</v>
      </c>
      <c r="K34">
        <v>1</v>
      </c>
      <c r="L34">
        <v>35566</v>
      </c>
      <c r="M34">
        <v>20</v>
      </c>
      <c r="N34">
        <v>7113.2</v>
      </c>
      <c r="O34">
        <v>5121.5</v>
      </c>
      <c r="P34">
        <v>467</v>
      </c>
      <c r="Q34">
        <v>34041.300000000003</v>
      </c>
      <c r="R34" t="s">
        <v>45</v>
      </c>
      <c r="S34" t="s">
        <v>34</v>
      </c>
      <c r="T34" t="s">
        <v>84</v>
      </c>
      <c r="U34" t="s">
        <v>85</v>
      </c>
      <c r="V34" t="s">
        <v>86</v>
      </c>
      <c r="W34">
        <v>5</v>
      </c>
      <c r="X34" t="s">
        <v>38</v>
      </c>
      <c r="Y34">
        <v>2</v>
      </c>
      <c r="Z34" t="s">
        <v>39</v>
      </c>
    </row>
    <row r="35" spans="1:26" x14ac:dyDescent="0.3">
      <c r="A35" t="s">
        <v>153</v>
      </c>
      <c r="B35" s="2">
        <v>45874</v>
      </c>
      <c r="C35" t="s">
        <v>154</v>
      </c>
      <c r="D35" t="s">
        <v>66</v>
      </c>
      <c r="E35" t="s">
        <v>43</v>
      </c>
      <c r="F35">
        <v>47</v>
      </c>
      <c r="G35" t="s">
        <v>90</v>
      </c>
      <c r="H35" t="s">
        <v>31</v>
      </c>
      <c r="I35" t="s">
        <v>90</v>
      </c>
      <c r="J35" t="s">
        <v>150</v>
      </c>
      <c r="K35">
        <v>1</v>
      </c>
      <c r="L35">
        <v>20264</v>
      </c>
      <c r="M35">
        <v>15</v>
      </c>
      <c r="N35">
        <v>3039.6</v>
      </c>
      <c r="O35">
        <v>3100.39</v>
      </c>
      <c r="P35">
        <v>365</v>
      </c>
      <c r="Q35">
        <v>20689.79</v>
      </c>
      <c r="R35" t="s">
        <v>33</v>
      </c>
      <c r="S35" t="s">
        <v>34</v>
      </c>
      <c r="T35" t="s">
        <v>103</v>
      </c>
      <c r="U35" t="s">
        <v>103</v>
      </c>
      <c r="V35" t="s">
        <v>57</v>
      </c>
      <c r="W35">
        <v>10</v>
      </c>
      <c r="X35" t="s">
        <v>47</v>
      </c>
      <c r="Y35">
        <v>2</v>
      </c>
      <c r="Z35" t="s">
        <v>91</v>
      </c>
    </row>
    <row r="36" spans="1:26" x14ac:dyDescent="0.3">
      <c r="A36" t="s">
        <v>155</v>
      </c>
      <c r="B36" s="2">
        <v>45982</v>
      </c>
      <c r="C36" t="s">
        <v>156</v>
      </c>
      <c r="D36" t="s">
        <v>61</v>
      </c>
      <c r="E36" t="s">
        <v>43</v>
      </c>
      <c r="F36">
        <v>37</v>
      </c>
      <c r="G36" t="s">
        <v>44</v>
      </c>
      <c r="H36" t="s">
        <v>31</v>
      </c>
      <c r="I36" t="s">
        <v>44</v>
      </c>
      <c r="J36" t="s">
        <v>125</v>
      </c>
      <c r="K36">
        <v>3</v>
      </c>
      <c r="L36">
        <v>32124</v>
      </c>
      <c r="M36">
        <v>5</v>
      </c>
      <c r="N36">
        <v>4818.6000000000004</v>
      </c>
      <c r="O36">
        <v>16479.61</v>
      </c>
      <c r="P36">
        <v>285</v>
      </c>
      <c r="Q36">
        <v>108318.01</v>
      </c>
      <c r="R36" t="s">
        <v>33</v>
      </c>
      <c r="S36" t="s">
        <v>34</v>
      </c>
      <c r="T36" t="s">
        <v>103</v>
      </c>
      <c r="U36" t="s">
        <v>103</v>
      </c>
      <c r="V36" t="s">
        <v>57</v>
      </c>
      <c r="W36">
        <v>9</v>
      </c>
      <c r="X36" t="s">
        <v>38</v>
      </c>
      <c r="Y36">
        <v>2</v>
      </c>
      <c r="Z36" t="s">
        <v>91</v>
      </c>
    </row>
    <row r="37" spans="1:26" x14ac:dyDescent="0.3">
      <c r="A37" t="s">
        <v>157</v>
      </c>
      <c r="B37" s="2">
        <v>46026</v>
      </c>
      <c r="C37" t="s">
        <v>158</v>
      </c>
      <c r="D37" t="s">
        <v>89</v>
      </c>
      <c r="E37" t="s">
        <v>29</v>
      </c>
      <c r="F37">
        <v>53</v>
      </c>
      <c r="G37" t="s">
        <v>51</v>
      </c>
      <c r="H37" t="s">
        <v>52</v>
      </c>
      <c r="I37" t="s">
        <v>51</v>
      </c>
      <c r="J37" t="s">
        <v>150</v>
      </c>
      <c r="K37">
        <v>5</v>
      </c>
      <c r="L37">
        <v>18427</v>
      </c>
      <c r="M37">
        <v>5</v>
      </c>
      <c r="N37">
        <v>4606.75</v>
      </c>
      <c r="O37">
        <v>15755.08</v>
      </c>
      <c r="P37">
        <v>210</v>
      </c>
      <c r="Q37">
        <v>103493.33</v>
      </c>
      <c r="R37" t="s">
        <v>54</v>
      </c>
      <c r="S37" t="s">
        <v>34</v>
      </c>
      <c r="T37" t="s">
        <v>84</v>
      </c>
      <c r="U37" t="s">
        <v>85</v>
      </c>
      <c r="V37" t="s">
        <v>86</v>
      </c>
      <c r="W37">
        <v>9</v>
      </c>
      <c r="X37" t="s">
        <v>47</v>
      </c>
      <c r="Y37">
        <v>2</v>
      </c>
      <c r="Z37" t="s">
        <v>47</v>
      </c>
    </row>
    <row r="38" spans="1:26" x14ac:dyDescent="0.3">
      <c r="A38" t="s">
        <v>159</v>
      </c>
      <c r="B38" s="2">
        <v>45821</v>
      </c>
      <c r="C38" t="s">
        <v>160</v>
      </c>
      <c r="D38" t="s">
        <v>28</v>
      </c>
      <c r="E38" t="s">
        <v>43</v>
      </c>
      <c r="F38">
        <v>57</v>
      </c>
      <c r="G38" t="s">
        <v>99</v>
      </c>
      <c r="H38" t="s">
        <v>52</v>
      </c>
      <c r="I38" t="s">
        <v>99</v>
      </c>
      <c r="J38" t="s">
        <v>112</v>
      </c>
      <c r="K38">
        <v>5</v>
      </c>
      <c r="L38">
        <v>43320</v>
      </c>
      <c r="M38">
        <v>10</v>
      </c>
      <c r="N38">
        <v>21660</v>
      </c>
      <c r="O38">
        <v>35089.199999999997</v>
      </c>
      <c r="P38">
        <v>103</v>
      </c>
      <c r="Q38">
        <v>230132.2</v>
      </c>
      <c r="R38" t="s">
        <v>54</v>
      </c>
      <c r="S38" t="s">
        <v>63</v>
      </c>
      <c r="T38" t="s">
        <v>76</v>
      </c>
      <c r="U38" t="s">
        <v>77</v>
      </c>
      <c r="V38" t="s">
        <v>57</v>
      </c>
      <c r="W38">
        <v>5</v>
      </c>
      <c r="X38" t="s">
        <v>38</v>
      </c>
      <c r="Y38">
        <v>5</v>
      </c>
      <c r="Z38" t="s">
        <v>47</v>
      </c>
    </row>
    <row r="39" spans="1:26" x14ac:dyDescent="0.3">
      <c r="A39" t="s">
        <v>161</v>
      </c>
      <c r="B39" s="2">
        <v>45911</v>
      </c>
      <c r="C39" t="s">
        <v>162</v>
      </c>
      <c r="D39" t="s">
        <v>111</v>
      </c>
      <c r="E39" t="s">
        <v>29</v>
      </c>
      <c r="F39">
        <v>52</v>
      </c>
      <c r="G39" t="s">
        <v>30</v>
      </c>
      <c r="H39" t="s">
        <v>31</v>
      </c>
      <c r="I39" t="s">
        <v>30</v>
      </c>
      <c r="J39" t="s">
        <v>150</v>
      </c>
      <c r="K39">
        <v>2</v>
      </c>
      <c r="L39">
        <v>2134</v>
      </c>
      <c r="M39">
        <v>0</v>
      </c>
      <c r="N39">
        <v>0</v>
      </c>
      <c r="O39">
        <v>768.24</v>
      </c>
      <c r="P39">
        <v>266</v>
      </c>
      <c r="Q39">
        <v>5302.24</v>
      </c>
      <c r="R39" t="s">
        <v>83</v>
      </c>
      <c r="S39" t="s">
        <v>63</v>
      </c>
      <c r="T39" t="s">
        <v>35</v>
      </c>
      <c r="U39" t="s">
        <v>36</v>
      </c>
      <c r="V39" t="s">
        <v>37</v>
      </c>
      <c r="W39">
        <v>10</v>
      </c>
      <c r="X39" t="s">
        <v>38</v>
      </c>
      <c r="Y39">
        <v>2</v>
      </c>
      <c r="Z39" t="s">
        <v>58</v>
      </c>
    </row>
    <row r="40" spans="1:26" x14ac:dyDescent="0.3">
      <c r="A40" t="s">
        <v>163</v>
      </c>
      <c r="B40" s="2">
        <v>45913</v>
      </c>
      <c r="C40" t="s">
        <v>164</v>
      </c>
      <c r="D40" t="s">
        <v>80</v>
      </c>
      <c r="E40" t="s">
        <v>29</v>
      </c>
      <c r="F40">
        <v>50</v>
      </c>
      <c r="G40" t="s">
        <v>51</v>
      </c>
      <c r="H40" t="s">
        <v>52</v>
      </c>
      <c r="I40" t="s">
        <v>51</v>
      </c>
      <c r="J40" t="s">
        <v>102</v>
      </c>
      <c r="K40">
        <v>2</v>
      </c>
      <c r="L40">
        <v>46564</v>
      </c>
      <c r="M40">
        <v>0</v>
      </c>
      <c r="N40">
        <v>0</v>
      </c>
      <c r="O40">
        <v>16763.04</v>
      </c>
      <c r="P40">
        <v>299</v>
      </c>
      <c r="Q40">
        <v>110190.04</v>
      </c>
      <c r="R40" t="s">
        <v>54</v>
      </c>
      <c r="S40" t="s">
        <v>34</v>
      </c>
      <c r="T40" t="s">
        <v>46</v>
      </c>
      <c r="U40" t="s">
        <v>36</v>
      </c>
      <c r="V40" t="s">
        <v>37</v>
      </c>
      <c r="W40">
        <v>10</v>
      </c>
      <c r="X40" t="s">
        <v>38</v>
      </c>
      <c r="Y40">
        <v>3</v>
      </c>
      <c r="Z40" t="s">
        <v>58</v>
      </c>
    </row>
    <row r="41" spans="1:26" x14ac:dyDescent="0.3">
      <c r="A41" t="s">
        <v>165</v>
      </c>
      <c r="B41" s="2">
        <v>46120</v>
      </c>
      <c r="C41" t="s">
        <v>166</v>
      </c>
      <c r="D41" t="s">
        <v>66</v>
      </c>
      <c r="E41" t="s">
        <v>29</v>
      </c>
      <c r="F41">
        <v>50</v>
      </c>
      <c r="G41" t="s">
        <v>44</v>
      </c>
      <c r="H41" t="s">
        <v>31</v>
      </c>
      <c r="I41" t="s">
        <v>44</v>
      </c>
      <c r="J41" t="s">
        <v>69</v>
      </c>
      <c r="K41">
        <v>1</v>
      </c>
      <c r="L41">
        <v>18376</v>
      </c>
      <c r="M41">
        <v>15</v>
      </c>
      <c r="N41">
        <v>2756.4</v>
      </c>
      <c r="O41">
        <v>2811.53</v>
      </c>
      <c r="P41">
        <v>486</v>
      </c>
      <c r="Q41">
        <v>18917.13</v>
      </c>
      <c r="R41" t="s">
        <v>33</v>
      </c>
      <c r="S41" t="s">
        <v>34</v>
      </c>
      <c r="T41" t="s">
        <v>70</v>
      </c>
      <c r="U41" t="s">
        <v>56</v>
      </c>
      <c r="V41" t="s">
        <v>57</v>
      </c>
      <c r="W41">
        <v>4</v>
      </c>
      <c r="X41" t="s">
        <v>38</v>
      </c>
      <c r="Y41">
        <v>2</v>
      </c>
      <c r="Z41" t="s">
        <v>91</v>
      </c>
    </row>
    <row r="42" spans="1:26" x14ac:dyDescent="0.3">
      <c r="A42" t="s">
        <v>167</v>
      </c>
      <c r="B42" s="2">
        <v>45776</v>
      </c>
      <c r="C42" t="s">
        <v>168</v>
      </c>
      <c r="D42" t="s">
        <v>61</v>
      </c>
      <c r="E42" t="s">
        <v>29</v>
      </c>
      <c r="F42">
        <v>31</v>
      </c>
      <c r="G42" t="s">
        <v>74</v>
      </c>
      <c r="H42" t="s">
        <v>31</v>
      </c>
      <c r="I42" t="s">
        <v>74</v>
      </c>
      <c r="J42" t="s">
        <v>125</v>
      </c>
      <c r="K42">
        <v>4</v>
      </c>
      <c r="L42">
        <v>27754</v>
      </c>
      <c r="M42">
        <v>20</v>
      </c>
      <c r="N42">
        <v>22203.200000000001</v>
      </c>
      <c r="O42">
        <v>15986.3</v>
      </c>
      <c r="P42">
        <v>275</v>
      </c>
      <c r="Q42">
        <v>105074.1</v>
      </c>
      <c r="R42" t="s">
        <v>45</v>
      </c>
      <c r="S42" t="s">
        <v>34</v>
      </c>
      <c r="T42" t="s">
        <v>76</v>
      </c>
      <c r="U42" t="s">
        <v>77</v>
      </c>
      <c r="V42" t="s">
        <v>57</v>
      </c>
      <c r="W42">
        <v>9</v>
      </c>
      <c r="X42" t="s">
        <v>38</v>
      </c>
      <c r="Y42">
        <v>3</v>
      </c>
      <c r="Z42" t="s">
        <v>58</v>
      </c>
    </row>
    <row r="43" spans="1:26" x14ac:dyDescent="0.3">
      <c r="A43" t="s">
        <v>169</v>
      </c>
      <c r="B43" s="2">
        <v>46061</v>
      </c>
      <c r="C43" t="s">
        <v>170</v>
      </c>
      <c r="D43" t="s">
        <v>108</v>
      </c>
      <c r="E43" t="s">
        <v>29</v>
      </c>
      <c r="F43">
        <v>48</v>
      </c>
      <c r="G43" t="s">
        <v>51</v>
      </c>
      <c r="H43" t="s">
        <v>52</v>
      </c>
      <c r="I43" t="s">
        <v>51</v>
      </c>
      <c r="J43" t="s">
        <v>62</v>
      </c>
      <c r="K43">
        <v>1</v>
      </c>
      <c r="L43">
        <v>13832</v>
      </c>
      <c r="M43">
        <v>5</v>
      </c>
      <c r="N43">
        <v>691.6</v>
      </c>
      <c r="O43">
        <v>2365.27</v>
      </c>
      <c r="P43">
        <v>391</v>
      </c>
      <c r="Q43">
        <v>15896.67</v>
      </c>
      <c r="R43" t="s">
        <v>54</v>
      </c>
      <c r="S43" t="s">
        <v>34</v>
      </c>
      <c r="T43" t="s">
        <v>55</v>
      </c>
      <c r="U43" t="s">
        <v>56</v>
      </c>
      <c r="V43" t="s">
        <v>57</v>
      </c>
      <c r="W43">
        <v>7</v>
      </c>
      <c r="X43" t="s">
        <v>38</v>
      </c>
      <c r="Y43">
        <v>2</v>
      </c>
      <c r="Z43" t="s">
        <v>39</v>
      </c>
    </row>
    <row r="44" spans="1:26" x14ac:dyDescent="0.3">
      <c r="A44" t="s">
        <v>171</v>
      </c>
      <c r="B44" s="2">
        <v>45980</v>
      </c>
      <c r="C44" t="s">
        <v>172</v>
      </c>
      <c r="D44" t="s">
        <v>61</v>
      </c>
      <c r="E44" t="s">
        <v>43</v>
      </c>
      <c r="F44">
        <v>57</v>
      </c>
      <c r="G44" t="s">
        <v>139</v>
      </c>
      <c r="H44" t="s">
        <v>31</v>
      </c>
      <c r="I44" t="s">
        <v>139</v>
      </c>
      <c r="J44" t="s">
        <v>112</v>
      </c>
      <c r="K44">
        <v>2</v>
      </c>
      <c r="L44">
        <v>48320</v>
      </c>
      <c r="M44">
        <v>0</v>
      </c>
      <c r="N44">
        <v>0</v>
      </c>
      <c r="O44">
        <v>17395.2</v>
      </c>
      <c r="P44">
        <v>415</v>
      </c>
      <c r="Q44">
        <v>114450.2</v>
      </c>
      <c r="R44" t="s">
        <v>83</v>
      </c>
      <c r="S44" t="s">
        <v>34</v>
      </c>
      <c r="T44" t="s">
        <v>55</v>
      </c>
      <c r="U44" t="s">
        <v>56</v>
      </c>
      <c r="V44" t="s">
        <v>57</v>
      </c>
      <c r="W44">
        <v>1</v>
      </c>
      <c r="X44" t="s">
        <v>47</v>
      </c>
      <c r="Y44">
        <v>4</v>
      </c>
      <c r="Z44" t="s">
        <v>39</v>
      </c>
    </row>
    <row r="45" spans="1:26" x14ac:dyDescent="0.3">
      <c r="A45" t="s">
        <v>173</v>
      </c>
      <c r="B45" s="2">
        <v>46019</v>
      </c>
      <c r="C45" t="s">
        <v>174</v>
      </c>
      <c r="D45" t="s">
        <v>50</v>
      </c>
      <c r="E45" t="s">
        <v>43</v>
      </c>
      <c r="F45">
        <v>35</v>
      </c>
      <c r="G45" t="s">
        <v>90</v>
      </c>
      <c r="H45" t="s">
        <v>31</v>
      </c>
      <c r="I45" t="s">
        <v>90</v>
      </c>
      <c r="J45" t="s">
        <v>102</v>
      </c>
      <c r="K45">
        <v>1</v>
      </c>
      <c r="L45">
        <v>2598</v>
      </c>
      <c r="M45">
        <v>5</v>
      </c>
      <c r="N45">
        <v>129.9</v>
      </c>
      <c r="O45">
        <v>444.26</v>
      </c>
      <c r="P45">
        <v>414</v>
      </c>
      <c r="Q45">
        <v>3326.36</v>
      </c>
      <c r="R45" t="s">
        <v>45</v>
      </c>
      <c r="S45" t="s">
        <v>34</v>
      </c>
      <c r="T45" t="s">
        <v>95</v>
      </c>
      <c r="U45" t="s">
        <v>96</v>
      </c>
      <c r="V45" t="s">
        <v>57</v>
      </c>
      <c r="W45">
        <v>7</v>
      </c>
      <c r="X45" t="s">
        <v>47</v>
      </c>
      <c r="Y45">
        <v>2</v>
      </c>
      <c r="Z45" t="s">
        <v>91</v>
      </c>
    </row>
    <row r="46" spans="1:26" x14ac:dyDescent="0.3">
      <c r="A46" t="s">
        <v>175</v>
      </c>
      <c r="B46" s="2">
        <v>45808</v>
      </c>
      <c r="C46" t="s">
        <v>176</v>
      </c>
      <c r="D46" t="s">
        <v>28</v>
      </c>
      <c r="E46" t="s">
        <v>29</v>
      </c>
      <c r="F46">
        <v>27</v>
      </c>
      <c r="G46" t="s">
        <v>44</v>
      </c>
      <c r="H46" t="s">
        <v>31</v>
      </c>
      <c r="I46" t="s">
        <v>44</v>
      </c>
      <c r="J46" t="s">
        <v>53</v>
      </c>
      <c r="K46">
        <v>4</v>
      </c>
      <c r="L46">
        <v>46065</v>
      </c>
      <c r="M46">
        <v>10</v>
      </c>
      <c r="N46">
        <v>18426</v>
      </c>
      <c r="O46">
        <v>29850.12</v>
      </c>
      <c r="P46">
        <v>96</v>
      </c>
      <c r="Q46">
        <v>195780.12</v>
      </c>
      <c r="R46" t="s">
        <v>54</v>
      </c>
      <c r="S46" t="s">
        <v>63</v>
      </c>
      <c r="T46" t="s">
        <v>55</v>
      </c>
      <c r="U46" t="s">
        <v>56</v>
      </c>
      <c r="V46" t="s">
        <v>57</v>
      </c>
      <c r="W46">
        <v>5</v>
      </c>
      <c r="X46" t="s">
        <v>47</v>
      </c>
      <c r="Y46">
        <v>1</v>
      </c>
      <c r="Z46" t="s">
        <v>91</v>
      </c>
    </row>
    <row r="47" spans="1:26" x14ac:dyDescent="0.3">
      <c r="A47" t="s">
        <v>177</v>
      </c>
      <c r="B47" s="2">
        <v>45826</v>
      </c>
      <c r="C47" t="s">
        <v>178</v>
      </c>
      <c r="D47" t="s">
        <v>66</v>
      </c>
      <c r="E47" t="s">
        <v>43</v>
      </c>
      <c r="F47">
        <v>57</v>
      </c>
      <c r="G47" t="s">
        <v>99</v>
      </c>
      <c r="H47" t="s">
        <v>52</v>
      </c>
      <c r="I47" t="s">
        <v>99</v>
      </c>
      <c r="J47" t="s">
        <v>32</v>
      </c>
      <c r="K47">
        <v>2</v>
      </c>
      <c r="L47">
        <v>33957</v>
      </c>
      <c r="M47">
        <v>15</v>
      </c>
      <c r="N47">
        <v>10187.1</v>
      </c>
      <c r="O47">
        <v>10390.84</v>
      </c>
      <c r="P47">
        <v>493</v>
      </c>
      <c r="Q47">
        <v>68610.740000000005</v>
      </c>
      <c r="R47" t="s">
        <v>83</v>
      </c>
      <c r="S47" t="s">
        <v>63</v>
      </c>
      <c r="T47" t="s">
        <v>35</v>
      </c>
      <c r="U47" t="s">
        <v>36</v>
      </c>
      <c r="V47" t="s">
        <v>37</v>
      </c>
      <c r="W47">
        <v>9</v>
      </c>
      <c r="X47" t="s">
        <v>38</v>
      </c>
      <c r="Y47">
        <v>1</v>
      </c>
      <c r="Z47" t="s">
        <v>39</v>
      </c>
    </row>
    <row r="48" spans="1:26" x14ac:dyDescent="0.3">
      <c r="A48" t="s">
        <v>179</v>
      </c>
      <c r="B48" s="2">
        <v>45904</v>
      </c>
      <c r="C48" t="s">
        <v>180</v>
      </c>
      <c r="D48" t="s">
        <v>108</v>
      </c>
      <c r="E48" t="s">
        <v>43</v>
      </c>
      <c r="F48">
        <v>31</v>
      </c>
      <c r="G48" t="s">
        <v>94</v>
      </c>
      <c r="H48" t="s">
        <v>31</v>
      </c>
      <c r="I48" t="s">
        <v>94</v>
      </c>
      <c r="J48" t="s">
        <v>53</v>
      </c>
      <c r="K48">
        <v>4</v>
      </c>
      <c r="L48">
        <v>34160</v>
      </c>
      <c r="M48">
        <v>10</v>
      </c>
      <c r="N48">
        <v>13664</v>
      </c>
      <c r="O48">
        <v>22135.68</v>
      </c>
      <c r="P48">
        <v>174</v>
      </c>
      <c r="Q48">
        <v>145285.68</v>
      </c>
      <c r="R48" t="s">
        <v>54</v>
      </c>
      <c r="S48" t="s">
        <v>63</v>
      </c>
      <c r="T48" t="s">
        <v>46</v>
      </c>
      <c r="U48" t="s">
        <v>36</v>
      </c>
      <c r="V48" t="s">
        <v>37</v>
      </c>
      <c r="W48">
        <v>6</v>
      </c>
      <c r="X48" t="s">
        <v>38</v>
      </c>
      <c r="Y48">
        <v>3</v>
      </c>
      <c r="Z48" t="s">
        <v>47</v>
      </c>
    </row>
    <row r="49" spans="1:26" x14ac:dyDescent="0.3">
      <c r="A49" t="s">
        <v>181</v>
      </c>
      <c r="B49" s="2">
        <v>45897</v>
      </c>
      <c r="C49" t="s">
        <v>182</v>
      </c>
      <c r="D49" t="s">
        <v>61</v>
      </c>
      <c r="E49" t="s">
        <v>43</v>
      </c>
      <c r="F49">
        <v>37</v>
      </c>
      <c r="G49" t="s">
        <v>94</v>
      </c>
      <c r="H49" t="s">
        <v>31</v>
      </c>
      <c r="I49" t="s">
        <v>94</v>
      </c>
      <c r="J49" t="s">
        <v>69</v>
      </c>
      <c r="K49">
        <v>2</v>
      </c>
      <c r="L49">
        <v>18482</v>
      </c>
      <c r="M49">
        <v>15</v>
      </c>
      <c r="N49">
        <v>5544.6</v>
      </c>
      <c r="O49">
        <v>5655.49</v>
      </c>
      <c r="P49">
        <v>78</v>
      </c>
      <c r="Q49">
        <v>37152.89</v>
      </c>
      <c r="R49" t="s">
        <v>33</v>
      </c>
      <c r="S49" t="s">
        <v>34</v>
      </c>
      <c r="T49" t="s">
        <v>95</v>
      </c>
      <c r="U49" t="s">
        <v>96</v>
      </c>
      <c r="V49" t="s">
        <v>57</v>
      </c>
      <c r="W49">
        <v>5</v>
      </c>
      <c r="X49" t="s">
        <v>38</v>
      </c>
      <c r="Y49">
        <v>3</v>
      </c>
      <c r="Z49" t="s">
        <v>91</v>
      </c>
    </row>
    <row r="50" spans="1:26" x14ac:dyDescent="0.3">
      <c r="A50" t="s">
        <v>183</v>
      </c>
      <c r="B50" s="2">
        <v>45920</v>
      </c>
      <c r="C50" t="s">
        <v>184</v>
      </c>
      <c r="D50" t="s">
        <v>42</v>
      </c>
      <c r="E50" t="s">
        <v>43</v>
      </c>
      <c r="F50">
        <v>55</v>
      </c>
      <c r="G50" t="s">
        <v>44</v>
      </c>
      <c r="H50" t="s">
        <v>31</v>
      </c>
      <c r="I50" t="s">
        <v>44</v>
      </c>
      <c r="J50" t="s">
        <v>102</v>
      </c>
      <c r="K50">
        <v>2</v>
      </c>
      <c r="L50">
        <v>40666</v>
      </c>
      <c r="M50">
        <v>10</v>
      </c>
      <c r="N50">
        <v>8133.2</v>
      </c>
      <c r="O50">
        <v>13175.78</v>
      </c>
      <c r="P50">
        <v>334</v>
      </c>
      <c r="Q50">
        <v>86708.58</v>
      </c>
      <c r="R50" t="s">
        <v>45</v>
      </c>
      <c r="S50" t="s">
        <v>63</v>
      </c>
      <c r="T50" t="s">
        <v>70</v>
      </c>
      <c r="U50" t="s">
        <v>56</v>
      </c>
      <c r="V50" t="s">
        <v>57</v>
      </c>
      <c r="W50">
        <v>8</v>
      </c>
      <c r="X50" t="s">
        <v>47</v>
      </c>
      <c r="Y50">
        <v>5</v>
      </c>
      <c r="Z50" t="s">
        <v>47</v>
      </c>
    </row>
    <row r="51" spans="1:26" x14ac:dyDescent="0.3">
      <c r="A51" t="s">
        <v>185</v>
      </c>
      <c r="B51" s="2">
        <v>45830</v>
      </c>
      <c r="C51" t="s">
        <v>152</v>
      </c>
      <c r="D51" t="s">
        <v>80</v>
      </c>
      <c r="E51" t="s">
        <v>43</v>
      </c>
      <c r="F51">
        <v>42</v>
      </c>
      <c r="G51" t="s">
        <v>74</v>
      </c>
      <c r="H51" t="s">
        <v>31</v>
      </c>
      <c r="I51" t="s">
        <v>74</v>
      </c>
      <c r="J51" t="s">
        <v>125</v>
      </c>
      <c r="K51">
        <v>4</v>
      </c>
      <c r="L51">
        <v>2535</v>
      </c>
      <c r="M51">
        <v>5</v>
      </c>
      <c r="N51">
        <v>507</v>
      </c>
      <c r="O51">
        <v>1733.94</v>
      </c>
      <c r="P51">
        <v>49</v>
      </c>
      <c r="Q51">
        <v>11415.94</v>
      </c>
      <c r="R51" t="s">
        <v>54</v>
      </c>
      <c r="S51" t="s">
        <v>34</v>
      </c>
      <c r="T51" t="s">
        <v>76</v>
      </c>
      <c r="U51" t="s">
        <v>77</v>
      </c>
      <c r="V51" t="s">
        <v>57</v>
      </c>
      <c r="W51">
        <v>3</v>
      </c>
      <c r="X51" t="s">
        <v>47</v>
      </c>
      <c r="Y51">
        <v>1</v>
      </c>
      <c r="Z51" t="s">
        <v>39</v>
      </c>
    </row>
    <row r="52" spans="1:26" x14ac:dyDescent="0.3">
      <c r="A52" t="s">
        <v>186</v>
      </c>
      <c r="B52" s="2">
        <v>45900</v>
      </c>
      <c r="C52" t="s">
        <v>187</v>
      </c>
      <c r="D52" t="s">
        <v>66</v>
      </c>
      <c r="E52" t="s">
        <v>29</v>
      </c>
      <c r="F52">
        <v>35</v>
      </c>
      <c r="G52" t="s">
        <v>90</v>
      </c>
      <c r="H52" t="s">
        <v>31</v>
      </c>
      <c r="I52" t="s">
        <v>90</v>
      </c>
      <c r="J52" t="s">
        <v>150</v>
      </c>
      <c r="K52">
        <v>3</v>
      </c>
      <c r="L52">
        <v>41574</v>
      </c>
      <c r="M52">
        <v>20</v>
      </c>
      <c r="N52">
        <v>24944.400000000001</v>
      </c>
      <c r="O52">
        <v>17959.97</v>
      </c>
      <c r="P52">
        <v>206</v>
      </c>
      <c r="Q52">
        <v>117943.57</v>
      </c>
      <c r="R52" t="s">
        <v>45</v>
      </c>
      <c r="S52" t="s">
        <v>34</v>
      </c>
      <c r="T52" t="s">
        <v>35</v>
      </c>
      <c r="U52" t="s">
        <v>36</v>
      </c>
      <c r="V52" t="s">
        <v>37</v>
      </c>
      <c r="W52">
        <v>10</v>
      </c>
      <c r="X52" t="s">
        <v>38</v>
      </c>
      <c r="Y52">
        <v>3</v>
      </c>
      <c r="Z52" t="s">
        <v>47</v>
      </c>
    </row>
    <row r="53" spans="1:26" x14ac:dyDescent="0.3">
      <c r="A53" t="s">
        <v>188</v>
      </c>
      <c r="B53" s="2">
        <v>45863</v>
      </c>
      <c r="C53" t="s">
        <v>189</v>
      </c>
      <c r="D53" t="s">
        <v>42</v>
      </c>
      <c r="E53" t="s">
        <v>43</v>
      </c>
      <c r="F53">
        <v>28</v>
      </c>
      <c r="G53" t="s">
        <v>74</v>
      </c>
      <c r="H53" t="s">
        <v>31</v>
      </c>
      <c r="I53" t="s">
        <v>74</v>
      </c>
      <c r="J53" t="s">
        <v>102</v>
      </c>
      <c r="K53">
        <v>3</v>
      </c>
      <c r="L53">
        <v>33177</v>
      </c>
      <c r="M53">
        <v>5</v>
      </c>
      <c r="N53">
        <v>4976.55</v>
      </c>
      <c r="O53">
        <v>17019.8</v>
      </c>
      <c r="P53">
        <v>56</v>
      </c>
      <c r="Q53">
        <v>111630.25</v>
      </c>
      <c r="R53" t="s">
        <v>83</v>
      </c>
      <c r="S53" t="s">
        <v>63</v>
      </c>
      <c r="T53" t="s">
        <v>35</v>
      </c>
      <c r="U53" t="s">
        <v>36</v>
      </c>
      <c r="V53" t="s">
        <v>37</v>
      </c>
      <c r="W53">
        <v>3</v>
      </c>
      <c r="X53" t="s">
        <v>47</v>
      </c>
      <c r="Y53">
        <v>3</v>
      </c>
      <c r="Z53" t="s">
        <v>58</v>
      </c>
    </row>
    <row r="54" spans="1:26" x14ac:dyDescent="0.3">
      <c r="A54" t="s">
        <v>190</v>
      </c>
      <c r="B54" s="2">
        <v>46019</v>
      </c>
      <c r="C54" t="s">
        <v>191</v>
      </c>
      <c r="D54" t="s">
        <v>42</v>
      </c>
      <c r="E54" t="s">
        <v>43</v>
      </c>
      <c r="F54">
        <v>47</v>
      </c>
      <c r="G54" t="s">
        <v>74</v>
      </c>
      <c r="H54" t="s">
        <v>31</v>
      </c>
      <c r="I54" t="s">
        <v>74</v>
      </c>
      <c r="J54" t="s">
        <v>150</v>
      </c>
      <c r="K54">
        <v>5</v>
      </c>
      <c r="L54">
        <v>1762</v>
      </c>
      <c r="M54">
        <v>20</v>
      </c>
      <c r="N54">
        <v>1762</v>
      </c>
      <c r="O54">
        <v>1268.6400000000001</v>
      </c>
      <c r="P54">
        <v>27</v>
      </c>
      <c r="Q54">
        <v>8343.64</v>
      </c>
      <c r="R54" t="s">
        <v>33</v>
      </c>
      <c r="S54" t="s">
        <v>63</v>
      </c>
      <c r="T54" t="s">
        <v>55</v>
      </c>
      <c r="U54" t="s">
        <v>56</v>
      </c>
      <c r="V54" t="s">
        <v>57</v>
      </c>
      <c r="W54">
        <v>4</v>
      </c>
      <c r="X54" t="s">
        <v>38</v>
      </c>
      <c r="Y54">
        <v>3</v>
      </c>
      <c r="Z54" t="s">
        <v>47</v>
      </c>
    </row>
    <row r="55" spans="1:26" x14ac:dyDescent="0.3">
      <c r="A55" t="s">
        <v>192</v>
      </c>
      <c r="B55" s="2">
        <v>45922</v>
      </c>
      <c r="C55" t="s">
        <v>193</v>
      </c>
      <c r="D55" t="s">
        <v>73</v>
      </c>
      <c r="E55" t="s">
        <v>43</v>
      </c>
      <c r="F55">
        <v>47</v>
      </c>
      <c r="G55" t="s">
        <v>94</v>
      </c>
      <c r="H55" t="s">
        <v>31</v>
      </c>
      <c r="I55" t="s">
        <v>94</v>
      </c>
      <c r="J55" t="s">
        <v>62</v>
      </c>
      <c r="K55">
        <v>2</v>
      </c>
      <c r="L55">
        <v>16428</v>
      </c>
      <c r="M55">
        <v>20</v>
      </c>
      <c r="N55">
        <v>6571.2</v>
      </c>
      <c r="O55">
        <v>4731.26</v>
      </c>
      <c r="P55">
        <v>94</v>
      </c>
      <c r="Q55">
        <v>31110.06</v>
      </c>
      <c r="R55" t="s">
        <v>45</v>
      </c>
      <c r="S55" t="s">
        <v>63</v>
      </c>
      <c r="T55" t="s">
        <v>103</v>
      </c>
      <c r="U55" t="s">
        <v>103</v>
      </c>
      <c r="V55" t="s">
        <v>57</v>
      </c>
      <c r="W55">
        <v>1</v>
      </c>
      <c r="X55" t="s">
        <v>38</v>
      </c>
      <c r="Y55">
        <v>4</v>
      </c>
      <c r="Z55" t="s">
        <v>39</v>
      </c>
    </row>
    <row r="56" spans="1:26" x14ac:dyDescent="0.3">
      <c r="A56" t="s">
        <v>194</v>
      </c>
      <c r="B56" s="2">
        <v>46087</v>
      </c>
      <c r="C56" t="s">
        <v>195</v>
      </c>
      <c r="D56" t="s">
        <v>50</v>
      </c>
      <c r="E56" t="s">
        <v>29</v>
      </c>
      <c r="F56">
        <v>27</v>
      </c>
      <c r="G56" t="s">
        <v>94</v>
      </c>
      <c r="H56" t="s">
        <v>31</v>
      </c>
      <c r="I56" t="s">
        <v>94</v>
      </c>
      <c r="J56" t="s">
        <v>112</v>
      </c>
      <c r="K56">
        <v>3</v>
      </c>
      <c r="L56">
        <v>17615</v>
      </c>
      <c r="M56">
        <v>0</v>
      </c>
      <c r="N56">
        <v>0</v>
      </c>
      <c r="O56">
        <v>9512.1</v>
      </c>
      <c r="P56">
        <v>128</v>
      </c>
      <c r="Q56">
        <v>62485.1</v>
      </c>
      <c r="R56" t="s">
        <v>33</v>
      </c>
      <c r="S56" t="s">
        <v>34</v>
      </c>
      <c r="T56" t="s">
        <v>70</v>
      </c>
      <c r="U56" t="s">
        <v>56</v>
      </c>
      <c r="V56" t="s">
        <v>57</v>
      </c>
      <c r="W56">
        <v>5</v>
      </c>
      <c r="X56" t="s">
        <v>38</v>
      </c>
      <c r="Y56">
        <v>4</v>
      </c>
      <c r="Z56" t="s">
        <v>58</v>
      </c>
    </row>
    <row r="57" spans="1:26" x14ac:dyDescent="0.3">
      <c r="A57" t="s">
        <v>196</v>
      </c>
      <c r="B57" s="2">
        <v>45819</v>
      </c>
      <c r="C57" t="s">
        <v>147</v>
      </c>
      <c r="D57" t="s">
        <v>80</v>
      </c>
      <c r="E57" t="s">
        <v>29</v>
      </c>
      <c r="F57">
        <v>50</v>
      </c>
      <c r="G57" t="s">
        <v>99</v>
      </c>
      <c r="H57" t="s">
        <v>52</v>
      </c>
      <c r="I57" t="s">
        <v>99</v>
      </c>
      <c r="J57" t="s">
        <v>32</v>
      </c>
      <c r="K57">
        <v>2</v>
      </c>
      <c r="L57">
        <v>18078</v>
      </c>
      <c r="M57">
        <v>10</v>
      </c>
      <c r="N57">
        <v>3615.6</v>
      </c>
      <c r="O57">
        <v>5857.27</v>
      </c>
      <c r="P57">
        <v>92</v>
      </c>
      <c r="Q57">
        <v>38489.67</v>
      </c>
      <c r="R57" t="s">
        <v>33</v>
      </c>
      <c r="S57" t="s">
        <v>63</v>
      </c>
      <c r="T57" t="s">
        <v>76</v>
      </c>
      <c r="U57" t="s">
        <v>77</v>
      </c>
      <c r="V57" t="s">
        <v>57</v>
      </c>
      <c r="W57">
        <v>9</v>
      </c>
      <c r="X57" t="s">
        <v>38</v>
      </c>
      <c r="Y57">
        <v>2</v>
      </c>
      <c r="Z57" t="s">
        <v>47</v>
      </c>
    </row>
    <row r="58" spans="1:26" x14ac:dyDescent="0.3">
      <c r="A58" t="s">
        <v>197</v>
      </c>
      <c r="B58" s="2">
        <v>45860</v>
      </c>
      <c r="C58" t="s">
        <v>198</v>
      </c>
      <c r="D58" t="s">
        <v>61</v>
      </c>
      <c r="E58" t="s">
        <v>43</v>
      </c>
      <c r="F58">
        <v>33</v>
      </c>
      <c r="G58" t="s">
        <v>90</v>
      </c>
      <c r="H58" t="s">
        <v>31</v>
      </c>
      <c r="I58" t="s">
        <v>90</v>
      </c>
      <c r="J58" t="s">
        <v>102</v>
      </c>
      <c r="K58">
        <v>1</v>
      </c>
      <c r="L58">
        <v>4209</v>
      </c>
      <c r="M58">
        <v>20</v>
      </c>
      <c r="N58">
        <v>841.8</v>
      </c>
      <c r="O58">
        <v>606.1</v>
      </c>
      <c r="P58">
        <v>108</v>
      </c>
      <c r="Q58">
        <v>4081.3</v>
      </c>
      <c r="R58" t="s">
        <v>33</v>
      </c>
      <c r="S58" t="s">
        <v>34</v>
      </c>
      <c r="T58" t="s">
        <v>76</v>
      </c>
      <c r="U58" t="s">
        <v>77</v>
      </c>
      <c r="V58" t="s">
        <v>57</v>
      </c>
      <c r="W58">
        <v>8</v>
      </c>
      <c r="X58" t="s">
        <v>38</v>
      </c>
      <c r="Y58">
        <v>5</v>
      </c>
      <c r="Z58" t="s">
        <v>91</v>
      </c>
    </row>
    <row r="59" spans="1:26" x14ac:dyDescent="0.3">
      <c r="A59" t="s">
        <v>199</v>
      </c>
      <c r="B59" s="2">
        <v>45817</v>
      </c>
      <c r="C59" t="s">
        <v>200</v>
      </c>
      <c r="D59" t="s">
        <v>66</v>
      </c>
      <c r="E59" t="s">
        <v>29</v>
      </c>
      <c r="F59">
        <v>20</v>
      </c>
      <c r="G59" t="s">
        <v>90</v>
      </c>
      <c r="H59" t="s">
        <v>31</v>
      </c>
      <c r="I59" t="s">
        <v>90</v>
      </c>
      <c r="J59" t="s">
        <v>201</v>
      </c>
      <c r="K59">
        <v>5</v>
      </c>
      <c r="L59">
        <v>32244</v>
      </c>
      <c r="M59">
        <v>5</v>
      </c>
      <c r="N59">
        <v>8061</v>
      </c>
      <c r="O59">
        <v>27568.62</v>
      </c>
      <c r="P59">
        <v>248</v>
      </c>
      <c r="Q59">
        <v>180975.62</v>
      </c>
      <c r="R59" t="s">
        <v>33</v>
      </c>
      <c r="S59" t="s">
        <v>34</v>
      </c>
      <c r="T59" t="s">
        <v>46</v>
      </c>
      <c r="U59" t="s">
        <v>36</v>
      </c>
      <c r="V59" t="s">
        <v>37</v>
      </c>
      <c r="W59">
        <v>6</v>
      </c>
      <c r="X59" t="s">
        <v>38</v>
      </c>
      <c r="Y59">
        <v>2</v>
      </c>
      <c r="Z59" t="s">
        <v>58</v>
      </c>
    </row>
    <row r="60" spans="1:26" x14ac:dyDescent="0.3">
      <c r="A60" t="s">
        <v>202</v>
      </c>
      <c r="B60" s="2">
        <v>46037</v>
      </c>
      <c r="C60" t="s">
        <v>203</v>
      </c>
      <c r="D60" t="s">
        <v>42</v>
      </c>
      <c r="E60" t="s">
        <v>43</v>
      </c>
      <c r="F60">
        <v>40</v>
      </c>
      <c r="G60" t="s">
        <v>67</v>
      </c>
      <c r="H60" t="s">
        <v>68</v>
      </c>
      <c r="I60" t="s">
        <v>67</v>
      </c>
      <c r="J60" t="s">
        <v>150</v>
      </c>
      <c r="K60">
        <v>2</v>
      </c>
      <c r="L60">
        <v>17758</v>
      </c>
      <c r="M60">
        <v>10</v>
      </c>
      <c r="N60">
        <v>3551.6</v>
      </c>
      <c r="O60">
        <v>5753.59</v>
      </c>
      <c r="P60">
        <v>218</v>
      </c>
      <c r="Q60">
        <v>37935.99</v>
      </c>
      <c r="R60" t="s">
        <v>45</v>
      </c>
      <c r="S60" t="s">
        <v>63</v>
      </c>
      <c r="T60" t="s">
        <v>46</v>
      </c>
      <c r="U60" t="s">
        <v>36</v>
      </c>
      <c r="V60" t="s">
        <v>37</v>
      </c>
      <c r="W60">
        <v>9</v>
      </c>
      <c r="X60" t="s">
        <v>47</v>
      </c>
      <c r="Y60">
        <v>4</v>
      </c>
      <c r="Z60" t="s">
        <v>58</v>
      </c>
    </row>
    <row r="61" spans="1:26" x14ac:dyDescent="0.3">
      <c r="A61" t="s">
        <v>204</v>
      </c>
      <c r="B61" s="2">
        <v>46032</v>
      </c>
      <c r="C61" t="s">
        <v>205</v>
      </c>
      <c r="D61" t="s">
        <v>108</v>
      </c>
      <c r="E61" t="s">
        <v>43</v>
      </c>
      <c r="F61">
        <v>26</v>
      </c>
      <c r="G61" t="s">
        <v>139</v>
      </c>
      <c r="H61" t="s">
        <v>31</v>
      </c>
      <c r="I61" t="s">
        <v>139</v>
      </c>
      <c r="J61" t="s">
        <v>102</v>
      </c>
      <c r="K61">
        <v>3</v>
      </c>
      <c r="L61">
        <v>49447</v>
      </c>
      <c r="M61">
        <v>0</v>
      </c>
      <c r="N61">
        <v>0</v>
      </c>
      <c r="O61">
        <v>26701.38</v>
      </c>
      <c r="P61">
        <v>5</v>
      </c>
      <c r="Q61">
        <v>175047.38</v>
      </c>
      <c r="R61" t="s">
        <v>33</v>
      </c>
      <c r="S61" t="s">
        <v>34</v>
      </c>
      <c r="T61" t="s">
        <v>76</v>
      </c>
      <c r="U61" t="s">
        <v>77</v>
      </c>
      <c r="V61" t="s">
        <v>57</v>
      </c>
      <c r="W61">
        <v>3</v>
      </c>
      <c r="X61" t="s">
        <v>38</v>
      </c>
      <c r="Y61">
        <v>1</v>
      </c>
      <c r="Z61" t="s">
        <v>58</v>
      </c>
    </row>
    <row r="62" spans="1:26" x14ac:dyDescent="0.3">
      <c r="A62" t="s">
        <v>206</v>
      </c>
      <c r="B62" s="2">
        <v>45997</v>
      </c>
      <c r="C62" t="s">
        <v>207</v>
      </c>
      <c r="D62" t="s">
        <v>108</v>
      </c>
      <c r="E62" t="s">
        <v>29</v>
      </c>
      <c r="F62">
        <v>55</v>
      </c>
      <c r="G62" t="s">
        <v>94</v>
      </c>
      <c r="H62" t="s">
        <v>31</v>
      </c>
      <c r="I62" t="s">
        <v>94</v>
      </c>
      <c r="J62" t="s">
        <v>53</v>
      </c>
      <c r="K62">
        <v>4</v>
      </c>
      <c r="L62">
        <v>44629</v>
      </c>
      <c r="M62">
        <v>0</v>
      </c>
      <c r="N62">
        <v>0</v>
      </c>
      <c r="O62">
        <v>32132.880000000001</v>
      </c>
      <c r="P62">
        <v>182</v>
      </c>
      <c r="Q62">
        <v>210830.88</v>
      </c>
      <c r="R62" t="s">
        <v>83</v>
      </c>
      <c r="S62" t="s">
        <v>34</v>
      </c>
      <c r="T62" t="s">
        <v>95</v>
      </c>
      <c r="U62" t="s">
        <v>96</v>
      </c>
      <c r="V62" t="s">
        <v>57</v>
      </c>
      <c r="W62">
        <v>6</v>
      </c>
      <c r="X62" t="s">
        <v>47</v>
      </c>
      <c r="Y62">
        <v>2</v>
      </c>
      <c r="Z62" t="s">
        <v>47</v>
      </c>
    </row>
    <row r="63" spans="1:26" x14ac:dyDescent="0.3">
      <c r="A63" t="s">
        <v>208</v>
      </c>
      <c r="B63" s="2">
        <v>45927</v>
      </c>
      <c r="C63" t="s">
        <v>209</v>
      </c>
      <c r="D63" t="s">
        <v>61</v>
      </c>
      <c r="E63" t="s">
        <v>29</v>
      </c>
      <c r="F63">
        <v>43</v>
      </c>
      <c r="G63" t="s">
        <v>134</v>
      </c>
      <c r="H63" t="s">
        <v>31</v>
      </c>
      <c r="I63" t="s">
        <v>134</v>
      </c>
      <c r="J63" t="s">
        <v>69</v>
      </c>
      <c r="K63">
        <v>2</v>
      </c>
      <c r="L63">
        <v>35049</v>
      </c>
      <c r="M63">
        <v>10</v>
      </c>
      <c r="N63">
        <v>7009.8</v>
      </c>
      <c r="O63">
        <v>11355.88</v>
      </c>
      <c r="P63">
        <v>249</v>
      </c>
      <c r="Q63">
        <v>74693.08</v>
      </c>
      <c r="R63" t="s">
        <v>33</v>
      </c>
      <c r="S63" t="s">
        <v>34</v>
      </c>
      <c r="T63" t="s">
        <v>35</v>
      </c>
      <c r="U63" t="s">
        <v>36</v>
      </c>
      <c r="V63" t="s">
        <v>37</v>
      </c>
      <c r="W63">
        <v>1</v>
      </c>
      <c r="X63" t="s">
        <v>47</v>
      </c>
      <c r="Y63">
        <v>1</v>
      </c>
      <c r="Z63" t="s">
        <v>58</v>
      </c>
    </row>
    <row r="64" spans="1:26" x14ac:dyDescent="0.3">
      <c r="A64" t="s">
        <v>210</v>
      </c>
      <c r="B64" s="2">
        <v>45881</v>
      </c>
      <c r="C64" t="s">
        <v>211</v>
      </c>
      <c r="D64" t="s">
        <v>50</v>
      </c>
      <c r="E64" t="s">
        <v>43</v>
      </c>
      <c r="F64">
        <v>49</v>
      </c>
      <c r="G64" t="s">
        <v>44</v>
      </c>
      <c r="H64" t="s">
        <v>31</v>
      </c>
      <c r="I64" t="s">
        <v>44</v>
      </c>
      <c r="J64" t="s">
        <v>32</v>
      </c>
      <c r="K64">
        <v>4</v>
      </c>
      <c r="L64">
        <v>15260</v>
      </c>
      <c r="M64">
        <v>5</v>
      </c>
      <c r="N64">
        <v>3052</v>
      </c>
      <c r="O64">
        <v>10437.84</v>
      </c>
      <c r="P64">
        <v>466</v>
      </c>
      <c r="Q64">
        <v>68891.839999999997</v>
      </c>
      <c r="R64" t="s">
        <v>54</v>
      </c>
      <c r="S64" t="s">
        <v>34</v>
      </c>
      <c r="T64" t="s">
        <v>35</v>
      </c>
      <c r="U64" t="s">
        <v>36</v>
      </c>
      <c r="V64" t="s">
        <v>37</v>
      </c>
      <c r="W64">
        <v>2</v>
      </c>
      <c r="X64" t="s">
        <v>47</v>
      </c>
      <c r="Y64">
        <v>2</v>
      </c>
      <c r="Z64" t="s">
        <v>39</v>
      </c>
    </row>
    <row r="65" spans="1:26" x14ac:dyDescent="0.3">
      <c r="A65" t="s">
        <v>212</v>
      </c>
      <c r="B65" s="2">
        <v>46094</v>
      </c>
      <c r="C65" t="s">
        <v>213</v>
      </c>
      <c r="D65" t="s">
        <v>80</v>
      </c>
      <c r="E65" t="s">
        <v>29</v>
      </c>
      <c r="F65">
        <v>24</v>
      </c>
      <c r="G65" t="s">
        <v>139</v>
      </c>
      <c r="H65" t="s">
        <v>31</v>
      </c>
      <c r="I65" t="s">
        <v>139</v>
      </c>
      <c r="J65" t="s">
        <v>125</v>
      </c>
      <c r="K65">
        <v>4</v>
      </c>
      <c r="L65">
        <v>45316</v>
      </c>
      <c r="M65">
        <v>15</v>
      </c>
      <c r="N65">
        <v>27189.599999999999</v>
      </c>
      <c r="O65">
        <v>27733.39</v>
      </c>
      <c r="P65">
        <v>203</v>
      </c>
      <c r="Q65">
        <v>182010.79</v>
      </c>
      <c r="R65" t="s">
        <v>33</v>
      </c>
      <c r="S65" t="s">
        <v>34</v>
      </c>
      <c r="T65" t="s">
        <v>95</v>
      </c>
      <c r="U65" t="s">
        <v>96</v>
      </c>
      <c r="V65" t="s">
        <v>57</v>
      </c>
      <c r="W65">
        <v>5</v>
      </c>
      <c r="X65" t="s">
        <v>38</v>
      </c>
      <c r="Y65">
        <v>4</v>
      </c>
      <c r="Z65" t="s">
        <v>39</v>
      </c>
    </row>
    <row r="66" spans="1:26" x14ac:dyDescent="0.3">
      <c r="A66" t="s">
        <v>214</v>
      </c>
      <c r="B66" s="2">
        <v>45801</v>
      </c>
      <c r="C66" t="s">
        <v>215</v>
      </c>
      <c r="D66" t="s">
        <v>73</v>
      </c>
      <c r="E66" t="s">
        <v>43</v>
      </c>
      <c r="F66">
        <v>34</v>
      </c>
      <c r="G66" t="s">
        <v>74</v>
      </c>
      <c r="H66" t="s">
        <v>31</v>
      </c>
      <c r="I66" t="s">
        <v>74</v>
      </c>
      <c r="J66" t="s">
        <v>75</v>
      </c>
      <c r="K66">
        <v>3</v>
      </c>
      <c r="L66">
        <v>1028</v>
      </c>
      <c r="M66">
        <v>5</v>
      </c>
      <c r="N66">
        <v>154.19999999999999</v>
      </c>
      <c r="O66">
        <v>527.36</v>
      </c>
      <c r="P66">
        <v>194</v>
      </c>
      <c r="Q66">
        <v>3651.16</v>
      </c>
      <c r="R66" t="s">
        <v>83</v>
      </c>
      <c r="S66" t="s">
        <v>63</v>
      </c>
      <c r="T66" t="s">
        <v>46</v>
      </c>
      <c r="U66" t="s">
        <v>36</v>
      </c>
      <c r="V66" t="s">
        <v>37</v>
      </c>
      <c r="W66">
        <v>2</v>
      </c>
      <c r="X66" t="s">
        <v>47</v>
      </c>
      <c r="Y66">
        <v>2</v>
      </c>
      <c r="Z66" t="s">
        <v>58</v>
      </c>
    </row>
    <row r="67" spans="1:26" x14ac:dyDescent="0.3">
      <c r="A67" t="s">
        <v>216</v>
      </c>
      <c r="B67" s="2">
        <v>45886</v>
      </c>
      <c r="C67" t="s">
        <v>217</v>
      </c>
      <c r="D67" t="s">
        <v>42</v>
      </c>
      <c r="E67" t="s">
        <v>43</v>
      </c>
      <c r="F67">
        <v>56</v>
      </c>
      <c r="G67" t="s">
        <v>44</v>
      </c>
      <c r="H67" t="s">
        <v>31</v>
      </c>
      <c r="I67" t="s">
        <v>44</v>
      </c>
      <c r="J67" t="s">
        <v>75</v>
      </c>
      <c r="K67">
        <v>1</v>
      </c>
      <c r="L67">
        <v>32156</v>
      </c>
      <c r="M67">
        <v>10</v>
      </c>
      <c r="N67">
        <v>3215.6</v>
      </c>
      <c r="O67">
        <v>5209.2700000000004</v>
      </c>
      <c r="P67">
        <v>312</v>
      </c>
      <c r="Q67">
        <v>34461.67</v>
      </c>
      <c r="R67" t="s">
        <v>45</v>
      </c>
      <c r="S67" t="s">
        <v>34</v>
      </c>
      <c r="T67" t="s">
        <v>95</v>
      </c>
      <c r="U67" t="s">
        <v>96</v>
      </c>
      <c r="V67" t="s">
        <v>57</v>
      </c>
      <c r="W67">
        <v>9</v>
      </c>
      <c r="X67" t="s">
        <v>38</v>
      </c>
      <c r="Y67">
        <v>4</v>
      </c>
      <c r="Z67" t="s">
        <v>47</v>
      </c>
    </row>
    <row r="68" spans="1:26" x14ac:dyDescent="0.3">
      <c r="A68" t="s">
        <v>218</v>
      </c>
      <c r="B68" s="2">
        <v>46019</v>
      </c>
      <c r="C68" t="s">
        <v>219</v>
      </c>
      <c r="D68" t="s">
        <v>80</v>
      </c>
      <c r="E68" t="s">
        <v>43</v>
      </c>
      <c r="F68">
        <v>23</v>
      </c>
      <c r="G68" t="s">
        <v>139</v>
      </c>
      <c r="H68" t="s">
        <v>31</v>
      </c>
      <c r="I68" t="s">
        <v>139</v>
      </c>
      <c r="J68" t="s">
        <v>32</v>
      </c>
      <c r="K68">
        <v>1</v>
      </c>
      <c r="L68">
        <v>33064</v>
      </c>
      <c r="M68">
        <v>0</v>
      </c>
      <c r="N68">
        <v>0</v>
      </c>
      <c r="O68">
        <v>5951.52</v>
      </c>
      <c r="P68">
        <v>426</v>
      </c>
      <c r="Q68">
        <v>39441.519999999997</v>
      </c>
      <c r="R68" t="s">
        <v>33</v>
      </c>
      <c r="S68" t="s">
        <v>34</v>
      </c>
      <c r="T68" t="s">
        <v>55</v>
      </c>
      <c r="U68" t="s">
        <v>56</v>
      </c>
      <c r="V68" t="s">
        <v>57</v>
      </c>
      <c r="W68">
        <v>9</v>
      </c>
      <c r="X68" t="s">
        <v>38</v>
      </c>
      <c r="Y68">
        <v>4</v>
      </c>
      <c r="Z68" t="s">
        <v>58</v>
      </c>
    </row>
    <row r="69" spans="1:26" x14ac:dyDescent="0.3">
      <c r="A69" t="s">
        <v>220</v>
      </c>
      <c r="B69" s="2">
        <v>45918</v>
      </c>
      <c r="C69" t="s">
        <v>221</v>
      </c>
      <c r="D69" t="s">
        <v>80</v>
      </c>
      <c r="E69" t="s">
        <v>29</v>
      </c>
      <c r="F69">
        <v>36</v>
      </c>
      <c r="G69" t="s">
        <v>51</v>
      </c>
      <c r="H69" t="s">
        <v>52</v>
      </c>
      <c r="I69" t="s">
        <v>51</v>
      </c>
      <c r="J69" t="s">
        <v>62</v>
      </c>
      <c r="K69">
        <v>1</v>
      </c>
      <c r="L69">
        <v>1059</v>
      </c>
      <c r="M69">
        <v>0</v>
      </c>
      <c r="N69">
        <v>0</v>
      </c>
      <c r="O69">
        <v>190.62</v>
      </c>
      <c r="P69">
        <v>48</v>
      </c>
      <c r="Q69">
        <v>1297.6199999999999</v>
      </c>
      <c r="R69" t="s">
        <v>54</v>
      </c>
      <c r="S69" t="s">
        <v>63</v>
      </c>
      <c r="T69" t="s">
        <v>95</v>
      </c>
      <c r="U69" t="s">
        <v>96</v>
      </c>
      <c r="V69" t="s">
        <v>57</v>
      </c>
      <c r="W69">
        <v>5</v>
      </c>
      <c r="X69" t="s">
        <v>38</v>
      </c>
      <c r="Y69">
        <v>2</v>
      </c>
      <c r="Z69" t="s">
        <v>47</v>
      </c>
    </row>
    <row r="70" spans="1:26" x14ac:dyDescent="0.3">
      <c r="A70" t="s">
        <v>222</v>
      </c>
      <c r="B70" s="2">
        <v>45909</v>
      </c>
      <c r="C70" t="s">
        <v>223</v>
      </c>
      <c r="D70" t="s">
        <v>50</v>
      </c>
      <c r="E70" t="s">
        <v>29</v>
      </c>
      <c r="F70">
        <v>30</v>
      </c>
      <c r="G70" t="s">
        <v>99</v>
      </c>
      <c r="H70" t="s">
        <v>52</v>
      </c>
      <c r="I70" t="s">
        <v>99</v>
      </c>
      <c r="J70" t="s">
        <v>125</v>
      </c>
      <c r="K70">
        <v>4</v>
      </c>
      <c r="L70">
        <v>7089</v>
      </c>
      <c r="M70">
        <v>20</v>
      </c>
      <c r="N70">
        <v>5671.2</v>
      </c>
      <c r="O70">
        <v>4083.26</v>
      </c>
      <c r="P70">
        <v>403</v>
      </c>
      <c r="Q70">
        <v>27171.06</v>
      </c>
      <c r="R70" t="s">
        <v>33</v>
      </c>
      <c r="S70" t="s">
        <v>63</v>
      </c>
      <c r="T70" t="s">
        <v>103</v>
      </c>
      <c r="U70" t="s">
        <v>103</v>
      </c>
      <c r="V70" t="s">
        <v>57</v>
      </c>
      <c r="W70">
        <v>9</v>
      </c>
      <c r="X70" t="s">
        <v>47</v>
      </c>
      <c r="Y70">
        <v>2</v>
      </c>
      <c r="Z70" t="s">
        <v>39</v>
      </c>
    </row>
    <row r="71" spans="1:26" x14ac:dyDescent="0.3">
      <c r="A71" t="s">
        <v>224</v>
      </c>
      <c r="B71" s="2">
        <v>45905</v>
      </c>
      <c r="C71" t="s">
        <v>225</v>
      </c>
      <c r="D71" t="s">
        <v>66</v>
      </c>
      <c r="E71" t="s">
        <v>29</v>
      </c>
      <c r="F71">
        <v>55</v>
      </c>
      <c r="G71" t="s">
        <v>134</v>
      </c>
      <c r="H71" t="s">
        <v>31</v>
      </c>
      <c r="I71" t="s">
        <v>134</v>
      </c>
      <c r="J71" t="s">
        <v>201</v>
      </c>
      <c r="K71">
        <v>4</v>
      </c>
      <c r="L71">
        <v>11996</v>
      </c>
      <c r="M71">
        <v>5</v>
      </c>
      <c r="N71">
        <v>2399.1999999999998</v>
      </c>
      <c r="O71">
        <v>8205.26</v>
      </c>
      <c r="P71">
        <v>466</v>
      </c>
      <c r="Q71">
        <v>54256.06</v>
      </c>
      <c r="R71" t="s">
        <v>45</v>
      </c>
      <c r="S71" t="s">
        <v>34</v>
      </c>
      <c r="T71" t="s">
        <v>55</v>
      </c>
      <c r="U71" t="s">
        <v>56</v>
      </c>
      <c r="V71" t="s">
        <v>57</v>
      </c>
      <c r="W71">
        <v>4</v>
      </c>
      <c r="X71" t="s">
        <v>47</v>
      </c>
      <c r="Y71">
        <v>4</v>
      </c>
      <c r="Z71" t="s">
        <v>47</v>
      </c>
    </row>
    <row r="72" spans="1:26" x14ac:dyDescent="0.3">
      <c r="A72" t="s">
        <v>226</v>
      </c>
      <c r="B72" s="2">
        <v>45846</v>
      </c>
      <c r="C72" t="s">
        <v>227</v>
      </c>
      <c r="D72" t="s">
        <v>89</v>
      </c>
      <c r="E72" t="s">
        <v>43</v>
      </c>
      <c r="F72">
        <v>19</v>
      </c>
      <c r="G72" t="s">
        <v>51</v>
      </c>
      <c r="H72" t="s">
        <v>52</v>
      </c>
      <c r="I72" t="s">
        <v>51</v>
      </c>
      <c r="J72" t="s">
        <v>62</v>
      </c>
      <c r="K72">
        <v>1</v>
      </c>
      <c r="L72">
        <v>15786</v>
      </c>
      <c r="M72">
        <v>20</v>
      </c>
      <c r="N72">
        <v>3157.2</v>
      </c>
      <c r="O72">
        <v>2273.1799999999998</v>
      </c>
      <c r="P72">
        <v>268</v>
      </c>
      <c r="Q72">
        <v>15169.98</v>
      </c>
      <c r="R72" t="s">
        <v>45</v>
      </c>
      <c r="S72" t="s">
        <v>34</v>
      </c>
      <c r="T72" t="s">
        <v>70</v>
      </c>
      <c r="U72" t="s">
        <v>56</v>
      </c>
      <c r="V72" t="s">
        <v>57</v>
      </c>
      <c r="W72">
        <v>10</v>
      </c>
      <c r="X72" t="s">
        <v>38</v>
      </c>
      <c r="Y72">
        <v>5</v>
      </c>
      <c r="Z72" t="s">
        <v>39</v>
      </c>
    </row>
    <row r="73" spans="1:26" x14ac:dyDescent="0.3">
      <c r="A73" t="s">
        <v>228</v>
      </c>
      <c r="B73" s="2">
        <v>46061</v>
      </c>
      <c r="C73" t="s">
        <v>229</v>
      </c>
      <c r="D73" t="s">
        <v>73</v>
      </c>
      <c r="E73" t="s">
        <v>43</v>
      </c>
      <c r="F73">
        <v>26</v>
      </c>
      <c r="G73" t="s">
        <v>67</v>
      </c>
      <c r="H73" t="s">
        <v>68</v>
      </c>
      <c r="I73" t="s">
        <v>67</v>
      </c>
      <c r="J73" t="s">
        <v>69</v>
      </c>
      <c r="K73">
        <v>1</v>
      </c>
      <c r="L73">
        <v>16943</v>
      </c>
      <c r="M73">
        <v>15</v>
      </c>
      <c r="N73">
        <v>2541.4499999999998</v>
      </c>
      <c r="O73">
        <v>2592.2800000000002</v>
      </c>
      <c r="P73">
        <v>242</v>
      </c>
      <c r="Q73">
        <v>17235.830000000002</v>
      </c>
      <c r="R73" t="s">
        <v>83</v>
      </c>
      <c r="S73" t="s">
        <v>34</v>
      </c>
      <c r="T73" t="s">
        <v>84</v>
      </c>
      <c r="U73" t="s">
        <v>85</v>
      </c>
      <c r="V73" t="s">
        <v>86</v>
      </c>
      <c r="W73">
        <v>5</v>
      </c>
      <c r="X73" t="s">
        <v>38</v>
      </c>
      <c r="Y73">
        <v>2</v>
      </c>
      <c r="Z73" t="s">
        <v>39</v>
      </c>
    </row>
    <row r="74" spans="1:26" x14ac:dyDescent="0.3">
      <c r="A74" t="s">
        <v>230</v>
      </c>
      <c r="B74" s="2">
        <v>45975</v>
      </c>
      <c r="C74" t="s">
        <v>231</v>
      </c>
      <c r="D74" t="s">
        <v>50</v>
      </c>
      <c r="E74" t="s">
        <v>29</v>
      </c>
      <c r="F74">
        <v>31</v>
      </c>
      <c r="G74" t="s">
        <v>51</v>
      </c>
      <c r="H74" t="s">
        <v>52</v>
      </c>
      <c r="I74" t="s">
        <v>51</v>
      </c>
      <c r="J74" t="s">
        <v>125</v>
      </c>
      <c r="K74">
        <v>3</v>
      </c>
      <c r="L74">
        <v>810</v>
      </c>
      <c r="M74">
        <v>10</v>
      </c>
      <c r="N74">
        <v>243</v>
      </c>
      <c r="O74">
        <v>393.66</v>
      </c>
      <c r="P74">
        <v>202</v>
      </c>
      <c r="Q74">
        <v>2782.66</v>
      </c>
      <c r="R74" t="s">
        <v>45</v>
      </c>
      <c r="S74" t="s">
        <v>34</v>
      </c>
      <c r="T74" t="s">
        <v>35</v>
      </c>
      <c r="U74" t="s">
        <v>36</v>
      </c>
      <c r="V74" t="s">
        <v>37</v>
      </c>
      <c r="W74">
        <v>6</v>
      </c>
      <c r="X74" t="s">
        <v>38</v>
      </c>
      <c r="Y74">
        <v>5</v>
      </c>
      <c r="Z74" t="s">
        <v>58</v>
      </c>
    </row>
    <row r="75" spans="1:26" x14ac:dyDescent="0.3">
      <c r="A75" t="s">
        <v>232</v>
      </c>
      <c r="B75" s="2">
        <v>45953</v>
      </c>
      <c r="C75" t="s">
        <v>233</v>
      </c>
      <c r="D75" t="s">
        <v>28</v>
      </c>
      <c r="E75" t="s">
        <v>43</v>
      </c>
      <c r="F75">
        <v>26</v>
      </c>
      <c r="G75" t="s">
        <v>90</v>
      </c>
      <c r="H75" t="s">
        <v>31</v>
      </c>
      <c r="I75" t="s">
        <v>90</v>
      </c>
      <c r="J75" t="s">
        <v>62</v>
      </c>
      <c r="K75">
        <v>3</v>
      </c>
      <c r="L75">
        <v>22771</v>
      </c>
      <c r="M75">
        <v>15</v>
      </c>
      <c r="N75">
        <v>10246.950000000001</v>
      </c>
      <c r="O75">
        <v>10451.89</v>
      </c>
      <c r="P75">
        <v>196</v>
      </c>
      <c r="Q75">
        <v>68713.94</v>
      </c>
      <c r="R75" t="s">
        <v>83</v>
      </c>
      <c r="S75" t="s">
        <v>34</v>
      </c>
      <c r="T75" t="s">
        <v>35</v>
      </c>
      <c r="U75" t="s">
        <v>36</v>
      </c>
      <c r="V75" t="s">
        <v>37</v>
      </c>
      <c r="W75">
        <v>1</v>
      </c>
      <c r="X75" t="s">
        <v>47</v>
      </c>
      <c r="Y75">
        <v>2</v>
      </c>
      <c r="Z75" t="s">
        <v>47</v>
      </c>
    </row>
    <row r="76" spans="1:26" x14ac:dyDescent="0.3">
      <c r="A76" t="s">
        <v>234</v>
      </c>
      <c r="B76" s="2">
        <v>46034</v>
      </c>
      <c r="C76" t="s">
        <v>235</v>
      </c>
      <c r="D76" t="s">
        <v>66</v>
      </c>
      <c r="E76" t="s">
        <v>43</v>
      </c>
      <c r="F76">
        <v>27</v>
      </c>
      <c r="G76" t="s">
        <v>139</v>
      </c>
      <c r="H76" t="s">
        <v>31</v>
      </c>
      <c r="I76" t="s">
        <v>139</v>
      </c>
      <c r="J76" t="s">
        <v>75</v>
      </c>
      <c r="K76">
        <v>1</v>
      </c>
      <c r="L76">
        <v>49814</v>
      </c>
      <c r="M76">
        <v>15</v>
      </c>
      <c r="N76">
        <v>7472.1</v>
      </c>
      <c r="O76">
        <v>7621.54</v>
      </c>
      <c r="P76">
        <v>331</v>
      </c>
      <c r="Q76">
        <v>50294.44</v>
      </c>
      <c r="R76" t="s">
        <v>45</v>
      </c>
      <c r="S76" t="s">
        <v>63</v>
      </c>
      <c r="T76" t="s">
        <v>103</v>
      </c>
      <c r="U76" t="s">
        <v>103</v>
      </c>
      <c r="V76" t="s">
        <v>57</v>
      </c>
      <c r="W76">
        <v>10</v>
      </c>
      <c r="X76" t="s">
        <v>47</v>
      </c>
      <c r="Y76">
        <v>4</v>
      </c>
      <c r="Z76" t="s">
        <v>47</v>
      </c>
    </row>
    <row r="77" spans="1:26" x14ac:dyDescent="0.3">
      <c r="A77" t="s">
        <v>236</v>
      </c>
      <c r="B77" s="2">
        <v>45873</v>
      </c>
      <c r="C77" t="s">
        <v>237</v>
      </c>
      <c r="D77" t="s">
        <v>28</v>
      </c>
      <c r="E77" t="s">
        <v>29</v>
      </c>
      <c r="F77">
        <v>24</v>
      </c>
      <c r="G77" t="s">
        <v>51</v>
      </c>
      <c r="H77" t="s">
        <v>52</v>
      </c>
      <c r="I77" t="s">
        <v>51</v>
      </c>
      <c r="J77" t="s">
        <v>75</v>
      </c>
      <c r="K77">
        <v>2</v>
      </c>
      <c r="L77">
        <v>17710</v>
      </c>
      <c r="M77">
        <v>20</v>
      </c>
      <c r="N77">
        <v>7084</v>
      </c>
      <c r="O77">
        <v>5100.4799999999996</v>
      </c>
      <c r="P77">
        <v>267</v>
      </c>
      <c r="Q77">
        <v>33703.480000000003</v>
      </c>
      <c r="R77" t="s">
        <v>33</v>
      </c>
      <c r="S77" t="s">
        <v>34</v>
      </c>
      <c r="T77" t="s">
        <v>46</v>
      </c>
      <c r="U77" t="s">
        <v>36</v>
      </c>
      <c r="V77" t="s">
        <v>37</v>
      </c>
      <c r="W77">
        <v>1</v>
      </c>
      <c r="X77" t="s">
        <v>38</v>
      </c>
      <c r="Y77">
        <v>1</v>
      </c>
      <c r="Z77" t="s">
        <v>58</v>
      </c>
    </row>
    <row r="78" spans="1:26" x14ac:dyDescent="0.3">
      <c r="A78" t="s">
        <v>238</v>
      </c>
      <c r="B78" s="2">
        <v>45943</v>
      </c>
      <c r="C78" t="s">
        <v>239</v>
      </c>
      <c r="D78" t="s">
        <v>108</v>
      </c>
      <c r="E78" t="s">
        <v>29</v>
      </c>
      <c r="F78">
        <v>45</v>
      </c>
      <c r="G78" t="s">
        <v>44</v>
      </c>
      <c r="H78" t="s">
        <v>31</v>
      </c>
      <c r="I78" t="s">
        <v>44</v>
      </c>
      <c r="J78" t="s">
        <v>69</v>
      </c>
      <c r="K78">
        <v>5</v>
      </c>
      <c r="L78">
        <v>24572</v>
      </c>
      <c r="M78">
        <v>10</v>
      </c>
      <c r="N78">
        <v>12286</v>
      </c>
      <c r="O78">
        <v>19903.32</v>
      </c>
      <c r="P78">
        <v>152</v>
      </c>
      <c r="Q78">
        <v>130629.32</v>
      </c>
      <c r="R78" t="s">
        <v>83</v>
      </c>
      <c r="S78" t="s">
        <v>34</v>
      </c>
      <c r="T78" t="s">
        <v>95</v>
      </c>
      <c r="U78" t="s">
        <v>96</v>
      </c>
      <c r="V78" t="s">
        <v>57</v>
      </c>
      <c r="W78">
        <v>5</v>
      </c>
      <c r="X78" t="s">
        <v>47</v>
      </c>
      <c r="Y78">
        <v>5</v>
      </c>
      <c r="Z78" t="s">
        <v>91</v>
      </c>
    </row>
    <row r="79" spans="1:26" x14ac:dyDescent="0.3">
      <c r="A79" t="s">
        <v>240</v>
      </c>
      <c r="B79" s="2">
        <v>45879</v>
      </c>
      <c r="C79" t="s">
        <v>241</v>
      </c>
      <c r="D79" t="s">
        <v>66</v>
      </c>
      <c r="E79" t="s">
        <v>29</v>
      </c>
      <c r="F79">
        <v>47</v>
      </c>
      <c r="G79" t="s">
        <v>44</v>
      </c>
      <c r="H79" t="s">
        <v>31</v>
      </c>
      <c r="I79" t="s">
        <v>44</v>
      </c>
      <c r="J79" t="s">
        <v>62</v>
      </c>
      <c r="K79">
        <v>3</v>
      </c>
      <c r="L79">
        <v>49144</v>
      </c>
      <c r="M79">
        <v>15</v>
      </c>
      <c r="N79">
        <v>22114.799999999999</v>
      </c>
      <c r="O79">
        <v>22557.1</v>
      </c>
      <c r="P79">
        <v>324</v>
      </c>
      <c r="Q79">
        <v>148198.29999999999</v>
      </c>
      <c r="R79" t="s">
        <v>45</v>
      </c>
      <c r="S79" t="s">
        <v>34</v>
      </c>
      <c r="T79" t="s">
        <v>103</v>
      </c>
      <c r="U79" t="s">
        <v>103</v>
      </c>
      <c r="V79" t="s">
        <v>57</v>
      </c>
      <c r="W79">
        <v>2</v>
      </c>
      <c r="X79" t="s">
        <v>47</v>
      </c>
      <c r="Y79">
        <v>4</v>
      </c>
      <c r="Z79" t="s">
        <v>58</v>
      </c>
    </row>
    <row r="80" spans="1:26" x14ac:dyDescent="0.3">
      <c r="A80" t="s">
        <v>242</v>
      </c>
      <c r="B80" s="2">
        <v>45847</v>
      </c>
      <c r="C80" t="s">
        <v>243</v>
      </c>
      <c r="D80" t="s">
        <v>73</v>
      </c>
      <c r="E80" t="s">
        <v>29</v>
      </c>
      <c r="F80">
        <v>56</v>
      </c>
      <c r="G80" t="s">
        <v>74</v>
      </c>
      <c r="H80" t="s">
        <v>31</v>
      </c>
      <c r="I80" t="s">
        <v>74</v>
      </c>
      <c r="J80" t="s">
        <v>69</v>
      </c>
      <c r="K80">
        <v>3</v>
      </c>
      <c r="L80">
        <v>38503</v>
      </c>
      <c r="M80">
        <v>15</v>
      </c>
      <c r="N80">
        <v>17326.349999999999</v>
      </c>
      <c r="O80">
        <v>17672.88</v>
      </c>
      <c r="P80">
        <v>380</v>
      </c>
      <c r="Q80">
        <v>116235.53</v>
      </c>
      <c r="R80" t="s">
        <v>33</v>
      </c>
      <c r="S80" t="s">
        <v>63</v>
      </c>
      <c r="T80" t="s">
        <v>76</v>
      </c>
      <c r="U80" t="s">
        <v>77</v>
      </c>
      <c r="V80" t="s">
        <v>57</v>
      </c>
      <c r="W80">
        <v>7</v>
      </c>
      <c r="X80" t="s">
        <v>38</v>
      </c>
      <c r="Y80">
        <v>5</v>
      </c>
      <c r="Z80" t="s">
        <v>47</v>
      </c>
    </row>
    <row r="81" spans="1:26" x14ac:dyDescent="0.3">
      <c r="A81" t="s">
        <v>244</v>
      </c>
      <c r="B81" s="2">
        <v>45804</v>
      </c>
      <c r="C81" t="s">
        <v>245</v>
      </c>
      <c r="D81" t="s">
        <v>73</v>
      </c>
      <c r="E81" t="s">
        <v>29</v>
      </c>
      <c r="F81">
        <v>28</v>
      </c>
      <c r="G81" t="s">
        <v>90</v>
      </c>
      <c r="H81" t="s">
        <v>31</v>
      </c>
      <c r="I81" t="s">
        <v>90</v>
      </c>
      <c r="J81" t="s">
        <v>125</v>
      </c>
      <c r="K81">
        <v>5</v>
      </c>
      <c r="L81">
        <v>39230</v>
      </c>
      <c r="M81">
        <v>20</v>
      </c>
      <c r="N81">
        <v>39230</v>
      </c>
      <c r="O81">
        <v>28245.599999999999</v>
      </c>
      <c r="P81">
        <v>225</v>
      </c>
      <c r="Q81">
        <v>185390.6</v>
      </c>
      <c r="R81" t="s">
        <v>83</v>
      </c>
      <c r="S81" t="s">
        <v>34</v>
      </c>
      <c r="T81" t="s">
        <v>55</v>
      </c>
      <c r="U81" t="s">
        <v>56</v>
      </c>
      <c r="V81" t="s">
        <v>57</v>
      </c>
      <c r="W81">
        <v>4</v>
      </c>
      <c r="X81" t="s">
        <v>47</v>
      </c>
      <c r="Y81">
        <v>2</v>
      </c>
      <c r="Z81" t="s">
        <v>91</v>
      </c>
    </row>
    <row r="82" spans="1:26" x14ac:dyDescent="0.3">
      <c r="A82" t="s">
        <v>246</v>
      </c>
      <c r="B82" s="2">
        <v>45965</v>
      </c>
      <c r="C82" t="s">
        <v>247</v>
      </c>
      <c r="D82" t="s">
        <v>61</v>
      </c>
      <c r="E82" t="s">
        <v>29</v>
      </c>
      <c r="F82">
        <v>43</v>
      </c>
      <c r="G82" t="s">
        <v>99</v>
      </c>
      <c r="H82" t="s">
        <v>52</v>
      </c>
      <c r="I82" t="s">
        <v>99</v>
      </c>
      <c r="J82" t="s">
        <v>62</v>
      </c>
      <c r="K82">
        <v>5</v>
      </c>
      <c r="L82">
        <v>2002</v>
      </c>
      <c r="M82">
        <v>5</v>
      </c>
      <c r="N82">
        <v>500.5</v>
      </c>
      <c r="O82">
        <v>1711.71</v>
      </c>
      <c r="P82">
        <v>358</v>
      </c>
      <c r="Q82">
        <v>11579.21</v>
      </c>
      <c r="R82" t="s">
        <v>54</v>
      </c>
      <c r="S82" t="s">
        <v>34</v>
      </c>
      <c r="T82" t="s">
        <v>35</v>
      </c>
      <c r="U82" t="s">
        <v>36</v>
      </c>
      <c r="V82" t="s">
        <v>37</v>
      </c>
      <c r="W82">
        <v>3</v>
      </c>
      <c r="X82" t="s">
        <v>38</v>
      </c>
      <c r="Y82">
        <v>4</v>
      </c>
      <c r="Z82" t="s">
        <v>58</v>
      </c>
    </row>
    <row r="83" spans="1:26" x14ac:dyDescent="0.3">
      <c r="A83" t="s">
        <v>248</v>
      </c>
      <c r="B83" s="2">
        <v>45886</v>
      </c>
      <c r="C83" t="s">
        <v>249</v>
      </c>
      <c r="D83" t="s">
        <v>111</v>
      </c>
      <c r="E83" t="s">
        <v>43</v>
      </c>
      <c r="F83">
        <v>19</v>
      </c>
      <c r="G83" t="s">
        <v>44</v>
      </c>
      <c r="H83" t="s">
        <v>31</v>
      </c>
      <c r="I83" t="s">
        <v>44</v>
      </c>
      <c r="J83" t="s">
        <v>201</v>
      </c>
      <c r="K83">
        <v>2</v>
      </c>
      <c r="L83">
        <v>44220</v>
      </c>
      <c r="M83">
        <v>15</v>
      </c>
      <c r="N83">
        <v>13266</v>
      </c>
      <c r="O83">
        <v>13531.32</v>
      </c>
      <c r="P83">
        <v>258</v>
      </c>
      <c r="Q83">
        <v>88963.32</v>
      </c>
      <c r="R83" t="s">
        <v>54</v>
      </c>
      <c r="S83" t="s">
        <v>63</v>
      </c>
      <c r="T83" t="s">
        <v>46</v>
      </c>
      <c r="U83" t="s">
        <v>36</v>
      </c>
      <c r="V83" t="s">
        <v>37</v>
      </c>
      <c r="W83">
        <v>7</v>
      </c>
      <c r="X83" t="s">
        <v>47</v>
      </c>
      <c r="Y83">
        <v>2</v>
      </c>
      <c r="Z83" t="s">
        <v>47</v>
      </c>
    </row>
    <row r="84" spans="1:26" x14ac:dyDescent="0.3">
      <c r="A84" t="s">
        <v>250</v>
      </c>
      <c r="B84" s="2">
        <v>45857</v>
      </c>
      <c r="C84" t="s">
        <v>251</v>
      </c>
      <c r="D84" t="s">
        <v>89</v>
      </c>
      <c r="E84" t="s">
        <v>29</v>
      </c>
      <c r="F84">
        <v>39</v>
      </c>
      <c r="G84" t="s">
        <v>90</v>
      </c>
      <c r="H84" t="s">
        <v>31</v>
      </c>
      <c r="I84" t="s">
        <v>90</v>
      </c>
      <c r="J84" t="s">
        <v>150</v>
      </c>
      <c r="K84">
        <v>1</v>
      </c>
      <c r="L84">
        <v>41458</v>
      </c>
      <c r="M84">
        <v>10</v>
      </c>
      <c r="N84">
        <v>4145.8</v>
      </c>
      <c r="O84">
        <v>6716.2</v>
      </c>
      <c r="P84">
        <v>255</v>
      </c>
      <c r="Q84">
        <v>44283.4</v>
      </c>
      <c r="R84" t="s">
        <v>54</v>
      </c>
      <c r="S84" t="s">
        <v>34</v>
      </c>
      <c r="T84" t="s">
        <v>84</v>
      </c>
      <c r="U84" t="s">
        <v>85</v>
      </c>
      <c r="V84" t="s">
        <v>86</v>
      </c>
      <c r="W84">
        <v>9</v>
      </c>
      <c r="X84" t="s">
        <v>47</v>
      </c>
      <c r="Y84">
        <v>2</v>
      </c>
      <c r="Z84" t="s">
        <v>47</v>
      </c>
    </row>
    <row r="85" spans="1:26" x14ac:dyDescent="0.3">
      <c r="A85" t="s">
        <v>252</v>
      </c>
      <c r="B85" s="2">
        <v>46114</v>
      </c>
      <c r="C85" t="s">
        <v>253</v>
      </c>
      <c r="D85" t="s">
        <v>28</v>
      </c>
      <c r="E85" t="s">
        <v>43</v>
      </c>
      <c r="F85">
        <v>28</v>
      </c>
      <c r="G85" t="s">
        <v>134</v>
      </c>
      <c r="H85" t="s">
        <v>31</v>
      </c>
      <c r="I85" t="s">
        <v>134</v>
      </c>
      <c r="J85" t="s">
        <v>102</v>
      </c>
      <c r="K85">
        <v>4</v>
      </c>
      <c r="L85">
        <v>15002</v>
      </c>
      <c r="M85">
        <v>20</v>
      </c>
      <c r="N85">
        <v>12001.6</v>
      </c>
      <c r="O85">
        <v>8641.15</v>
      </c>
      <c r="P85">
        <v>259</v>
      </c>
      <c r="Q85">
        <v>56906.55</v>
      </c>
      <c r="R85" t="s">
        <v>33</v>
      </c>
      <c r="S85" t="s">
        <v>63</v>
      </c>
      <c r="T85" t="s">
        <v>84</v>
      </c>
      <c r="U85" t="s">
        <v>85</v>
      </c>
      <c r="V85" t="s">
        <v>86</v>
      </c>
      <c r="W85">
        <v>1</v>
      </c>
      <c r="X85" t="s">
        <v>38</v>
      </c>
      <c r="Y85">
        <v>3</v>
      </c>
      <c r="Z85" t="s">
        <v>91</v>
      </c>
    </row>
    <row r="86" spans="1:26" x14ac:dyDescent="0.3">
      <c r="A86" t="s">
        <v>254</v>
      </c>
      <c r="B86" s="2">
        <v>45908</v>
      </c>
      <c r="C86" t="s">
        <v>255</v>
      </c>
      <c r="D86" t="s">
        <v>89</v>
      </c>
      <c r="E86" t="s">
        <v>43</v>
      </c>
      <c r="F86">
        <v>29</v>
      </c>
      <c r="G86" t="s">
        <v>90</v>
      </c>
      <c r="H86" t="s">
        <v>31</v>
      </c>
      <c r="I86" t="s">
        <v>90</v>
      </c>
      <c r="J86" t="s">
        <v>32</v>
      </c>
      <c r="K86">
        <v>3</v>
      </c>
      <c r="L86">
        <v>27664</v>
      </c>
      <c r="M86">
        <v>10</v>
      </c>
      <c r="N86">
        <v>8299.2000000000007</v>
      </c>
      <c r="O86">
        <v>13444.7</v>
      </c>
      <c r="P86">
        <v>52</v>
      </c>
      <c r="Q86">
        <v>88189.5</v>
      </c>
      <c r="R86" t="s">
        <v>54</v>
      </c>
      <c r="S86" t="s">
        <v>34</v>
      </c>
      <c r="T86" t="s">
        <v>55</v>
      </c>
      <c r="U86" t="s">
        <v>56</v>
      </c>
      <c r="V86" t="s">
        <v>57</v>
      </c>
      <c r="W86">
        <v>4</v>
      </c>
      <c r="X86" t="s">
        <v>47</v>
      </c>
      <c r="Y86">
        <v>3</v>
      </c>
      <c r="Z86" t="s">
        <v>58</v>
      </c>
    </row>
    <row r="87" spans="1:26" x14ac:dyDescent="0.3">
      <c r="A87" t="s">
        <v>256</v>
      </c>
      <c r="B87" s="2">
        <v>45809</v>
      </c>
      <c r="C87" t="s">
        <v>257</v>
      </c>
      <c r="D87" t="s">
        <v>28</v>
      </c>
      <c r="E87" t="s">
        <v>29</v>
      </c>
      <c r="F87">
        <v>23</v>
      </c>
      <c r="G87" t="s">
        <v>74</v>
      </c>
      <c r="H87" t="s">
        <v>31</v>
      </c>
      <c r="I87" t="s">
        <v>74</v>
      </c>
      <c r="J87" t="s">
        <v>53</v>
      </c>
      <c r="K87">
        <v>1</v>
      </c>
      <c r="L87">
        <v>23710</v>
      </c>
      <c r="M87">
        <v>5</v>
      </c>
      <c r="N87">
        <v>1185.5</v>
      </c>
      <c r="O87">
        <v>4054.41</v>
      </c>
      <c r="P87">
        <v>33</v>
      </c>
      <c r="Q87">
        <v>26611.91</v>
      </c>
      <c r="R87" t="s">
        <v>83</v>
      </c>
      <c r="S87" t="s">
        <v>63</v>
      </c>
      <c r="T87" t="s">
        <v>46</v>
      </c>
      <c r="U87" t="s">
        <v>36</v>
      </c>
      <c r="V87" t="s">
        <v>37</v>
      </c>
      <c r="W87">
        <v>1</v>
      </c>
      <c r="X87" t="s">
        <v>38</v>
      </c>
      <c r="Y87">
        <v>1</v>
      </c>
      <c r="Z87" t="s">
        <v>58</v>
      </c>
    </row>
    <row r="88" spans="1:26" x14ac:dyDescent="0.3">
      <c r="A88" t="s">
        <v>258</v>
      </c>
      <c r="B88" s="2">
        <v>45761</v>
      </c>
      <c r="C88" t="s">
        <v>259</v>
      </c>
      <c r="D88" t="s">
        <v>61</v>
      </c>
      <c r="E88" t="s">
        <v>29</v>
      </c>
      <c r="F88">
        <v>50</v>
      </c>
      <c r="G88" t="s">
        <v>134</v>
      </c>
      <c r="H88" t="s">
        <v>31</v>
      </c>
      <c r="I88" t="s">
        <v>134</v>
      </c>
      <c r="J88" t="s">
        <v>62</v>
      </c>
      <c r="K88">
        <v>5</v>
      </c>
      <c r="L88">
        <v>2722</v>
      </c>
      <c r="M88">
        <v>5</v>
      </c>
      <c r="N88">
        <v>680.5</v>
      </c>
      <c r="O88">
        <v>2327.31</v>
      </c>
      <c r="P88">
        <v>444</v>
      </c>
      <c r="Q88">
        <v>15700.81</v>
      </c>
      <c r="R88" t="s">
        <v>45</v>
      </c>
      <c r="S88" t="s">
        <v>34</v>
      </c>
      <c r="T88" t="s">
        <v>46</v>
      </c>
      <c r="U88" t="s">
        <v>36</v>
      </c>
      <c r="V88" t="s">
        <v>37</v>
      </c>
      <c r="W88">
        <v>3</v>
      </c>
      <c r="X88" t="s">
        <v>47</v>
      </c>
      <c r="Y88">
        <v>1</v>
      </c>
      <c r="Z88" t="s">
        <v>58</v>
      </c>
    </row>
    <row r="89" spans="1:26" x14ac:dyDescent="0.3">
      <c r="A89" t="s">
        <v>260</v>
      </c>
      <c r="B89" s="2">
        <v>46061</v>
      </c>
      <c r="C89" t="s">
        <v>245</v>
      </c>
      <c r="D89" t="s">
        <v>66</v>
      </c>
      <c r="E89" t="s">
        <v>43</v>
      </c>
      <c r="F89">
        <v>53</v>
      </c>
      <c r="G89" t="s">
        <v>74</v>
      </c>
      <c r="H89" t="s">
        <v>31</v>
      </c>
      <c r="I89" t="s">
        <v>74</v>
      </c>
      <c r="J89" t="s">
        <v>125</v>
      </c>
      <c r="K89">
        <v>3</v>
      </c>
      <c r="L89">
        <v>26078</v>
      </c>
      <c r="M89">
        <v>10</v>
      </c>
      <c r="N89">
        <v>7823.4</v>
      </c>
      <c r="O89">
        <v>12673.91</v>
      </c>
      <c r="P89">
        <v>236</v>
      </c>
      <c r="Q89">
        <v>83320.509999999995</v>
      </c>
      <c r="R89" t="s">
        <v>45</v>
      </c>
      <c r="S89" t="s">
        <v>34</v>
      </c>
      <c r="T89" t="s">
        <v>46</v>
      </c>
      <c r="U89" t="s">
        <v>36</v>
      </c>
      <c r="V89" t="s">
        <v>37</v>
      </c>
      <c r="W89">
        <v>5</v>
      </c>
      <c r="X89" t="s">
        <v>47</v>
      </c>
      <c r="Y89">
        <v>5</v>
      </c>
      <c r="Z89" t="s">
        <v>58</v>
      </c>
    </row>
    <row r="90" spans="1:26" x14ac:dyDescent="0.3">
      <c r="A90" t="s">
        <v>261</v>
      </c>
      <c r="B90" s="2">
        <v>46053</v>
      </c>
      <c r="C90" t="s">
        <v>262</v>
      </c>
      <c r="D90" t="s">
        <v>61</v>
      </c>
      <c r="E90" t="s">
        <v>29</v>
      </c>
      <c r="F90">
        <v>56</v>
      </c>
      <c r="G90" t="s">
        <v>30</v>
      </c>
      <c r="H90" t="s">
        <v>31</v>
      </c>
      <c r="I90" t="s">
        <v>30</v>
      </c>
      <c r="J90" t="s">
        <v>75</v>
      </c>
      <c r="K90">
        <v>3</v>
      </c>
      <c r="L90">
        <v>15789</v>
      </c>
      <c r="M90">
        <v>15</v>
      </c>
      <c r="N90">
        <v>7105.05</v>
      </c>
      <c r="O90">
        <v>7247.15</v>
      </c>
      <c r="P90">
        <v>301</v>
      </c>
      <c r="Q90">
        <v>47810.1</v>
      </c>
      <c r="R90" t="s">
        <v>83</v>
      </c>
      <c r="S90" t="s">
        <v>34</v>
      </c>
      <c r="T90" t="s">
        <v>103</v>
      </c>
      <c r="U90" t="s">
        <v>103</v>
      </c>
      <c r="V90" t="s">
        <v>57</v>
      </c>
      <c r="W90">
        <v>4</v>
      </c>
      <c r="X90" t="s">
        <v>38</v>
      </c>
      <c r="Y90">
        <v>3</v>
      </c>
      <c r="Z90" t="s">
        <v>47</v>
      </c>
    </row>
    <row r="91" spans="1:26" x14ac:dyDescent="0.3">
      <c r="A91" t="s">
        <v>263</v>
      </c>
      <c r="B91" s="2">
        <v>45968</v>
      </c>
      <c r="C91" t="s">
        <v>264</v>
      </c>
      <c r="D91" t="s">
        <v>28</v>
      </c>
      <c r="E91" t="s">
        <v>29</v>
      </c>
      <c r="F91">
        <v>32</v>
      </c>
      <c r="G91" t="s">
        <v>139</v>
      </c>
      <c r="H91" t="s">
        <v>31</v>
      </c>
      <c r="I91" t="s">
        <v>139</v>
      </c>
      <c r="J91" t="s">
        <v>125</v>
      </c>
      <c r="K91">
        <v>2</v>
      </c>
      <c r="L91">
        <v>23965</v>
      </c>
      <c r="M91">
        <v>20</v>
      </c>
      <c r="N91">
        <v>9586</v>
      </c>
      <c r="O91">
        <v>6901.92</v>
      </c>
      <c r="P91">
        <v>167</v>
      </c>
      <c r="Q91">
        <v>45412.92</v>
      </c>
      <c r="R91" t="s">
        <v>83</v>
      </c>
      <c r="S91" t="s">
        <v>63</v>
      </c>
      <c r="T91" t="s">
        <v>76</v>
      </c>
      <c r="U91" t="s">
        <v>77</v>
      </c>
      <c r="V91" t="s">
        <v>57</v>
      </c>
      <c r="W91">
        <v>1</v>
      </c>
      <c r="X91" t="s">
        <v>47</v>
      </c>
      <c r="Y91">
        <v>1</v>
      </c>
      <c r="Z91" t="s">
        <v>47</v>
      </c>
    </row>
    <row r="92" spans="1:26" x14ac:dyDescent="0.3">
      <c r="A92" t="s">
        <v>265</v>
      </c>
      <c r="B92" s="2">
        <v>45897</v>
      </c>
      <c r="C92" t="s">
        <v>266</v>
      </c>
      <c r="D92" t="s">
        <v>73</v>
      </c>
      <c r="E92" t="s">
        <v>43</v>
      </c>
      <c r="F92">
        <v>34</v>
      </c>
      <c r="G92" t="s">
        <v>99</v>
      </c>
      <c r="H92" t="s">
        <v>52</v>
      </c>
      <c r="I92" t="s">
        <v>99</v>
      </c>
      <c r="J92" t="s">
        <v>69</v>
      </c>
      <c r="K92">
        <v>1</v>
      </c>
      <c r="L92">
        <v>29036</v>
      </c>
      <c r="M92">
        <v>10</v>
      </c>
      <c r="N92">
        <v>2903.6</v>
      </c>
      <c r="O92">
        <v>4703.83</v>
      </c>
      <c r="P92">
        <v>336</v>
      </c>
      <c r="Q92">
        <v>31172.23</v>
      </c>
      <c r="R92" t="s">
        <v>45</v>
      </c>
      <c r="S92" t="s">
        <v>63</v>
      </c>
      <c r="T92" t="s">
        <v>103</v>
      </c>
      <c r="U92" t="s">
        <v>103</v>
      </c>
      <c r="V92" t="s">
        <v>57</v>
      </c>
      <c r="W92">
        <v>7</v>
      </c>
      <c r="X92" t="s">
        <v>47</v>
      </c>
      <c r="Y92">
        <v>2</v>
      </c>
      <c r="Z92" t="s">
        <v>39</v>
      </c>
    </row>
    <row r="93" spans="1:26" x14ac:dyDescent="0.3">
      <c r="A93" t="s">
        <v>267</v>
      </c>
      <c r="B93" s="2">
        <v>45867</v>
      </c>
      <c r="C93" t="s">
        <v>268</v>
      </c>
      <c r="D93" t="s">
        <v>66</v>
      </c>
      <c r="E93" t="s">
        <v>29</v>
      </c>
      <c r="F93">
        <v>55</v>
      </c>
      <c r="G93" t="s">
        <v>90</v>
      </c>
      <c r="H93" t="s">
        <v>31</v>
      </c>
      <c r="I93" t="s">
        <v>90</v>
      </c>
      <c r="J93" t="s">
        <v>201</v>
      </c>
      <c r="K93">
        <v>4</v>
      </c>
      <c r="L93">
        <v>24259</v>
      </c>
      <c r="M93">
        <v>20</v>
      </c>
      <c r="N93">
        <v>19407.2</v>
      </c>
      <c r="O93">
        <v>13973.18</v>
      </c>
      <c r="P93">
        <v>445</v>
      </c>
      <c r="Q93">
        <v>92046.98</v>
      </c>
      <c r="R93" t="s">
        <v>45</v>
      </c>
      <c r="S93" t="s">
        <v>63</v>
      </c>
      <c r="T93" t="s">
        <v>46</v>
      </c>
      <c r="U93" t="s">
        <v>36</v>
      </c>
      <c r="V93" t="s">
        <v>37</v>
      </c>
      <c r="W93">
        <v>1</v>
      </c>
      <c r="X93" t="s">
        <v>38</v>
      </c>
      <c r="Y93">
        <v>5</v>
      </c>
      <c r="Z93" t="s">
        <v>91</v>
      </c>
    </row>
    <row r="94" spans="1:26" x14ac:dyDescent="0.3">
      <c r="A94" t="s">
        <v>269</v>
      </c>
      <c r="B94" s="2">
        <v>45865</v>
      </c>
      <c r="C94" t="s">
        <v>270</v>
      </c>
      <c r="D94" t="s">
        <v>28</v>
      </c>
      <c r="E94" t="s">
        <v>43</v>
      </c>
      <c r="F94">
        <v>55</v>
      </c>
      <c r="G94" t="s">
        <v>30</v>
      </c>
      <c r="H94" t="s">
        <v>31</v>
      </c>
      <c r="I94" t="s">
        <v>30</v>
      </c>
      <c r="J94" t="s">
        <v>53</v>
      </c>
      <c r="K94">
        <v>4</v>
      </c>
      <c r="L94">
        <v>27999</v>
      </c>
      <c r="M94">
        <v>0</v>
      </c>
      <c r="N94">
        <v>0</v>
      </c>
      <c r="O94">
        <v>20159.28</v>
      </c>
      <c r="P94">
        <v>169</v>
      </c>
      <c r="Q94">
        <v>132324.28</v>
      </c>
      <c r="R94" t="s">
        <v>33</v>
      </c>
      <c r="S94" t="s">
        <v>63</v>
      </c>
      <c r="T94" t="s">
        <v>84</v>
      </c>
      <c r="U94" t="s">
        <v>85</v>
      </c>
      <c r="V94" t="s">
        <v>86</v>
      </c>
      <c r="W94">
        <v>8</v>
      </c>
      <c r="X94" t="s">
        <v>47</v>
      </c>
      <c r="Y94">
        <v>2</v>
      </c>
      <c r="Z94" t="s">
        <v>91</v>
      </c>
    </row>
    <row r="95" spans="1:26" x14ac:dyDescent="0.3">
      <c r="A95" t="s">
        <v>271</v>
      </c>
      <c r="B95" s="2">
        <v>45865</v>
      </c>
      <c r="C95" t="s">
        <v>107</v>
      </c>
      <c r="D95" t="s">
        <v>66</v>
      </c>
      <c r="E95" t="s">
        <v>29</v>
      </c>
      <c r="F95">
        <v>54</v>
      </c>
      <c r="G95" t="s">
        <v>134</v>
      </c>
      <c r="H95" t="s">
        <v>31</v>
      </c>
      <c r="I95" t="s">
        <v>134</v>
      </c>
      <c r="J95" t="s">
        <v>32</v>
      </c>
      <c r="K95">
        <v>5</v>
      </c>
      <c r="L95">
        <v>44136</v>
      </c>
      <c r="M95">
        <v>10</v>
      </c>
      <c r="N95">
        <v>22068</v>
      </c>
      <c r="O95">
        <v>35750.160000000003</v>
      </c>
      <c r="P95">
        <v>127</v>
      </c>
      <c r="Q95">
        <v>234489.16</v>
      </c>
      <c r="R95" t="s">
        <v>45</v>
      </c>
      <c r="S95" t="s">
        <v>34</v>
      </c>
      <c r="T95" t="s">
        <v>46</v>
      </c>
      <c r="U95" t="s">
        <v>36</v>
      </c>
      <c r="V95" t="s">
        <v>37</v>
      </c>
      <c r="W95">
        <v>8</v>
      </c>
      <c r="X95" t="s">
        <v>38</v>
      </c>
      <c r="Y95">
        <v>5</v>
      </c>
      <c r="Z95" t="s">
        <v>47</v>
      </c>
    </row>
    <row r="96" spans="1:26" x14ac:dyDescent="0.3">
      <c r="A96" t="s">
        <v>272</v>
      </c>
      <c r="B96" s="2">
        <v>46031</v>
      </c>
      <c r="C96" t="s">
        <v>273</v>
      </c>
      <c r="D96" t="s">
        <v>111</v>
      </c>
      <c r="E96" t="s">
        <v>43</v>
      </c>
      <c r="F96">
        <v>55</v>
      </c>
      <c r="G96" t="s">
        <v>90</v>
      </c>
      <c r="H96" t="s">
        <v>31</v>
      </c>
      <c r="I96" t="s">
        <v>90</v>
      </c>
      <c r="J96" t="s">
        <v>53</v>
      </c>
      <c r="K96">
        <v>5</v>
      </c>
      <c r="L96">
        <v>34596</v>
      </c>
      <c r="M96">
        <v>15</v>
      </c>
      <c r="N96">
        <v>25947</v>
      </c>
      <c r="O96">
        <v>26465.94</v>
      </c>
      <c r="P96">
        <v>316</v>
      </c>
      <c r="Q96">
        <v>173814.94</v>
      </c>
      <c r="R96" t="s">
        <v>54</v>
      </c>
      <c r="S96" t="s">
        <v>63</v>
      </c>
      <c r="T96" t="s">
        <v>35</v>
      </c>
      <c r="U96" t="s">
        <v>36</v>
      </c>
      <c r="V96" t="s">
        <v>37</v>
      </c>
      <c r="W96">
        <v>7</v>
      </c>
      <c r="X96" t="s">
        <v>38</v>
      </c>
      <c r="Y96">
        <v>1</v>
      </c>
      <c r="Z96" t="s">
        <v>47</v>
      </c>
    </row>
    <row r="97" spans="1:26" x14ac:dyDescent="0.3">
      <c r="A97" t="s">
        <v>274</v>
      </c>
      <c r="B97" s="2">
        <v>45762</v>
      </c>
      <c r="C97" t="s">
        <v>275</v>
      </c>
      <c r="D97" t="s">
        <v>80</v>
      </c>
      <c r="E97" t="s">
        <v>29</v>
      </c>
      <c r="F97">
        <v>51</v>
      </c>
      <c r="G97" t="s">
        <v>90</v>
      </c>
      <c r="H97" t="s">
        <v>31</v>
      </c>
      <c r="I97" t="s">
        <v>90</v>
      </c>
      <c r="J97" t="s">
        <v>62</v>
      </c>
      <c r="K97">
        <v>1</v>
      </c>
      <c r="L97">
        <v>30323</v>
      </c>
      <c r="M97">
        <v>15</v>
      </c>
      <c r="N97">
        <v>4548.45</v>
      </c>
      <c r="O97">
        <v>4639.42</v>
      </c>
      <c r="P97">
        <v>45</v>
      </c>
      <c r="Q97">
        <v>30458.97</v>
      </c>
      <c r="R97" t="s">
        <v>83</v>
      </c>
      <c r="S97" t="s">
        <v>63</v>
      </c>
      <c r="T97" t="s">
        <v>46</v>
      </c>
      <c r="U97" t="s">
        <v>36</v>
      </c>
      <c r="V97" t="s">
        <v>37</v>
      </c>
      <c r="W97">
        <v>1</v>
      </c>
      <c r="X97" t="s">
        <v>47</v>
      </c>
      <c r="Y97">
        <v>4</v>
      </c>
      <c r="Z97" t="s">
        <v>58</v>
      </c>
    </row>
    <row r="98" spans="1:26" x14ac:dyDescent="0.3">
      <c r="A98" t="s">
        <v>276</v>
      </c>
      <c r="B98" s="2">
        <v>46001</v>
      </c>
      <c r="C98" t="s">
        <v>277</v>
      </c>
      <c r="D98" t="s">
        <v>66</v>
      </c>
      <c r="E98" t="s">
        <v>29</v>
      </c>
      <c r="F98">
        <v>27</v>
      </c>
      <c r="G98" t="s">
        <v>139</v>
      </c>
      <c r="H98" t="s">
        <v>31</v>
      </c>
      <c r="I98" t="s">
        <v>139</v>
      </c>
      <c r="J98" t="s">
        <v>102</v>
      </c>
      <c r="K98">
        <v>4</v>
      </c>
      <c r="L98">
        <v>14331</v>
      </c>
      <c r="M98">
        <v>0</v>
      </c>
      <c r="N98">
        <v>0</v>
      </c>
      <c r="O98">
        <v>10318.32</v>
      </c>
      <c r="P98">
        <v>41</v>
      </c>
      <c r="Q98">
        <v>67683.320000000007</v>
      </c>
      <c r="R98" t="s">
        <v>83</v>
      </c>
      <c r="S98" t="s">
        <v>34</v>
      </c>
      <c r="T98" t="s">
        <v>95</v>
      </c>
      <c r="U98" t="s">
        <v>96</v>
      </c>
      <c r="V98" t="s">
        <v>57</v>
      </c>
      <c r="W98">
        <v>1</v>
      </c>
      <c r="X98" t="s">
        <v>47</v>
      </c>
      <c r="Y98">
        <v>4</v>
      </c>
      <c r="Z98" t="s">
        <v>39</v>
      </c>
    </row>
    <row r="99" spans="1:26" x14ac:dyDescent="0.3">
      <c r="A99" t="s">
        <v>278</v>
      </c>
      <c r="B99" s="2">
        <v>45812</v>
      </c>
      <c r="C99" t="s">
        <v>279</v>
      </c>
      <c r="D99" t="s">
        <v>50</v>
      </c>
      <c r="E99" t="s">
        <v>29</v>
      </c>
      <c r="F99">
        <v>24</v>
      </c>
      <c r="G99" t="s">
        <v>51</v>
      </c>
      <c r="H99" t="s">
        <v>52</v>
      </c>
      <c r="I99" t="s">
        <v>51</v>
      </c>
      <c r="J99" t="s">
        <v>125</v>
      </c>
      <c r="K99">
        <v>3</v>
      </c>
      <c r="L99">
        <v>3679</v>
      </c>
      <c r="M99">
        <v>10</v>
      </c>
      <c r="N99">
        <v>1103.7</v>
      </c>
      <c r="O99">
        <v>1787.99</v>
      </c>
      <c r="P99">
        <v>262</v>
      </c>
      <c r="Q99">
        <v>11983.29</v>
      </c>
      <c r="R99" t="s">
        <v>45</v>
      </c>
      <c r="S99" t="s">
        <v>63</v>
      </c>
      <c r="T99" t="s">
        <v>35</v>
      </c>
      <c r="U99" t="s">
        <v>36</v>
      </c>
      <c r="V99" t="s">
        <v>37</v>
      </c>
      <c r="W99">
        <v>4</v>
      </c>
      <c r="X99" t="s">
        <v>47</v>
      </c>
      <c r="Y99">
        <v>1</v>
      </c>
      <c r="Z99" t="s">
        <v>39</v>
      </c>
    </row>
    <row r="100" spans="1:26" x14ac:dyDescent="0.3">
      <c r="A100" t="s">
        <v>280</v>
      </c>
      <c r="B100" s="2">
        <v>45821</v>
      </c>
      <c r="C100" t="s">
        <v>281</v>
      </c>
      <c r="D100" t="s">
        <v>89</v>
      </c>
      <c r="E100" t="s">
        <v>29</v>
      </c>
      <c r="F100">
        <v>56</v>
      </c>
      <c r="G100" t="s">
        <v>74</v>
      </c>
      <c r="H100" t="s">
        <v>31</v>
      </c>
      <c r="I100" t="s">
        <v>74</v>
      </c>
      <c r="J100" t="s">
        <v>75</v>
      </c>
      <c r="K100">
        <v>3</v>
      </c>
      <c r="L100">
        <v>25123</v>
      </c>
      <c r="M100">
        <v>20</v>
      </c>
      <c r="N100">
        <v>15073.8</v>
      </c>
      <c r="O100">
        <v>10853.14</v>
      </c>
      <c r="P100">
        <v>393</v>
      </c>
      <c r="Q100">
        <v>71541.34</v>
      </c>
      <c r="R100" t="s">
        <v>33</v>
      </c>
      <c r="S100" t="s">
        <v>34</v>
      </c>
      <c r="T100" t="s">
        <v>84</v>
      </c>
      <c r="U100" t="s">
        <v>85</v>
      </c>
      <c r="V100" t="s">
        <v>86</v>
      </c>
      <c r="W100">
        <v>10</v>
      </c>
      <c r="X100" t="s">
        <v>47</v>
      </c>
      <c r="Y100">
        <v>5</v>
      </c>
      <c r="Z100" t="s">
        <v>39</v>
      </c>
    </row>
    <row r="101" spans="1:26" x14ac:dyDescent="0.3">
      <c r="A101" t="s">
        <v>282</v>
      </c>
      <c r="B101" s="2">
        <v>45891</v>
      </c>
      <c r="C101" t="s">
        <v>283</v>
      </c>
      <c r="D101" t="s">
        <v>61</v>
      </c>
      <c r="E101" t="s">
        <v>43</v>
      </c>
      <c r="F101">
        <v>41</v>
      </c>
      <c r="G101" t="s">
        <v>99</v>
      </c>
      <c r="H101" t="s">
        <v>52</v>
      </c>
      <c r="I101" t="s">
        <v>99</v>
      </c>
      <c r="J101" t="s">
        <v>102</v>
      </c>
      <c r="K101">
        <v>4</v>
      </c>
      <c r="L101">
        <v>46566</v>
      </c>
      <c r="M101">
        <v>10</v>
      </c>
      <c r="N101">
        <v>18626.400000000001</v>
      </c>
      <c r="O101">
        <v>30174.77</v>
      </c>
      <c r="P101">
        <v>402</v>
      </c>
      <c r="Q101">
        <v>198214.37</v>
      </c>
      <c r="R101" t="s">
        <v>54</v>
      </c>
      <c r="S101" t="s">
        <v>34</v>
      </c>
      <c r="T101" t="s">
        <v>55</v>
      </c>
      <c r="U101" t="s">
        <v>56</v>
      </c>
      <c r="V101" t="s">
        <v>57</v>
      </c>
      <c r="W101">
        <v>7</v>
      </c>
      <c r="X101" t="s">
        <v>47</v>
      </c>
      <c r="Y101">
        <v>4</v>
      </c>
      <c r="Z101" t="s">
        <v>39</v>
      </c>
    </row>
    <row r="102" spans="1:26" x14ac:dyDescent="0.3">
      <c r="A102" t="s">
        <v>284</v>
      </c>
      <c r="B102" s="2">
        <v>45905</v>
      </c>
      <c r="C102" t="s">
        <v>285</v>
      </c>
      <c r="D102" t="s">
        <v>50</v>
      </c>
      <c r="E102" t="s">
        <v>29</v>
      </c>
      <c r="F102">
        <v>60</v>
      </c>
      <c r="G102" t="s">
        <v>134</v>
      </c>
      <c r="H102" t="s">
        <v>31</v>
      </c>
      <c r="I102" t="s">
        <v>134</v>
      </c>
      <c r="J102" t="s">
        <v>62</v>
      </c>
      <c r="K102">
        <v>1</v>
      </c>
      <c r="L102">
        <v>42289</v>
      </c>
      <c r="M102">
        <v>20</v>
      </c>
      <c r="N102">
        <v>8457.7999999999993</v>
      </c>
      <c r="O102">
        <v>6089.62</v>
      </c>
      <c r="P102">
        <v>250</v>
      </c>
      <c r="Q102">
        <v>40170.82</v>
      </c>
      <c r="R102" t="s">
        <v>45</v>
      </c>
      <c r="S102" t="s">
        <v>63</v>
      </c>
      <c r="T102" t="s">
        <v>103</v>
      </c>
      <c r="U102" t="s">
        <v>103</v>
      </c>
      <c r="V102" t="s">
        <v>57</v>
      </c>
      <c r="W102">
        <v>1</v>
      </c>
      <c r="X102" t="s">
        <v>38</v>
      </c>
      <c r="Y102">
        <v>2</v>
      </c>
      <c r="Z102" t="s">
        <v>47</v>
      </c>
    </row>
    <row r="103" spans="1:26" x14ac:dyDescent="0.3">
      <c r="A103" t="s">
        <v>286</v>
      </c>
      <c r="B103" s="2">
        <v>46108</v>
      </c>
      <c r="C103" t="s">
        <v>287</v>
      </c>
      <c r="D103" t="s">
        <v>89</v>
      </c>
      <c r="E103" t="s">
        <v>29</v>
      </c>
      <c r="F103">
        <v>31</v>
      </c>
      <c r="G103" t="s">
        <v>51</v>
      </c>
      <c r="H103" t="s">
        <v>52</v>
      </c>
      <c r="I103" t="s">
        <v>51</v>
      </c>
      <c r="J103" t="s">
        <v>75</v>
      </c>
      <c r="K103">
        <v>5</v>
      </c>
      <c r="L103">
        <v>4012</v>
      </c>
      <c r="M103">
        <v>0</v>
      </c>
      <c r="N103">
        <v>0</v>
      </c>
      <c r="O103">
        <v>3610.8</v>
      </c>
      <c r="P103">
        <v>329</v>
      </c>
      <c r="Q103">
        <v>23999.8</v>
      </c>
      <c r="R103" t="s">
        <v>83</v>
      </c>
      <c r="S103" t="s">
        <v>63</v>
      </c>
      <c r="T103" t="s">
        <v>84</v>
      </c>
      <c r="U103" t="s">
        <v>85</v>
      </c>
      <c r="V103" t="s">
        <v>86</v>
      </c>
      <c r="W103">
        <v>8</v>
      </c>
      <c r="X103" t="s">
        <v>47</v>
      </c>
      <c r="Y103">
        <v>4</v>
      </c>
      <c r="Z103" t="s">
        <v>39</v>
      </c>
    </row>
    <row r="104" spans="1:26" x14ac:dyDescent="0.3">
      <c r="A104" t="s">
        <v>288</v>
      </c>
      <c r="B104" s="2">
        <v>45793</v>
      </c>
      <c r="C104" t="s">
        <v>289</v>
      </c>
      <c r="D104" t="s">
        <v>61</v>
      </c>
      <c r="E104" t="s">
        <v>29</v>
      </c>
      <c r="F104">
        <v>52</v>
      </c>
      <c r="G104" t="s">
        <v>74</v>
      </c>
      <c r="H104" t="s">
        <v>31</v>
      </c>
      <c r="I104" t="s">
        <v>74</v>
      </c>
      <c r="J104" t="s">
        <v>150</v>
      </c>
      <c r="K104">
        <v>2</v>
      </c>
      <c r="L104">
        <v>30405</v>
      </c>
      <c r="M104">
        <v>0</v>
      </c>
      <c r="N104">
        <v>0</v>
      </c>
      <c r="O104">
        <v>10945.8</v>
      </c>
      <c r="P104">
        <v>301</v>
      </c>
      <c r="Q104">
        <v>72056.800000000003</v>
      </c>
      <c r="R104" t="s">
        <v>33</v>
      </c>
      <c r="S104" t="s">
        <v>63</v>
      </c>
      <c r="T104" t="s">
        <v>76</v>
      </c>
      <c r="U104" t="s">
        <v>77</v>
      </c>
      <c r="V104" t="s">
        <v>57</v>
      </c>
      <c r="W104">
        <v>8</v>
      </c>
      <c r="X104" t="s">
        <v>38</v>
      </c>
      <c r="Y104">
        <v>5</v>
      </c>
      <c r="Z104" t="s">
        <v>58</v>
      </c>
    </row>
    <row r="105" spans="1:26" x14ac:dyDescent="0.3">
      <c r="A105" t="s">
        <v>290</v>
      </c>
      <c r="B105" s="2">
        <v>46023</v>
      </c>
      <c r="C105" t="s">
        <v>291</v>
      </c>
      <c r="D105" t="s">
        <v>108</v>
      </c>
      <c r="E105" t="s">
        <v>29</v>
      </c>
      <c r="F105">
        <v>23</v>
      </c>
      <c r="G105" t="s">
        <v>94</v>
      </c>
      <c r="H105" t="s">
        <v>31</v>
      </c>
      <c r="I105" t="s">
        <v>94</v>
      </c>
      <c r="J105" t="s">
        <v>102</v>
      </c>
      <c r="K105">
        <v>4</v>
      </c>
      <c r="L105">
        <v>19141</v>
      </c>
      <c r="M105">
        <v>20</v>
      </c>
      <c r="N105">
        <v>15312.8</v>
      </c>
      <c r="O105">
        <v>11025.22</v>
      </c>
      <c r="P105">
        <v>482</v>
      </c>
      <c r="Q105">
        <v>72758.42</v>
      </c>
      <c r="R105" t="s">
        <v>83</v>
      </c>
      <c r="S105" t="s">
        <v>34</v>
      </c>
      <c r="T105" t="s">
        <v>103</v>
      </c>
      <c r="U105" t="s">
        <v>103</v>
      </c>
      <c r="V105" t="s">
        <v>57</v>
      </c>
      <c r="W105">
        <v>5</v>
      </c>
      <c r="X105" t="s">
        <v>47</v>
      </c>
      <c r="Y105">
        <v>4</v>
      </c>
      <c r="Z105" t="s">
        <v>47</v>
      </c>
    </row>
    <row r="106" spans="1:26" x14ac:dyDescent="0.3">
      <c r="A106" t="s">
        <v>292</v>
      </c>
      <c r="B106" s="2">
        <v>46087</v>
      </c>
      <c r="C106" t="s">
        <v>293</v>
      </c>
      <c r="D106" t="s">
        <v>50</v>
      </c>
      <c r="E106" t="s">
        <v>43</v>
      </c>
      <c r="F106">
        <v>22</v>
      </c>
      <c r="G106" t="s">
        <v>67</v>
      </c>
      <c r="H106" t="s">
        <v>68</v>
      </c>
      <c r="I106" t="s">
        <v>67</v>
      </c>
      <c r="J106" t="s">
        <v>75</v>
      </c>
      <c r="K106">
        <v>4</v>
      </c>
      <c r="L106">
        <v>19962</v>
      </c>
      <c r="M106">
        <v>5</v>
      </c>
      <c r="N106">
        <v>3992.4</v>
      </c>
      <c r="O106">
        <v>13654.01</v>
      </c>
      <c r="P106">
        <v>104</v>
      </c>
      <c r="Q106">
        <v>89613.61</v>
      </c>
      <c r="R106" t="s">
        <v>45</v>
      </c>
      <c r="S106" t="s">
        <v>34</v>
      </c>
      <c r="T106" t="s">
        <v>46</v>
      </c>
      <c r="U106" t="s">
        <v>36</v>
      </c>
      <c r="V106" t="s">
        <v>37</v>
      </c>
      <c r="W106">
        <v>7</v>
      </c>
      <c r="X106" t="s">
        <v>47</v>
      </c>
      <c r="Y106">
        <v>5</v>
      </c>
      <c r="Z106" t="s">
        <v>47</v>
      </c>
    </row>
    <row r="107" spans="1:26" x14ac:dyDescent="0.3">
      <c r="A107" t="s">
        <v>294</v>
      </c>
      <c r="B107" s="2">
        <v>45765</v>
      </c>
      <c r="C107" t="s">
        <v>295</v>
      </c>
      <c r="D107" t="s">
        <v>73</v>
      </c>
      <c r="E107" t="s">
        <v>29</v>
      </c>
      <c r="F107">
        <v>46</v>
      </c>
      <c r="G107" t="s">
        <v>67</v>
      </c>
      <c r="H107" t="s">
        <v>68</v>
      </c>
      <c r="I107" t="s">
        <v>67</v>
      </c>
      <c r="J107" t="s">
        <v>62</v>
      </c>
      <c r="K107">
        <v>5</v>
      </c>
      <c r="L107">
        <v>30045</v>
      </c>
      <c r="M107">
        <v>0</v>
      </c>
      <c r="N107">
        <v>0</v>
      </c>
      <c r="O107">
        <v>27040.5</v>
      </c>
      <c r="P107">
        <v>295</v>
      </c>
      <c r="Q107">
        <v>177560.5</v>
      </c>
      <c r="R107" t="s">
        <v>45</v>
      </c>
      <c r="S107" t="s">
        <v>63</v>
      </c>
      <c r="T107" t="s">
        <v>70</v>
      </c>
      <c r="U107" t="s">
        <v>56</v>
      </c>
      <c r="V107" t="s">
        <v>57</v>
      </c>
      <c r="W107">
        <v>9</v>
      </c>
      <c r="X107" t="s">
        <v>38</v>
      </c>
      <c r="Y107">
        <v>2</v>
      </c>
      <c r="Z107" t="s">
        <v>91</v>
      </c>
    </row>
    <row r="108" spans="1:26" x14ac:dyDescent="0.3">
      <c r="A108" t="s">
        <v>296</v>
      </c>
      <c r="B108" s="2">
        <v>45980</v>
      </c>
      <c r="C108" t="s">
        <v>297</v>
      </c>
      <c r="D108" t="s">
        <v>89</v>
      </c>
      <c r="E108" t="s">
        <v>29</v>
      </c>
      <c r="F108">
        <v>33</v>
      </c>
      <c r="G108" t="s">
        <v>30</v>
      </c>
      <c r="H108" t="s">
        <v>31</v>
      </c>
      <c r="I108" t="s">
        <v>30</v>
      </c>
      <c r="J108" t="s">
        <v>150</v>
      </c>
      <c r="K108">
        <v>1</v>
      </c>
      <c r="L108">
        <v>30617</v>
      </c>
      <c r="M108">
        <v>0</v>
      </c>
      <c r="N108">
        <v>0</v>
      </c>
      <c r="O108">
        <v>5511.06</v>
      </c>
      <c r="P108">
        <v>291</v>
      </c>
      <c r="Q108">
        <v>36419.06</v>
      </c>
      <c r="R108" t="s">
        <v>33</v>
      </c>
      <c r="S108" t="s">
        <v>34</v>
      </c>
      <c r="T108" t="s">
        <v>35</v>
      </c>
      <c r="U108" t="s">
        <v>36</v>
      </c>
      <c r="V108" t="s">
        <v>37</v>
      </c>
      <c r="W108">
        <v>9</v>
      </c>
      <c r="X108" t="s">
        <v>47</v>
      </c>
      <c r="Y108">
        <v>5</v>
      </c>
      <c r="Z108" t="s">
        <v>58</v>
      </c>
    </row>
    <row r="109" spans="1:26" x14ac:dyDescent="0.3">
      <c r="A109" t="s">
        <v>298</v>
      </c>
      <c r="B109" s="2">
        <v>45856</v>
      </c>
      <c r="C109" t="s">
        <v>299</v>
      </c>
      <c r="D109" t="s">
        <v>73</v>
      </c>
      <c r="E109" t="s">
        <v>43</v>
      </c>
      <c r="F109">
        <v>29</v>
      </c>
      <c r="G109" t="s">
        <v>134</v>
      </c>
      <c r="H109" t="s">
        <v>31</v>
      </c>
      <c r="I109" t="s">
        <v>134</v>
      </c>
      <c r="J109" t="s">
        <v>53</v>
      </c>
      <c r="K109">
        <v>1</v>
      </c>
      <c r="L109">
        <v>36884</v>
      </c>
      <c r="M109">
        <v>5</v>
      </c>
      <c r="N109">
        <v>1844.2</v>
      </c>
      <c r="O109">
        <v>6307.16</v>
      </c>
      <c r="P109">
        <v>88</v>
      </c>
      <c r="Q109">
        <v>41434.959999999999</v>
      </c>
      <c r="R109" t="s">
        <v>45</v>
      </c>
      <c r="S109" t="s">
        <v>63</v>
      </c>
      <c r="T109" t="s">
        <v>70</v>
      </c>
      <c r="U109" t="s">
        <v>56</v>
      </c>
      <c r="V109" t="s">
        <v>57</v>
      </c>
      <c r="W109">
        <v>2</v>
      </c>
      <c r="X109" t="s">
        <v>47</v>
      </c>
      <c r="Y109">
        <v>2</v>
      </c>
      <c r="Z109" t="s">
        <v>91</v>
      </c>
    </row>
    <row r="110" spans="1:26" x14ac:dyDescent="0.3">
      <c r="A110" t="s">
        <v>300</v>
      </c>
      <c r="B110" s="2">
        <v>45948</v>
      </c>
      <c r="C110" t="s">
        <v>301</v>
      </c>
      <c r="D110" t="s">
        <v>108</v>
      </c>
      <c r="E110" t="s">
        <v>43</v>
      </c>
      <c r="F110">
        <v>35</v>
      </c>
      <c r="G110" t="s">
        <v>99</v>
      </c>
      <c r="H110" t="s">
        <v>52</v>
      </c>
      <c r="I110" t="s">
        <v>99</v>
      </c>
      <c r="J110" t="s">
        <v>125</v>
      </c>
      <c r="K110">
        <v>2</v>
      </c>
      <c r="L110">
        <v>44392</v>
      </c>
      <c r="M110">
        <v>10</v>
      </c>
      <c r="N110">
        <v>8878.4</v>
      </c>
      <c r="O110">
        <v>14383.01</v>
      </c>
      <c r="P110">
        <v>36</v>
      </c>
      <c r="Q110">
        <v>94324.61</v>
      </c>
      <c r="R110" t="s">
        <v>83</v>
      </c>
      <c r="S110" t="s">
        <v>34</v>
      </c>
      <c r="T110" t="s">
        <v>35</v>
      </c>
      <c r="U110" t="s">
        <v>36</v>
      </c>
      <c r="V110" t="s">
        <v>37</v>
      </c>
      <c r="W110">
        <v>4</v>
      </c>
      <c r="X110" t="s">
        <v>47</v>
      </c>
      <c r="Y110">
        <v>3</v>
      </c>
      <c r="Z110" t="s">
        <v>47</v>
      </c>
    </row>
    <row r="111" spans="1:26" x14ac:dyDescent="0.3">
      <c r="A111" t="s">
        <v>302</v>
      </c>
      <c r="B111" s="2">
        <v>45950</v>
      </c>
      <c r="C111" t="s">
        <v>303</v>
      </c>
      <c r="D111" t="s">
        <v>111</v>
      </c>
      <c r="E111" t="s">
        <v>29</v>
      </c>
      <c r="F111">
        <v>49</v>
      </c>
      <c r="G111" t="s">
        <v>67</v>
      </c>
      <c r="H111" t="s">
        <v>68</v>
      </c>
      <c r="I111" t="s">
        <v>67</v>
      </c>
      <c r="J111" t="s">
        <v>53</v>
      </c>
      <c r="K111">
        <v>2</v>
      </c>
      <c r="L111">
        <v>45616</v>
      </c>
      <c r="M111">
        <v>15</v>
      </c>
      <c r="N111">
        <v>13684.8</v>
      </c>
      <c r="O111">
        <v>13958.5</v>
      </c>
      <c r="P111">
        <v>173</v>
      </c>
      <c r="Q111">
        <v>91678.7</v>
      </c>
      <c r="R111" t="s">
        <v>33</v>
      </c>
      <c r="S111" t="s">
        <v>63</v>
      </c>
      <c r="T111" t="s">
        <v>84</v>
      </c>
      <c r="U111" t="s">
        <v>85</v>
      </c>
      <c r="V111" t="s">
        <v>86</v>
      </c>
      <c r="W111">
        <v>4</v>
      </c>
      <c r="X111" t="s">
        <v>47</v>
      </c>
      <c r="Y111">
        <v>5</v>
      </c>
      <c r="Z111" t="s">
        <v>58</v>
      </c>
    </row>
    <row r="112" spans="1:26" x14ac:dyDescent="0.3">
      <c r="A112" t="s">
        <v>304</v>
      </c>
      <c r="B112" s="2">
        <v>45935</v>
      </c>
      <c r="C112" t="s">
        <v>305</v>
      </c>
      <c r="D112" t="s">
        <v>50</v>
      </c>
      <c r="E112" t="s">
        <v>43</v>
      </c>
      <c r="F112">
        <v>25</v>
      </c>
      <c r="G112" t="s">
        <v>94</v>
      </c>
      <c r="H112" t="s">
        <v>31</v>
      </c>
      <c r="I112" t="s">
        <v>94</v>
      </c>
      <c r="J112" t="s">
        <v>102</v>
      </c>
      <c r="K112">
        <v>4</v>
      </c>
      <c r="L112">
        <v>13466</v>
      </c>
      <c r="M112">
        <v>15</v>
      </c>
      <c r="N112">
        <v>8079.6</v>
      </c>
      <c r="O112">
        <v>8241.19</v>
      </c>
      <c r="P112">
        <v>298</v>
      </c>
      <c r="Q112">
        <v>54323.59</v>
      </c>
      <c r="R112" t="s">
        <v>83</v>
      </c>
      <c r="S112" t="s">
        <v>63</v>
      </c>
      <c r="T112" t="s">
        <v>95</v>
      </c>
      <c r="U112" t="s">
        <v>96</v>
      </c>
      <c r="V112" t="s">
        <v>57</v>
      </c>
      <c r="W112">
        <v>6</v>
      </c>
      <c r="X112" t="s">
        <v>38</v>
      </c>
      <c r="Y112">
        <v>5</v>
      </c>
      <c r="Z112" t="s">
        <v>58</v>
      </c>
    </row>
    <row r="113" spans="1:26" x14ac:dyDescent="0.3">
      <c r="A113" t="s">
        <v>306</v>
      </c>
      <c r="B113" s="2">
        <v>46039</v>
      </c>
      <c r="C113" t="s">
        <v>307</v>
      </c>
      <c r="D113" t="s">
        <v>50</v>
      </c>
      <c r="E113" t="s">
        <v>29</v>
      </c>
      <c r="F113">
        <v>53</v>
      </c>
      <c r="G113" t="s">
        <v>44</v>
      </c>
      <c r="H113" t="s">
        <v>31</v>
      </c>
      <c r="I113" t="s">
        <v>44</v>
      </c>
      <c r="J113" t="s">
        <v>32</v>
      </c>
      <c r="K113">
        <v>3</v>
      </c>
      <c r="L113">
        <v>10297</v>
      </c>
      <c r="M113">
        <v>5</v>
      </c>
      <c r="N113">
        <v>1544.55</v>
      </c>
      <c r="O113">
        <v>5282.36</v>
      </c>
      <c r="P113">
        <v>382</v>
      </c>
      <c r="Q113">
        <v>35010.81</v>
      </c>
      <c r="R113" t="s">
        <v>54</v>
      </c>
      <c r="S113" t="s">
        <v>63</v>
      </c>
      <c r="T113" t="s">
        <v>76</v>
      </c>
      <c r="U113" t="s">
        <v>77</v>
      </c>
      <c r="V113" t="s">
        <v>57</v>
      </c>
      <c r="W113">
        <v>4</v>
      </c>
      <c r="X113" t="s">
        <v>38</v>
      </c>
      <c r="Y113">
        <v>1</v>
      </c>
      <c r="Z113" t="s">
        <v>47</v>
      </c>
    </row>
    <row r="114" spans="1:26" x14ac:dyDescent="0.3">
      <c r="A114" t="s">
        <v>308</v>
      </c>
      <c r="B114" s="2">
        <v>45845</v>
      </c>
      <c r="C114" t="s">
        <v>101</v>
      </c>
      <c r="D114" t="s">
        <v>42</v>
      </c>
      <c r="E114" t="s">
        <v>29</v>
      </c>
      <c r="F114">
        <v>38</v>
      </c>
      <c r="G114" t="s">
        <v>139</v>
      </c>
      <c r="H114" t="s">
        <v>31</v>
      </c>
      <c r="I114" t="s">
        <v>139</v>
      </c>
      <c r="J114" t="s">
        <v>102</v>
      </c>
      <c r="K114">
        <v>2</v>
      </c>
      <c r="L114">
        <v>20743</v>
      </c>
      <c r="M114">
        <v>20</v>
      </c>
      <c r="N114">
        <v>8297.2000000000007</v>
      </c>
      <c r="O114">
        <v>5973.98</v>
      </c>
      <c r="P114">
        <v>397</v>
      </c>
      <c r="Q114">
        <v>39559.78</v>
      </c>
      <c r="R114" t="s">
        <v>54</v>
      </c>
      <c r="S114" t="s">
        <v>34</v>
      </c>
      <c r="T114" t="s">
        <v>35</v>
      </c>
      <c r="U114" t="s">
        <v>36</v>
      </c>
      <c r="V114" t="s">
        <v>37</v>
      </c>
      <c r="W114">
        <v>8</v>
      </c>
      <c r="X114" t="s">
        <v>38</v>
      </c>
      <c r="Y114">
        <v>1</v>
      </c>
      <c r="Z114" t="s">
        <v>39</v>
      </c>
    </row>
    <row r="115" spans="1:26" x14ac:dyDescent="0.3">
      <c r="A115" t="s">
        <v>309</v>
      </c>
      <c r="B115" s="2">
        <v>45993</v>
      </c>
      <c r="C115" t="s">
        <v>310</v>
      </c>
      <c r="D115" t="s">
        <v>42</v>
      </c>
      <c r="E115" t="s">
        <v>43</v>
      </c>
      <c r="F115">
        <v>56</v>
      </c>
      <c r="G115" t="s">
        <v>139</v>
      </c>
      <c r="H115" t="s">
        <v>31</v>
      </c>
      <c r="I115" t="s">
        <v>139</v>
      </c>
      <c r="J115" t="s">
        <v>125</v>
      </c>
      <c r="K115">
        <v>3</v>
      </c>
      <c r="L115">
        <v>45793</v>
      </c>
      <c r="M115">
        <v>0</v>
      </c>
      <c r="N115">
        <v>0</v>
      </c>
      <c r="O115">
        <v>24728.22</v>
      </c>
      <c r="P115">
        <v>20</v>
      </c>
      <c r="Q115">
        <v>162127.22</v>
      </c>
      <c r="R115" t="s">
        <v>54</v>
      </c>
      <c r="S115" t="s">
        <v>34</v>
      </c>
      <c r="T115" t="s">
        <v>46</v>
      </c>
      <c r="U115" t="s">
        <v>36</v>
      </c>
      <c r="V115" t="s">
        <v>37</v>
      </c>
      <c r="W115">
        <v>5</v>
      </c>
      <c r="X115" t="s">
        <v>38</v>
      </c>
      <c r="Y115">
        <v>5</v>
      </c>
      <c r="Z115" t="s">
        <v>39</v>
      </c>
    </row>
    <row r="116" spans="1:26" x14ac:dyDescent="0.3">
      <c r="A116" t="s">
        <v>311</v>
      </c>
      <c r="B116" s="2">
        <v>45983</v>
      </c>
      <c r="C116" t="s">
        <v>312</v>
      </c>
      <c r="D116" t="s">
        <v>89</v>
      </c>
      <c r="E116" t="s">
        <v>29</v>
      </c>
      <c r="F116">
        <v>24</v>
      </c>
      <c r="G116" t="s">
        <v>67</v>
      </c>
      <c r="H116" t="s">
        <v>68</v>
      </c>
      <c r="I116" t="s">
        <v>67</v>
      </c>
      <c r="J116" t="s">
        <v>62</v>
      </c>
      <c r="K116">
        <v>5</v>
      </c>
      <c r="L116">
        <v>39903</v>
      </c>
      <c r="M116">
        <v>20</v>
      </c>
      <c r="N116">
        <v>39903</v>
      </c>
      <c r="O116">
        <v>28730.16</v>
      </c>
      <c r="P116">
        <v>492</v>
      </c>
      <c r="Q116">
        <v>188834.16</v>
      </c>
      <c r="R116" t="s">
        <v>83</v>
      </c>
      <c r="S116" t="s">
        <v>63</v>
      </c>
      <c r="T116" t="s">
        <v>70</v>
      </c>
      <c r="U116" t="s">
        <v>56</v>
      </c>
      <c r="V116" t="s">
        <v>57</v>
      </c>
      <c r="W116">
        <v>2</v>
      </c>
      <c r="X116" t="s">
        <v>47</v>
      </c>
      <c r="Y116">
        <v>5</v>
      </c>
      <c r="Z116" t="s">
        <v>47</v>
      </c>
    </row>
    <row r="117" spans="1:26" x14ac:dyDescent="0.3">
      <c r="A117" t="s">
        <v>313</v>
      </c>
      <c r="B117" s="2">
        <v>46095</v>
      </c>
      <c r="C117" t="s">
        <v>314</v>
      </c>
      <c r="D117" t="s">
        <v>50</v>
      </c>
      <c r="E117" t="s">
        <v>43</v>
      </c>
      <c r="F117">
        <v>58</v>
      </c>
      <c r="G117" t="s">
        <v>30</v>
      </c>
      <c r="H117" t="s">
        <v>31</v>
      </c>
      <c r="I117" t="s">
        <v>30</v>
      </c>
      <c r="J117" t="s">
        <v>53</v>
      </c>
      <c r="K117">
        <v>3</v>
      </c>
      <c r="L117">
        <v>22776</v>
      </c>
      <c r="M117">
        <v>0</v>
      </c>
      <c r="N117">
        <v>0</v>
      </c>
      <c r="O117">
        <v>12299.04</v>
      </c>
      <c r="P117">
        <v>94</v>
      </c>
      <c r="Q117">
        <v>80721.039999999994</v>
      </c>
      <c r="R117" t="s">
        <v>54</v>
      </c>
      <c r="S117" t="s">
        <v>63</v>
      </c>
      <c r="T117" t="s">
        <v>76</v>
      </c>
      <c r="U117" t="s">
        <v>77</v>
      </c>
      <c r="V117" t="s">
        <v>57</v>
      </c>
      <c r="W117">
        <v>6</v>
      </c>
      <c r="X117" t="s">
        <v>38</v>
      </c>
      <c r="Y117">
        <v>1</v>
      </c>
      <c r="Z117" t="s">
        <v>39</v>
      </c>
    </row>
    <row r="118" spans="1:26" x14ac:dyDescent="0.3">
      <c r="A118" t="s">
        <v>315</v>
      </c>
      <c r="B118" s="2">
        <v>45809</v>
      </c>
      <c r="C118" t="s">
        <v>316</v>
      </c>
      <c r="D118" t="s">
        <v>111</v>
      </c>
      <c r="E118" t="s">
        <v>43</v>
      </c>
      <c r="F118">
        <v>30</v>
      </c>
      <c r="G118" t="s">
        <v>134</v>
      </c>
      <c r="H118" t="s">
        <v>31</v>
      </c>
      <c r="I118" t="s">
        <v>134</v>
      </c>
      <c r="J118" t="s">
        <v>125</v>
      </c>
      <c r="K118">
        <v>5</v>
      </c>
      <c r="L118">
        <v>18787</v>
      </c>
      <c r="M118">
        <v>20</v>
      </c>
      <c r="N118">
        <v>18787</v>
      </c>
      <c r="O118">
        <v>13526.64</v>
      </c>
      <c r="P118">
        <v>101</v>
      </c>
      <c r="Q118">
        <v>88775.64</v>
      </c>
      <c r="R118" t="s">
        <v>83</v>
      </c>
      <c r="S118" t="s">
        <v>63</v>
      </c>
      <c r="T118" t="s">
        <v>46</v>
      </c>
      <c r="U118" t="s">
        <v>36</v>
      </c>
      <c r="V118" t="s">
        <v>37</v>
      </c>
      <c r="W118">
        <v>4</v>
      </c>
      <c r="X118" t="s">
        <v>47</v>
      </c>
      <c r="Y118">
        <v>5</v>
      </c>
      <c r="Z118" t="s">
        <v>39</v>
      </c>
    </row>
    <row r="119" spans="1:26" x14ac:dyDescent="0.3">
      <c r="A119" t="s">
        <v>317</v>
      </c>
      <c r="B119" s="2">
        <v>45834</v>
      </c>
      <c r="C119" t="s">
        <v>318</v>
      </c>
      <c r="D119" t="s">
        <v>42</v>
      </c>
      <c r="E119" t="s">
        <v>29</v>
      </c>
      <c r="F119">
        <v>28</v>
      </c>
      <c r="G119" t="s">
        <v>30</v>
      </c>
      <c r="H119" t="s">
        <v>31</v>
      </c>
      <c r="I119" t="s">
        <v>30</v>
      </c>
      <c r="J119" t="s">
        <v>32</v>
      </c>
      <c r="K119">
        <v>1</v>
      </c>
      <c r="L119">
        <v>956</v>
      </c>
      <c r="M119">
        <v>20</v>
      </c>
      <c r="N119">
        <v>191.2</v>
      </c>
      <c r="O119">
        <v>137.66</v>
      </c>
      <c r="P119">
        <v>446</v>
      </c>
      <c r="Q119">
        <v>1348.46</v>
      </c>
      <c r="R119" t="s">
        <v>45</v>
      </c>
      <c r="S119" t="s">
        <v>63</v>
      </c>
      <c r="T119" t="s">
        <v>46</v>
      </c>
      <c r="U119" t="s">
        <v>36</v>
      </c>
      <c r="V119" t="s">
        <v>37</v>
      </c>
      <c r="W119">
        <v>3</v>
      </c>
      <c r="X119" t="s">
        <v>47</v>
      </c>
      <c r="Y119">
        <v>2</v>
      </c>
      <c r="Z119" t="s">
        <v>47</v>
      </c>
    </row>
    <row r="120" spans="1:26" x14ac:dyDescent="0.3">
      <c r="A120" t="s">
        <v>319</v>
      </c>
      <c r="B120" s="2">
        <v>46080</v>
      </c>
      <c r="C120" t="s">
        <v>101</v>
      </c>
      <c r="D120" t="s">
        <v>108</v>
      </c>
      <c r="E120" t="s">
        <v>43</v>
      </c>
      <c r="F120">
        <v>20</v>
      </c>
      <c r="G120" t="s">
        <v>94</v>
      </c>
      <c r="H120" t="s">
        <v>31</v>
      </c>
      <c r="I120" t="s">
        <v>94</v>
      </c>
      <c r="J120" t="s">
        <v>75</v>
      </c>
      <c r="K120">
        <v>5</v>
      </c>
      <c r="L120">
        <v>28102</v>
      </c>
      <c r="M120">
        <v>5</v>
      </c>
      <c r="N120">
        <v>7025.5</v>
      </c>
      <c r="O120">
        <v>24027.21</v>
      </c>
      <c r="P120">
        <v>281</v>
      </c>
      <c r="Q120">
        <v>157792.71</v>
      </c>
      <c r="R120" t="s">
        <v>83</v>
      </c>
      <c r="S120" t="s">
        <v>34</v>
      </c>
      <c r="T120" t="s">
        <v>70</v>
      </c>
      <c r="U120" t="s">
        <v>56</v>
      </c>
      <c r="V120" t="s">
        <v>57</v>
      </c>
      <c r="W120">
        <v>5</v>
      </c>
      <c r="X120" t="s">
        <v>38</v>
      </c>
      <c r="Y120">
        <v>3</v>
      </c>
      <c r="Z120" t="s">
        <v>39</v>
      </c>
    </row>
    <row r="121" spans="1:26" x14ac:dyDescent="0.3">
      <c r="A121" t="s">
        <v>320</v>
      </c>
      <c r="B121" s="2">
        <v>45985</v>
      </c>
      <c r="C121" t="s">
        <v>321</v>
      </c>
      <c r="D121" t="s">
        <v>80</v>
      </c>
      <c r="E121" t="s">
        <v>29</v>
      </c>
      <c r="F121">
        <v>29</v>
      </c>
      <c r="G121" t="s">
        <v>134</v>
      </c>
      <c r="H121" t="s">
        <v>31</v>
      </c>
      <c r="I121" t="s">
        <v>134</v>
      </c>
      <c r="J121" t="s">
        <v>150</v>
      </c>
      <c r="K121">
        <v>4</v>
      </c>
      <c r="L121">
        <v>2455</v>
      </c>
      <c r="M121">
        <v>5</v>
      </c>
      <c r="N121">
        <v>491</v>
      </c>
      <c r="O121">
        <v>1679.22</v>
      </c>
      <c r="P121">
        <v>255</v>
      </c>
      <c r="Q121">
        <v>11263.22</v>
      </c>
      <c r="R121" t="s">
        <v>54</v>
      </c>
      <c r="S121" t="s">
        <v>63</v>
      </c>
      <c r="T121" t="s">
        <v>70</v>
      </c>
      <c r="U121" t="s">
        <v>56</v>
      </c>
      <c r="V121" t="s">
        <v>57</v>
      </c>
      <c r="W121">
        <v>4</v>
      </c>
      <c r="X121" t="s">
        <v>38</v>
      </c>
      <c r="Y121">
        <v>4</v>
      </c>
      <c r="Z121" t="s">
        <v>39</v>
      </c>
    </row>
    <row r="122" spans="1:26" x14ac:dyDescent="0.3">
      <c r="A122" t="s">
        <v>322</v>
      </c>
      <c r="B122" s="2">
        <v>46002</v>
      </c>
      <c r="C122" t="s">
        <v>323</v>
      </c>
      <c r="D122" t="s">
        <v>80</v>
      </c>
      <c r="E122" t="s">
        <v>29</v>
      </c>
      <c r="F122">
        <v>39</v>
      </c>
      <c r="G122" t="s">
        <v>67</v>
      </c>
      <c r="H122" t="s">
        <v>68</v>
      </c>
      <c r="I122" t="s">
        <v>67</v>
      </c>
      <c r="J122" t="s">
        <v>125</v>
      </c>
      <c r="K122">
        <v>2</v>
      </c>
      <c r="L122">
        <v>14902</v>
      </c>
      <c r="M122">
        <v>20</v>
      </c>
      <c r="N122">
        <v>5960.8</v>
      </c>
      <c r="O122">
        <v>4291.78</v>
      </c>
      <c r="P122">
        <v>348</v>
      </c>
      <c r="Q122">
        <v>28482.98</v>
      </c>
      <c r="R122" t="s">
        <v>83</v>
      </c>
      <c r="S122" t="s">
        <v>63</v>
      </c>
      <c r="T122" t="s">
        <v>76</v>
      </c>
      <c r="U122" t="s">
        <v>77</v>
      </c>
      <c r="V122" t="s">
        <v>57</v>
      </c>
      <c r="W122">
        <v>8</v>
      </c>
      <c r="X122" t="s">
        <v>38</v>
      </c>
      <c r="Y122">
        <v>1</v>
      </c>
      <c r="Z122" t="s">
        <v>58</v>
      </c>
    </row>
    <row r="123" spans="1:26" x14ac:dyDescent="0.3">
      <c r="A123" t="s">
        <v>324</v>
      </c>
      <c r="B123" s="2">
        <v>45898</v>
      </c>
      <c r="C123" t="s">
        <v>325</v>
      </c>
      <c r="D123" t="s">
        <v>89</v>
      </c>
      <c r="E123" t="s">
        <v>29</v>
      </c>
      <c r="F123">
        <v>30</v>
      </c>
      <c r="G123" t="s">
        <v>51</v>
      </c>
      <c r="H123" t="s">
        <v>52</v>
      </c>
      <c r="I123" t="s">
        <v>51</v>
      </c>
      <c r="J123" t="s">
        <v>150</v>
      </c>
      <c r="K123">
        <v>2</v>
      </c>
      <c r="L123">
        <v>13003</v>
      </c>
      <c r="M123">
        <v>5</v>
      </c>
      <c r="N123">
        <v>1300.3</v>
      </c>
      <c r="O123">
        <v>4447.03</v>
      </c>
      <c r="P123">
        <v>199</v>
      </c>
      <c r="Q123">
        <v>29351.73</v>
      </c>
      <c r="R123" t="s">
        <v>33</v>
      </c>
      <c r="S123" t="s">
        <v>63</v>
      </c>
      <c r="T123" t="s">
        <v>46</v>
      </c>
      <c r="U123" t="s">
        <v>36</v>
      </c>
      <c r="V123" t="s">
        <v>37</v>
      </c>
      <c r="W123">
        <v>1</v>
      </c>
      <c r="X123" t="s">
        <v>47</v>
      </c>
      <c r="Y123">
        <v>5</v>
      </c>
      <c r="Z123" t="s">
        <v>39</v>
      </c>
    </row>
    <row r="124" spans="1:26" x14ac:dyDescent="0.3">
      <c r="A124" t="s">
        <v>326</v>
      </c>
      <c r="B124" s="2">
        <v>45907</v>
      </c>
      <c r="C124" t="s">
        <v>327</v>
      </c>
      <c r="D124" t="s">
        <v>50</v>
      </c>
      <c r="E124" t="s">
        <v>43</v>
      </c>
      <c r="F124">
        <v>44</v>
      </c>
      <c r="G124" t="s">
        <v>74</v>
      </c>
      <c r="H124" t="s">
        <v>31</v>
      </c>
      <c r="I124" t="s">
        <v>74</v>
      </c>
      <c r="J124" t="s">
        <v>75</v>
      </c>
      <c r="K124">
        <v>5</v>
      </c>
      <c r="L124">
        <v>7255</v>
      </c>
      <c r="M124">
        <v>5</v>
      </c>
      <c r="N124">
        <v>1813.75</v>
      </c>
      <c r="O124">
        <v>6203.02</v>
      </c>
      <c r="P124">
        <v>388</v>
      </c>
      <c r="Q124">
        <v>41052.28</v>
      </c>
      <c r="R124" t="s">
        <v>45</v>
      </c>
      <c r="S124" t="s">
        <v>34</v>
      </c>
      <c r="T124" t="s">
        <v>55</v>
      </c>
      <c r="U124" t="s">
        <v>56</v>
      </c>
      <c r="V124" t="s">
        <v>57</v>
      </c>
      <c r="W124">
        <v>10</v>
      </c>
      <c r="X124" t="s">
        <v>47</v>
      </c>
      <c r="Y124">
        <v>2</v>
      </c>
      <c r="Z124" t="s">
        <v>58</v>
      </c>
    </row>
    <row r="125" spans="1:26" x14ac:dyDescent="0.3">
      <c r="A125" t="s">
        <v>328</v>
      </c>
      <c r="B125" s="2">
        <v>45897</v>
      </c>
      <c r="C125" t="s">
        <v>323</v>
      </c>
      <c r="D125" t="s">
        <v>111</v>
      </c>
      <c r="E125" t="s">
        <v>29</v>
      </c>
      <c r="F125">
        <v>39</v>
      </c>
      <c r="G125" t="s">
        <v>99</v>
      </c>
      <c r="H125" t="s">
        <v>52</v>
      </c>
      <c r="I125" t="s">
        <v>99</v>
      </c>
      <c r="J125" t="s">
        <v>112</v>
      </c>
      <c r="K125">
        <v>1</v>
      </c>
      <c r="L125">
        <v>31663</v>
      </c>
      <c r="M125">
        <v>5</v>
      </c>
      <c r="N125">
        <v>1583.15</v>
      </c>
      <c r="O125">
        <v>5414.37</v>
      </c>
      <c r="P125">
        <v>166</v>
      </c>
      <c r="Q125">
        <v>35660.22</v>
      </c>
      <c r="R125" t="s">
        <v>83</v>
      </c>
      <c r="S125" t="s">
        <v>34</v>
      </c>
      <c r="T125" t="s">
        <v>55</v>
      </c>
      <c r="U125" t="s">
        <v>56</v>
      </c>
      <c r="V125" t="s">
        <v>57</v>
      </c>
      <c r="W125">
        <v>1</v>
      </c>
      <c r="X125" t="s">
        <v>47</v>
      </c>
      <c r="Y125">
        <v>2</v>
      </c>
      <c r="Z125" t="s">
        <v>47</v>
      </c>
    </row>
    <row r="126" spans="1:26" x14ac:dyDescent="0.3">
      <c r="A126" t="s">
        <v>329</v>
      </c>
      <c r="B126" s="2">
        <v>45870</v>
      </c>
      <c r="C126" t="s">
        <v>330</v>
      </c>
      <c r="D126" t="s">
        <v>66</v>
      </c>
      <c r="E126" t="s">
        <v>29</v>
      </c>
      <c r="F126">
        <v>40</v>
      </c>
      <c r="G126" t="s">
        <v>99</v>
      </c>
      <c r="H126" t="s">
        <v>52</v>
      </c>
      <c r="I126" t="s">
        <v>99</v>
      </c>
      <c r="J126" t="s">
        <v>53</v>
      </c>
      <c r="K126">
        <v>2</v>
      </c>
      <c r="L126">
        <v>48930</v>
      </c>
      <c r="M126">
        <v>10</v>
      </c>
      <c r="N126">
        <v>9786</v>
      </c>
      <c r="O126">
        <v>15853.32</v>
      </c>
      <c r="P126">
        <v>400</v>
      </c>
      <c r="Q126">
        <v>104327.32</v>
      </c>
      <c r="R126" t="s">
        <v>83</v>
      </c>
      <c r="S126" t="s">
        <v>63</v>
      </c>
      <c r="T126" t="s">
        <v>76</v>
      </c>
      <c r="U126" t="s">
        <v>77</v>
      </c>
      <c r="V126" t="s">
        <v>57</v>
      </c>
      <c r="W126">
        <v>10</v>
      </c>
      <c r="X126" t="s">
        <v>38</v>
      </c>
      <c r="Y126">
        <v>1</v>
      </c>
      <c r="Z126" t="s">
        <v>58</v>
      </c>
    </row>
    <row r="127" spans="1:26" x14ac:dyDescent="0.3">
      <c r="A127" t="s">
        <v>331</v>
      </c>
      <c r="B127" s="2">
        <v>46079</v>
      </c>
      <c r="C127" t="s">
        <v>332</v>
      </c>
      <c r="D127" t="s">
        <v>50</v>
      </c>
      <c r="E127" t="s">
        <v>43</v>
      </c>
      <c r="F127">
        <v>42</v>
      </c>
      <c r="G127" t="s">
        <v>139</v>
      </c>
      <c r="H127" t="s">
        <v>31</v>
      </c>
      <c r="I127" t="s">
        <v>139</v>
      </c>
      <c r="J127" t="s">
        <v>125</v>
      </c>
      <c r="K127">
        <v>4</v>
      </c>
      <c r="L127">
        <v>11876</v>
      </c>
      <c r="M127">
        <v>20</v>
      </c>
      <c r="N127">
        <v>9500.7999999999993</v>
      </c>
      <c r="O127">
        <v>6840.58</v>
      </c>
      <c r="P127">
        <v>31</v>
      </c>
      <c r="Q127">
        <v>44874.78</v>
      </c>
      <c r="R127" t="s">
        <v>83</v>
      </c>
      <c r="S127" t="s">
        <v>34</v>
      </c>
      <c r="T127" t="s">
        <v>35</v>
      </c>
      <c r="U127" t="s">
        <v>36</v>
      </c>
      <c r="V127" t="s">
        <v>37</v>
      </c>
      <c r="W127">
        <v>3</v>
      </c>
      <c r="X127" t="s">
        <v>38</v>
      </c>
      <c r="Y127">
        <v>3</v>
      </c>
      <c r="Z127" t="s">
        <v>47</v>
      </c>
    </row>
    <row r="128" spans="1:26" x14ac:dyDescent="0.3">
      <c r="A128" t="s">
        <v>333</v>
      </c>
      <c r="B128" s="2">
        <v>46017</v>
      </c>
      <c r="C128" t="s">
        <v>334</v>
      </c>
      <c r="D128" t="s">
        <v>66</v>
      </c>
      <c r="E128" t="s">
        <v>29</v>
      </c>
      <c r="F128">
        <v>18</v>
      </c>
      <c r="G128" t="s">
        <v>51</v>
      </c>
      <c r="H128" t="s">
        <v>52</v>
      </c>
      <c r="I128" t="s">
        <v>51</v>
      </c>
      <c r="J128" t="s">
        <v>102</v>
      </c>
      <c r="K128">
        <v>3</v>
      </c>
      <c r="L128">
        <v>6898</v>
      </c>
      <c r="M128">
        <v>10</v>
      </c>
      <c r="N128">
        <v>2069.4</v>
      </c>
      <c r="O128">
        <v>3352.43</v>
      </c>
      <c r="P128">
        <v>417</v>
      </c>
      <c r="Q128">
        <v>22394.03</v>
      </c>
      <c r="R128" t="s">
        <v>83</v>
      </c>
      <c r="S128" t="s">
        <v>34</v>
      </c>
      <c r="T128" t="s">
        <v>76</v>
      </c>
      <c r="U128" t="s">
        <v>77</v>
      </c>
      <c r="V128" t="s">
        <v>57</v>
      </c>
      <c r="W128">
        <v>4</v>
      </c>
      <c r="X128" t="s">
        <v>38</v>
      </c>
      <c r="Y128">
        <v>2</v>
      </c>
      <c r="Z128" t="s">
        <v>39</v>
      </c>
    </row>
    <row r="129" spans="1:26" x14ac:dyDescent="0.3">
      <c r="A129" t="s">
        <v>335</v>
      </c>
      <c r="B129" s="2">
        <v>46114</v>
      </c>
      <c r="C129" t="s">
        <v>336</v>
      </c>
      <c r="D129" t="s">
        <v>50</v>
      </c>
      <c r="E129" t="s">
        <v>43</v>
      </c>
      <c r="F129">
        <v>33</v>
      </c>
      <c r="G129" t="s">
        <v>94</v>
      </c>
      <c r="H129" t="s">
        <v>31</v>
      </c>
      <c r="I129" t="s">
        <v>94</v>
      </c>
      <c r="J129" t="s">
        <v>69</v>
      </c>
      <c r="K129">
        <v>5</v>
      </c>
      <c r="L129">
        <v>27664</v>
      </c>
      <c r="M129">
        <v>0</v>
      </c>
      <c r="N129">
        <v>0</v>
      </c>
      <c r="O129">
        <v>24897.599999999999</v>
      </c>
      <c r="P129">
        <v>18</v>
      </c>
      <c r="Q129">
        <v>163235.6</v>
      </c>
      <c r="R129" t="s">
        <v>33</v>
      </c>
      <c r="S129" t="s">
        <v>63</v>
      </c>
      <c r="T129" t="s">
        <v>103</v>
      </c>
      <c r="U129" t="s">
        <v>103</v>
      </c>
      <c r="V129" t="s">
        <v>57</v>
      </c>
      <c r="W129">
        <v>10</v>
      </c>
      <c r="X129" t="s">
        <v>47</v>
      </c>
      <c r="Y129">
        <v>3</v>
      </c>
      <c r="Z129" t="s">
        <v>47</v>
      </c>
    </row>
    <row r="130" spans="1:26" x14ac:dyDescent="0.3">
      <c r="A130" t="s">
        <v>337</v>
      </c>
      <c r="B130" s="2">
        <v>45899</v>
      </c>
      <c r="C130" t="s">
        <v>338</v>
      </c>
      <c r="D130" t="s">
        <v>28</v>
      </c>
      <c r="E130" t="s">
        <v>43</v>
      </c>
      <c r="F130">
        <v>25</v>
      </c>
      <c r="G130" t="s">
        <v>74</v>
      </c>
      <c r="H130" t="s">
        <v>31</v>
      </c>
      <c r="I130" t="s">
        <v>74</v>
      </c>
      <c r="J130" t="s">
        <v>125</v>
      </c>
      <c r="K130">
        <v>5</v>
      </c>
      <c r="L130">
        <v>31878</v>
      </c>
      <c r="M130">
        <v>5</v>
      </c>
      <c r="N130">
        <v>7969.5</v>
      </c>
      <c r="O130">
        <v>27255.69</v>
      </c>
      <c r="P130">
        <v>288</v>
      </c>
      <c r="Q130">
        <v>178964.19</v>
      </c>
      <c r="R130" t="s">
        <v>45</v>
      </c>
      <c r="S130" t="s">
        <v>63</v>
      </c>
      <c r="T130" t="s">
        <v>95</v>
      </c>
      <c r="U130" t="s">
        <v>96</v>
      </c>
      <c r="V130" t="s">
        <v>57</v>
      </c>
      <c r="W130">
        <v>7</v>
      </c>
      <c r="X130" t="s">
        <v>38</v>
      </c>
      <c r="Y130">
        <v>4</v>
      </c>
      <c r="Z130" t="s">
        <v>47</v>
      </c>
    </row>
    <row r="131" spans="1:26" x14ac:dyDescent="0.3">
      <c r="A131" t="s">
        <v>339</v>
      </c>
      <c r="B131" s="2">
        <v>46019</v>
      </c>
      <c r="C131" t="s">
        <v>340</v>
      </c>
      <c r="D131" t="s">
        <v>89</v>
      </c>
      <c r="E131" t="s">
        <v>29</v>
      </c>
      <c r="F131">
        <v>40</v>
      </c>
      <c r="G131" t="s">
        <v>139</v>
      </c>
      <c r="H131" t="s">
        <v>31</v>
      </c>
      <c r="I131" t="s">
        <v>139</v>
      </c>
      <c r="J131" t="s">
        <v>112</v>
      </c>
      <c r="K131">
        <v>2</v>
      </c>
      <c r="L131">
        <v>33074</v>
      </c>
      <c r="M131">
        <v>10</v>
      </c>
      <c r="N131">
        <v>6614.8</v>
      </c>
      <c r="O131">
        <v>10715.98</v>
      </c>
      <c r="P131">
        <v>377</v>
      </c>
      <c r="Q131">
        <v>70626.179999999993</v>
      </c>
      <c r="R131" t="s">
        <v>33</v>
      </c>
      <c r="S131" t="s">
        <v>34</v>
      </c>
      <c r="T131" t="s">
        <v>103</v>
      </c>
      <c r="U131" t="s">
        <v>103</v>
      </c>
      <c r="V131" t="s">
        <v>57</v>
      </c>
      <c r="W131">
        <v>4</v>
      </c>
      <c r="X131" t="s">
        <v>47</v>
      </c>
      <c r="Y131">
        <v>3</v>
      </c>
      <c r="Z131" t="s">
        <v>39</v>
      </c>
    </row>
    <row r="132" spans="1:26" x14ac:dyDescent="0.3">
      <c r="A132" t="s">
        <v>341</v>
      </c>
      <c r="B132" s="2">
        <v>46112</v>
      </c>
      <c r="C132" t="s">
        <v>342</v>
      </c>
      <c r="D132" t="s">
        <v>108</v>
      </c>
      <c r="E132" t="s">
        <v>29</v>
      </c>
      <c r="F132">
        <v>29</v>
      </c>
      <c r="G132" t="s">
        <v>134</v>
      </c>
      <c r="H132" t="s">
        <v>31</v>
      </c>
      <c r="I132" t="s">
        <v>134</v>
      </c>
      <c r="J132" t="s">
        <v>102</v>
      </c>
      <c r="K132">
        <v>1</v>
      </c>
      <c r="L132">
        <v>24321</v>
      </c>
      <c r="M132">
        <v>10</v>
      </c>
      <c r="N132">
        <v>2432.1</v>
      </c>
      <c r="O132">
        <v>3940</v>
      </c>
      <c r="P132">
        <v>350</v>
      </c>
      <c r="Q132">
        <v>26178.9</v>
      </c>
      <c r="R132" t="s">
        <v>45</v>
      </c>
      <c r="S132" t="s">
        <v>63</v>
      </c>
      <c r="T132" t="s">
        <v>103</v>
      </c>
      <c r="U132" t="s">
        <v>103</v>
      </c>
      <c r="V132" t="s">
        <v>57</v>
      </c>
      <c r="W132">
        <v>3</v>
      </c>
      <c r="X132" t="s">
        <v>47</v>
      </c>
      <c r="Y132">
        <v>5</v>
      </c>
      <c r="Z132" t="s">
        <v>39</v>
      </c>
    </row>
    <row r="133" spans="1:26" x14ac:dyDescent="0.3">
      <c r="A133" t="s">
        <v>343</v>
      </c>
      <c r="B133" s="2">
        <v>45800</v>
      </c>
      <c r="C133" t="s">
        <v>344</v>
      </c>
      <c r="D133" t="s">
        <v>108</v>
      </c>
      <c r="E133" t="s">
        <v>29</v>
      </c>
      <c r="F133">
        <v>45</v>
      </c>
      <c r="G133" t="s">
        <v>74</v>
      </c>
      <c r="H133" t="s">
        <v>31</v>
      </c>
      <c r="I133" t="s">
        <v>74</v>
      </c>
      <c r="J133" t="s">
        <v>150</v>
      </c>
      <c r="K133">
        <v>4</v>
      </c>
      <c r="L133">
        <v>42895</v>
      </c>
      <c r="M133">
        <v>15</v>
      </c>
      <c r="N133">
        <v>25737</v>
      </c>
      <c r="O133">
        <v>26251.74</v>
      </c>
      <c r="P133">
        <v>98</v>
      </c>
      <c r="Q133">
        <v>172192.74</v>
      </c>
      <c r="R133" t="s">
        <v>83</v>
      </c>
      <c r="S133" t="s">
        <v>34</v>
      </c>
      <c r="T133" t="s">
        <v>95</v>
      </c>
      <c r="U133" t="s">
        <v>96</v>
      </c>
      <c r="V133" t="s">
        <v>57</v>
      </c>
      <c r="W133">
        <v>9</v>
      </c>
      <c r="X133" t="s">
        <v>47</v>
      </c>
      <c r="Y133">
        <v>1</v>
      </c>
      <c r="Z133" t="s">
        <v>91</v>
      </c>
    </row>
    <row r="134" spans="1:26" x14ac:dyDescent="0.3">
      <c r="A134" t="s">
        <v>345</v>
      </c>
      <c r="B134" s="2">
        <v>46058</v>
      </c>
      <c r="C134" t="s">
        <v>346</v>
      </c>
      <c r="D134" t="s">
        <v>28</v>
      </c>
      <c r="E134" t="s">
        <v>29</v>
      </c>
      <c r="F134">
        <v>58</v>
      </c>
      <c r="G134" t="s">
        <v>44</v>
      </c>
      <c r="H134" t="s">
        <v>31</v>
      </c>
      <c r="I134" t="s">
        <v>44</v>
      </c>
      <c r="J134" t="s">
        <v>125</v>
      </c>
      <c r="K134">
        <v>5</v>
      </c>
      <c r="L134">
        <v>48980</v>
      </c>
      <c r="M134">
        <v>0</v>
      </c>
      <c r="N134">
        <v>0</v>
      </c>
      <c r="O134">
        <v>44082</v>
      </c>
      <c r="P134">
        <v>96</v>
      </c>
      <c r="Q134">
        <v>289078</v>
      </c>
      <c r="R134" t="s">
        <v>83</v>
      </c>
      <c r="S134" t="s">
        <v>34</v>
      </c>
      <c r="T134" t="s">
        <v>76</v>
      </c>
      <c r="U134" t="s">
        <v>77</v>
      </c>
      <c r="V134" t="s">
        <v>57</v>
      </c>
      <c r="W134">
        <v>5</v>
      </c>
      <c r="X134" t="s">
        <v>47</v>
      </c>
      <c r="Y134">
        <v>2</v>
      </c>
      <c r="Z134" t="s">
        <v>47</v>
      </c>
    </row>
    <row r="135" spans="1:26" x14ac:dyDescent="0.3">
      <c r="A135" t="s">
        <v>347</v>
      </c>
      <c r="B135" s="2">
        <v>45852</v>
      </c>
      <c r="C135" t="s">
        <v>225</v>
      </c>
      <c r="D135" t="s">
        <v>50</v>
      </c>
      <c r="E135" t="s">
        <v>43</v>
      </c>
      <c r="F135">
        <v>33</v>
      </c>
      <c r="G135" t="s">
        <v>134</v>
      </c>
      <c r="H135" t="s">
        <v>31</v>
      </c>
      <c r="I135" t="s">
        <v>134</v>
      </c>
      <c r="J135" t="s">
        <v>150</v>
      </c>
      <c r="K135">
        <v>1</v>
      </c>
      <c r="L135">
        <v>49527</v>
      </c>
      <c r="M135">
        <v>0</v>
      </c>
      <c r="N135">
        <v>0</v>
      </c>
      <c r="O135">
        <v>8914.86</v>
      </c>
      <c r="P135">
        <v>456</v>
      </c>
      <c r="Q135">
        <v>58897.86</v>
      </c>
      <c r="R135" t="s">
        <v>54</v>
      </c>
      <c r="S135" t="s">
        <v>34</v>
      </c>
      <c r="T135" t="s">
        <v>46</v>
      </c>
      <c r="U135" t="s">
        <v>36</v>
      </c>
      <c r="V135" t="s">
        <v>37</v>
      </c>
      <c r="W135">
        <v>5</v>
      </c>
      <c r="X135" t="s">
        <v>47</v>
      </c>
      <c r="Y135">
        <v>5</v>
      </c>
      <c r="Z135" t="s">
        <v>47</v>
      </c>
    </row>
    <row r="136" spans="1:26" x14ac:dyDescent="0.3">
      <c r="A136" t="s">
        <v>348</v>
      </c>
      <c r="B136" s="2">
        <v>45771</v>
      </c>
      <c r="C136" t="s">
        <v>349</v>
      </c>
      <c r="D136" t="s">
        <v>73</v>
      </c>
      <c r="E136" t="s">
        <v>29</v>
      </c>
      <c r="F136">
        <v>55</v>
      </c>
      <c r="G136" t="s">
        <v>134</v>
      </c>
      <c r="H136" t="s">
        <v>31</v>
      </c>
      <c r="I136" t="s">
        <v>134</v>
      </c>
      <c r="J136" t="s">
        <v>102</v>
      </c>
      <c r="K136">
        <v>4</v>
      </c>
      <c r="L136">
        <v>24297</v>
      </c>
      <c r="M136">
        <v>5</v>
      </c>
      <c r="N136">
        <v>4859.3999999999996</v>
      </c>
      <c r="O136">
        <v>16619.150000000001</v>
      </c>
      <c r="P136">
        <v>167</v>
      </c>
      <c r="Q136">
        <v>109114.75</v>
      </c>
      <c r="R136" t="s">
        <v>45</v>
      </c>
      <c r="S136" t="s">
        <v>34</v>
      </c>
      <c r="T136" t="s">
        <v>95</v>
      </c>
      <c r="U136" t="s">
        <v>96</v>
      </c>
      <c r="V136" t="s">
        <v>57</v>
      </c>
      <c r="W136">
        <v>5</v>
      </c>
      <c r="X136" t="s">
        <v>38</v>
      </c>
      <c r="Y136">
        <v>1</v>
      </c>
      <c r="Z136" t="s">
        <v>39</v>
      </c>
    </row>
    <row r="137" spans="1:26" x14ac:dyDescent="0.3">
      <c r="A137" t="s">
        <v>350</v>
      </c>
      <c r="B137" s="2">
        <v>45793</v>
      </c>
      <c r="C137" t="s">
        <v>351</v>
      </c>
      <c r="D137" t="s">
        <v>80</v>
      </c>
      <c r="E137" t="s">
        <v>43</v>
      </c>
      <c r="F137">
        <v>57</v>
      </c>
      <c r="G137" t="s">
        <v>74</v>
      </c>
      <c r="H137" t="s">
        <v>31</v>
      </c>
      <c r="I137" t="s">
        <v>74</v>
      </c>
      <c r="J137" t="s">
        <v>112</v>
      </c>
      <c r="K137">
        <v>5</v>
      </c>
      <c r="L137">
        <v>47683</v>
      </c>
      <c r="M137">
        <v>5</v>
      </c>
      <c r="N137">
        <v>11920.75</v>
      </c>
      <c r="O137">
        <v>40768.959999999999</v>
      </c>
      <c r="P137">
        <v>420</v>
      </c>
      <c r="Q137">
        <v>267683.21000000002</v>
      </c>
      <c r="R137" t="s">
        <v>33</v>
      </c>
      <c r="S137" t="s">
        <v>34</v>
      </c>
      <c r="T137" t="s">
        <v>103</v>
      </c>
      <c r="U137" t="s">
        <v>103</v>
      </c>
      <c r="V137" t="s">
        <v>57</v>
      </c>
      <c r="W137">
        <v>4</v>
      </c>
      <c r="X137" t="s">
        <v>47</v>
      </c>
      <c r="Y137">
        <v>4</v>
      </c>
      <c r="Z137" t="s">
        <v>39</v>
      </c>
    </row>
    <row r="138" spans="1:26" x14ac:dyDescent="0.3">
      <c r="A138" t="s">
        <v>352</v>
      </c>
      <c r="B138" s="2">
        <v>45910</v>
      </c>
      <c r="C138" t="s">
        <v>353</v>
      </c>
      <c r="D138" t="s">
        <v>61</v>
      </c>
      <c r="E138" t="s">
        <v>43</v>
      </c>
      <c r="F138">
        <v>59</v>
      </c>
      <c r="G138" t="s">
        <v>44</v>
      </c>
      <c r="H138" t="s">
        <v>31</v>
      </c>
      <c r="I138" t="s">
        <v>44</v>
      </c>
      <c r="J138" t="s">
        <v>201</v>
      </c>
      <c r="K138">
        <v>3</v>
      </c>
      <c r="L138">
        <v>48486</v>
      </c>
      <c r="M138">
        <v>0</v>
      </c>
      <c r="N138">
        <v>0</v>
      </c>
      <c r="O138">
        <v>26182.44</v>
      </c>
      <c r="P138">
        <v>460</v>
      </c>
      <c r="Q138">
        <v>172100.44</v>
      </c>
      <c r="R138" t="s">
        <v>54</v>
      </c>
      <c r="S138" t="s">
        <v>34</v>
      </c>
      <c r="T138" t="s">
        <v>84</v>
      </c>
      <c r="U138" t="s">
        <v>85</v>
      </c>
      <c r="V138" t="s">
        <v>86</v>
      </c>
      <c r="W138">
        <v>6</v>
      </c>
      <c r="X138" t="s">
        <v>38</v>
      </c>
      <c r="Y138">
        <v>2</v>
      </c>
      <c r="Z138" t="s">
        <v>58</v>
      </c>
    </row>
    <row r="139" spans="1:26" x14ac:dyDescent="0.3">
      <c r="A139" t="s">
        <v>354</v>
      </c>
      <c r="B139" s="2">
        <v>45844</v>
      </c>
      <c r="C139" t="s">
        <v>355</v>
      </c>
      <c r="D139" t="s">
        <v>80</v>
      </c>
      <c r="E139" t="s">
        <v>43</v>
      </c>
      <c r="F139">
        <v>18</v>
      </c>
      <c r="G139" t="s">
        <v>74</v>
      </c>
      <c r="H139" t="s">
        <v>31</v>
      </c>
      <c r="I139" t="s">
        <v>74</v>
      </c>
      <c r="J139" t="s">
        <v>62</v>
      </c>
      <c r="K139">
        <v>4</v>
      </c>
      <c r="L139">
        <v>35587</v>
      </c>
      <c r="M139">
        <v>10</v>
      </c>
      <c r="N139">
        <v>14234.8</v>
      </c>
      <c r="O139">
        <v>23060.38</v>
      </c>
      <c r="P139">
        <v>243</v>
      </c>
      <c r="Q139">
        <v>151416.57999999999</v>
      </c>
      <c r="R139" t="s">
        <v>83</v>
      </c>
      <c r="S139" t="s">
        <v>34</v>
      </c>
      <c r="T139" t="s">
        <v>70</v>
      </c>
      <c r="U139" t="s">
        <v>56</v>
      </c>
      <c r="V139" t="s">
        <v>57</v>
      </c>
      <c r="W139">
        <v>3</v>
      </c>
      <c r="X139" t="s">
        <v>38</v>
      </c>
      <c r="Y139">
        <v>4</v>
      </c>
      <c r="Z139" t="s">
        <v>91</v>
      </c>
    </row>
    <row r="140" spans="1:26" x14ac:dyDescent="0.3">
      <c r="A140" t="s">
        <v>356</v>
      </c>
      <c r="B140" s="2">
        <v>45870</v>
      </c>
      <c r="C140" t="s">
        <v>332</v>
      </c>
      <c r="D140" t="s">
        <v>28</v>
      </c>
      <c r="E140" t="s">
        <v>43</v>
      </c>
      <c r="F140">
        <v>47</v>
      </c>
      <c r="G140" t="s">
        <v>90</v>
      </c>
      <c r="H140" t="s">
        <v>31</v>
      </c>
      <c r="I140" t="s">
        <v>90</v>
      </c>
      <c r="J140" t="s">
        <v>150</v>
      </c>
      <c r="K140">
        <v>5</v>
      </c>
      <c r="L140">
        <v>38537</v>
      </c>
      <c r="M140">
        <v>20</v>
      </c>
      <c r="N140">
        <v>38537</v>
      </c>
      <c r="O140">
        <v>27746.639999999999</v>
      </c>
      <c r="P140">
        <v>428</v>
      </c>
      <c r="Q140">
        <v>182322.64</v>
      </c>
      <c r="R140" t="s">
        <v>54</v>
      </c>
      <c r="S140" t="s">
        <v>63</v>
      </c>
      <c r="T140" t="s">
        <v>84</v>
      </c>
      <c r="U140" t="s">
        <v>85</v>
      </c>
      <c r="V140" t="s">
        <v>86</v>
      </c>
      <c r="W140">
        <v>8</v>
      </c>
      <c r="X140" t="s">
        <v>38</v>
      </c>
      <c r="Y140">
        <v>1</v>
      </c>
      <c r="Z140" t="s">
        <v>91</v>
      </c>
    </row>
    <row r="141" spans="1:26" x14ac:dyDescent="0.3">
      <c r="A141" t="s">
        <v>357</v>
      </c>
      <c r="B141" s="2">
        <v>46021</v>
      </c>
      <c r="C141" t="s">
        <v>279</v>
      </c>
      <c r="D141" t="s">
        <v>42</v>
      </c>
      <c r="E141" t="s">
        <v>29</v>
      </c>
      <c r="F141">
        <v>18</v>
      </c>
      <c r="G141" t="s">
        <v>90</v>
      </c>
      <c r="H141" t="s">
        <v>31</v>
      </c>
      <c r="I141" t="s">
        <v>90</v>
      </c>
      <c r="J141" t="s">
        <v>125</v>
      </c>
      <c r="K141">
        <v>5</v>
      </c>
      <c r="L141">
        <v>2675</v>
      </c>
      <c r="M141">
        <v>15</v>
      </c>
      <c r="N141">
        <v>2006.25</v>
      </c>
      <c r="O141">
        <v>2046.38</v>
      </c>
      <c r="P141">
        <v>318</v>
      </c>
      <c r="Q141">
        <v>13733.12</v>
      </c>
      <c r="R141" t="s">
        <v>33</v>
      </c>
      <c r="S141" t="s">
        <v>34</v>
      </c>
      <c r="T141" t="s">
        <v>46</v>
      </c>
      <c r="U141" t="s">
        <v>36</v>
      </c>
      <c r="V141" t="s">
        <v>37</v>
      </c>
      <c r="W141">
        <v>3</v>
      </c>
      <c r="X141" t="s">
        <v>47</v>
      </c>
      <c r="Y141">
        <v>1</v>
      </c>
      <c r="Z141" t="s">
        <v>58</v>
      </c>
    </row>
    <row r="142" spans="1:26" x14ac:dyDescent="0.3">
      <c r="A142" t="s">
        <v>358</v>
      </c>
      <c r="B142" s="2">
        <v>45776</v>
      </c>
      <c r="C142" t="s">
        <v>359</v>
      </c>
      <c r="D142" t="s">
        <v>80</v>
      </c>
      <c r="E142" t="s">
        <v>43</v>
      </c>
      <c r="F142">
        <v>43</v>
      </c>
      <c r="G142" t="s">
        <v>67</v>
      </c>
      <c r="H142" t="s">
        <v>68</v>
      </c>
      <c r="I142" t="s">
        <v>67</v>
      </c>
      <c r="J142" t="s">
        <v>150</v>
      </c>
      <c r="K142">
        <v>3</v>
      </c>
      <c r="L142">
        <v>31905</v>
      </c>
      <c r="M142">
        <v>5</v>
      </c>
      <c r="N142">
        <v>4785.75</v>
      </c>
      <c r="O142">
        <v>16367.26</v>
      </c>
      <c r="P142">
        <v>396</v>
      </c>
      <c r="Q142">
        <v>107692.51</v>
      </c>
      <c r="R142" t="s">
        <v>83</v>
      </c>
      <c r="S142" t="s">
        <v>63</v>
      </c>
      <c r="T142" t="s">
        <v>70</v>
      </c>
      <c r="U142" t="s">
        <v>56</v>
      </c>
      <c r="V142" t="s">
        <v>57</v>
      </c>
      <c r="W142">
        <v>2</v>
      </c>
      <c r="X142" t="s">
        <v>47</v>
      </c>
      <c r="Y142">
        <v>5</v>
      </c>
      <c r="Z142" t="s">
        <v>58</v>
      </c>
    </row>
    <row r="143" spans="1:26" x14ac:dyDescent="0.3">
      <c r="A143" t="s">
        <v>360</v>
      </c>
      <c r="B143" s="2">
        <v>45869</v>
      </c>
      <c r="C143" t="s">
        <v>105</v>
      </c>
      <c r="D143" t="s">
        <v>28</v>
      </c>
      <c r="E143" t="s">
        <v>43</v>
      </c>
      <c r="F143">
        <v>60</v>
      </c>
      <c r="G143" t="s">
        <v>90</v>
      </c>
      <c r="H143" t="s">
        <v>31</v>
      </c>
      <c r="I143" t="s">
        <v>90</v>
      </c>
      <c r="J143" t="s">
        <v>201</v>
      </c>
      <c r="K143">
        <v>1</v>
      </c>
      <c r="L143">
        <v>37253</v>
      </c>
      <c r="M143">
        <v>5</v>
      </c>
      <c r="N143">
        <v>1862.65</v>
      </c>
      <c r="O143">
        <v>6370.26</v>
      </c>
      <c r="P143">
        <v>234</v>
      </c>
      <c r="Q143">
        <v>41994.61</v>
      </c>
      <c r="R143" t="s">
        <v>45</v>
      </c>
      <c r="S143" t="s">
        <v>34</v>
      </c>
      <c r="T143" t="s">
        <v>76</v>
      </c>
      <c r="U143" t="s">
        <v>77</v>
      </c>
      <c r="V143" t="s">
        <v>57</v>
      </c>
      <c r="W143">
        <v>4</v>
      </c>
      <c r="X143" t="s">
        <v>38</v>
      </c>
      <c r="Y143">
        <v>1</v>
      </c>
      <c r="Z143" t="s">
        <v>39</v>
      </c>
    </row>
    <row r="144" spans="1:26" x14ac:dyDescent="0.3">
      <c r="A144" t="s">
        <v>361</v>
      </c>
      <c r="B144" s="2">
        <v>45941</v>
      </c>
      <c r="C144" t="s">
        <v>351</v>
      </c>
      <c r="D144" t="s">
        <v>80</v>
      </c>
      <c r="E144" t="s">
        <v>29</v>
      </c>
      <c r="F144">
        <v>24</v>
      </c>
      <c r="G144" t="s">
        <v>74</v>
      </c>
      <c r="H144" t="s">
        <v>31</v>
      </c>
      <c r="I144" t="s">
        <v>74</v>
      </c>
      <c r="J144" t="s">
        <v>112</v>
      </c>
      <c r="K144">
        <v>1</v>
      </c>
      <c r="L144">
        <v>7447</v>
      </c>
      <c r="M144">
        <v>20</v>
      </c>
      <c r="N144">
        <v>1489.4</v>
      </c>
      <c r="O144">
        <v>1072.3699999999999</v>
      </c>
      <c r="P144">
        <v>383</v>
      </c>
      <c r="Q144">
        <v>7412.97</v>
      </c>
      <c r="R144" t="s">
        <v>33</v>
      </c>
      <c r="S144" t="s">
        <v>34</v>
      </c>
      <c r="T144" t="s">
        <v>103</v>
      </c>
      <c r="U144" t="s">
        <v>103</v>
      </c>
      <c r="V144" t="s">
        <v>57</v>
      </c>
      <c r="W144">
        <v>6</v>
      </c>
      <c r="X144" t="s">
        <v>38</v>
      </c>
      <c r="Y144">
        <v>5</v>
      </c>
      <c r="Z144" t="s">
        <v>91</v>
      </c>
    </row>
    <row r="145" spans="1:26" x14ac:dyDescent="0.3">
      <c r="A145" t="s">
        <v>362</v>
      </c>
      <c r="B145" s="2">
        <v>45831</v>
      </c>
      <c r="C145" t="s">
        <v>363</v>
      </c>
      <c r="D145" t="s">
        <v>28</v>
      </c>
      <c r="E145" t="s">
        <v>29</v>
      </c>
      <c r="F145">
        <v>27</v>
      </c>
      <c r="G145" t="s">
        <v>94</v>
      </c>
      <c r="H145" t="s">
        <v>31</v>
      </c>
      <c r="I145" t="s">
        <v>94</v>
      </c>
      <c r="J145" t="s">
        <v>112</v>
      </c>
      <c r="K145">
        <v>3</v>
      </c>
      <c r="L145">
        <v>2465</v>
      </c>
      <c r="M145">
        <v>5</v>
      </c>
      <c r="N145">
        <v>369.75</v>
      </c>
      <c r="O145">
        <v>1264.54</v>
      </c>
      <c r="P145">
        <v>407</v>
      </c>
      <c r="Q145">
        <v>8696.7999999999993</v>
      </c>
      <c r="R145" t="s">
        <v>33</v>
      </c>
      <c r="S145" t="s">
        <v>63</v>
      </c>
      <c r="T145" t="s">
        <v>70</v>
      </c>
      <c r="U145" t="s">
        <v>56</v>
      </c>
      <c r="V145" t="s">
        <v>57</v>
      </c>
      <c r="W145">
        <v>5</v>
      </c>
      <c r="X145" t="s">
        <v>47</v>
      </c>
      <c r="Y145">
        <v>5</v>
      </c>
      <c r="Z145" t="s">
        <v>47</v>
      </c>
    </row>
    <row r="146" spans="1:26" x14ac:dyDescent="0.3">
      <c r="A146" t="s">
        <v>364</v>
      </c>
      <c r="B146" s="2">
        <v>45857</v>
      </c>
      <c r="C146" t="s">
        <v>365</v>
      </c>
      <c r="D146" t="s">
        <v>80</v>
      </c>
      <c r="E146" t="s">
        <v>43</v>
      </c>
      <c r="F146">
        <v>52</v>
      </c>
      <c r="G146" t="s">
        <v>94</v>
      </c>
      <c r="H146" t="s">
        <v>31</v>
      </c>
      <c r="I146" t="s">
        <v>94</v>
      </c>
      <c r="J146" t="s">
        <v>75</v>
      </c>
      <c r="K146">
        <v>2</v>
      </c>
      <c r="L146">
        <v>43125</v>
      </c>
      <c r="M146">
        <v>10</v>
      </c>
      <c r="N146">
        <v>8625</v>
      </c>
      <c r="O146">
        <v>13972.5</v>
      </c>
      <c r="P146">
        <v>153</v>
      </c>
      <c r="Q146">
        <v>91750.5</v>
      </c>
      <c r="R146" t="s">
        <v>33</v>
      </c>
      <c r="S146" t="s">
        <v>63</v>
      </c>
      <c r="T146" t="s">
        <v>95</v>
      </c>
      <c r="U146" t="s">
        <v>96</v>
      </c>
      <c r="V146" t="s">
        <v>57</v>
      </c>
      <c r="W146">
        <v>5</v>
      </c>
      <c r="X146" t="s">
        <v>47</v>
      </c>
      <c r="Y146">
        <v>2</v>
      </c>
      <c r="Z146" t="s">
        <v>47</v>
      </c>
    </row>
    <row r="147" spans="1:26" x14ac:dyDescent="0.3">
      <c r="A147" t="s">
        <v>366</v>
      </c>
      <c r="B147" s="2">
        <v>45786</v>
      </c>
      <c r="C147" t="s">
        <v>367</v>
      </c>
      <c r="D147" t="s">
        <v>73</v>
      </c>
      <c r="E147" t="s">
        <v>43</v>
      </c>
      <c r="F147">
        <v>48</v>
      </c>
      <c r="G147" t="s">
        <v>90</v>
      </c>
      <c r="H147" t="s">
        <v>31</v>
      </c>
      <c r="I147" t="s">
        <v>90</v>
      </c>
      <c r="J147" t="s">
        <v>125</v>
      </c>
      <c r="K147">
        <v>2</v>
      </c>
      <c r="L147">
        <v>25854</v>
      </c>
      <c r="M147">
        <v>15</v>
      </c>
      <c r="N147">
        <v>7756.2</v>
      </c>
      <c r="O147">
        <v>7911.32</v>
      </c>
      <c r="P147">
        <v>26</v>
      </c>
      <c r="Q147">
        <v>51889.120000000003</v>
      </c>
      <c r="R147" t="s">
        <v>54</v>
      </c>
      <c r="S147" t="s">
        <v>63</v>
      </c>
      <c r="T147" t="s">
        <v>70</v>
      </c>
      <c r="U147" t="s">
        <v>56</v>
      </c>
      <c r="V147" t="s">
        <v>57</v>
      </c>
      <c r="W147">
        <v>1</v>
      </c>
      <c r="X147" t="s">
        <v>47</v>
      </c>
      <c r="Y147">
        <v>5</v>
      </c>
      <c r="Z147" t="s">
        <v>58</v>
      </c>
    </row>
    <row r="148" spans="1:26" x14ac:dyDescent="0.3">
      <c r="A148" t="s">
        <v>368</v>
      </c>
      <c r="B148" s="2">
        <v>45939</v>
      </c>
      <c r="C148" t="s">
        <v>369</v>
      </c>
      <c r="D148" t="s">
        <v>80</v>
      </c>
      <c r="E148" t="s">
        <v>43</v>
      </c>
      <c r="F148">
        <v>24</v>
      </c>
      <c r="G148" t="s">
        <v>44</v>
      </c>
      <c r="H148" t="s">
        <v>31</v>
      </c>
      <c r="I148" t="s">
        <v>44</v>
      </c>
      <c r="J148" t="s">
        <v>53</v>
      </c>
      <c r="K148">
        <v>4</v>
      </c>
      <c r="L148">
        <v>24413</v>
      </c>
      <c r="M148">
        <v>0</v>
      </c>
      <c r="N148">
        <v>0</v>
      </c>
      <c r="O148">
        <v>17577.36</v>
      </c>
      <c r="P148">
        <v>0</v>
      </c>
      <c r="Q148">
        <v>115229.36</v>
      </c>
      <c r="R148" t="s">
        <v>54</v>
      </c>
      <c r="S148" t="s">
        <v>63</v>
      </c>
      <c r="T148" t="s">
        <v>35</v>
      </c>
      <c r="U148" t="s">
        <v>36</v>
      </c>
      <c r="V148" t="s">
        <v>37</v>
      </c>
      <c r="W148">
        <v>2</v>
      </c>
      <c r="X148" t="s">
        <v>38</v>
      </c>
      <c r="Y148">
        <v>1</v>
      </c>
      <c r="Z148" t="s">
        <v>91</v>
      </c>
    </row>
    <row r="149" spans="1:26" x14ac:dyDescent="0.3">
      <c r="A149" t="s">
        <v>370</v>
      </c>
      <c r="B149" s="2">
        <v>45947</v>
      </c>
      <c r="C149" t="s">
        <v>371</v>
      </c>
      <c r="D149" t="s">
        <v>111</v>
      </c>
      <c r="E149" t="s">
        <v>43</v>
      </c>
      <c r="F149">
        <v>59</v>
      </c>
      <c r="G149" t="s">
        <v>139</v>
      </c>
      <c r="H149" t="s">
        <v>31</v>
      </c>
      <c r="I149" t="s">
        <v>139</v>
      </c>
      <c r="J149" t="s">
        <v>69</v>
      </c>
      <c r="K149">
        <v>2</v>
      </c>
      <c r="L149">
        <v>8194</v>
      </c>
      <c r="M149">
        <v>5</v>
      </c>
      <c r="N149">
        <v>819.4</v>
      </c>
      <c r="O149">
        <v>2802.35</v>
      </c>
      <c r="P149">
        <v>178</v>
      </c>
      <c r="Q149">
        <v>18548.95</v>
      </c>
      <c r="R149" t="s">
        <v>33</v>
      </c>
      <c r="S149" t="s">
        <v>63</v>
      </c>
      <c r="T149" t="s">
        <v>103</v>
      </c>
      <c r="U149" t="s">
        <v>103</v>
      </c>
      <c r="V149" t="s">
        <v>57</v>
      </c>
      <c r="W149">
        <v>2</v>
      </c>
      <c r="X149" t="s">
        <v>47</v>
      </c>
      <c r="Y149">
        <v>3</v>
      </c>
      <c r="Z149" t="s">
        <v>58</v>
      </c>
    </row>
    <row r="150" spans="1:26" x14ac:dyDescent="0.3">
      <c r="A150" t="s">
        <v>372</v>
      </c>
      <c r="B150" s="2">
        <v>45810</v>
      </c>
      <c r="C150" t="s">
        <v>373</v>
      </c>
      <c r="D150" t="s">
        <v>42</v>
      </c>
      <c r="E150" t="s">
        <v>43</v>
      </c>
      <c r="F150">
        <v>31</v>
      </c>
      <c r="G150" t="s">
        <v>94</v>
      </c>
      <c r="H150" t="s">
        <v>31</v>
      </c>
      <c r="I150" t="s">
        <v>94</v>
      </c>
      <c r="J150" t="s">
        <v>75</v>
      </c>
      <c r="K150">
        <v>2</v>
      </c>
      <c r="L150">
        <v>23798</v>
      </c>
      <c r="M150">
        <v>5</v>
      </c>
      <c r="N150">
        <v>2379.8000000000002</v>
      </c>
      <c r="O150">
        <v>8138.92</v>
      </c>
      <c r="P150">
        <v>62</v>
      </c>
      <c r="Q150">
        <v>53417.120000000003</v>
      </c>
      <c r="R150" t="s">
        <v>45</v>
      </c>
      <c r="S150" t="s">
        <v>63</v>
      </c>
      <c r="T150" t="s">
        <v>46</v>
      </c>
      <c r="U150" t="s">
        <v>36</v>
      </c>
      <c r="V150" t="s">
        <v>37</v>
      </c>
      <c r="W150">
        <v>2</v>
      </c>
      <c r="X150" t="s">
        <v>47</v>
      </c>
      <c r="Y150">
        <v>5</v>
      </c>
      <c r="Z150" t="s">
        <v>58</v>
      </c>
    </row>
    <row r="151" spans="1:26" x14ac:dyDescent="0.3">
      <c r="A151" t="s">
        <v>374</v>
      </c>
      <c r="B151" s="2">
        <v>45903</v>
      </c>
      <c r="C151" t="s">
        <v>375</v>
      </c>
      <c r="D151" t="s">
        <v>61</v>
      </c>
      <c r="E151" t="s">
        <v>29</v>
      </c>
      <c r="F151">
        <v>50</v>
      </c>
      <c r="G151" t="s">
        <v>51</v>
      </c>
      <c r="H151" t="s">
        <v>52</v>
      </c>
      <c r="I151" t="s">
        <v>51</v>
      </c>
      <c r="J151" t="s">
        <v>62</v>
      </c>
      <c r="K151">
        <v>1</v>
      </c>
      <c r="L151">
        <v>26351</v>
      </c>
      <c r="M151">
        <v>5</v>
      </c>
      <c r="N151">
        <v>1317.55</v>
      </c>
      <c r="O151">
        <v>4506.0200000000004</v>
      </c>
      <c r="P151">
        <v>205</v>
      </c>
      <c r="Q151">
        <v>29744.47</v>
      </c>
      <c r="R151" t="s">
        <v>45</v>
      </c>
      <c r="S151" t="s">
        <v>63</v>
      </c>
      <c r="T151" t="s">
        <v>103</v>
      </c>
      <c r="U151" t="s">
        <v>103</v>
      </c>
      <c r="V151" t="s">
        <v>57</v>
      </c>
      <c r="W151">
        <v>9</v>
      </c>
      <c r="X151" t="s">
        <v>47</v>
      </c>
      <c r="Y151">
        <v>1</v>
      </c>
      <c r="Z151" t="s">
        <v>39</v>
      </c>
    </row>
    <row r="152" spans="1:26" x14ac:dyDescent="0.3">
      <c r="A152" t="s">
        <v>376</v>
      </c>
      <c r="B152" s="2">
        <v>45890</v>
      </c>
      <c r="C152" t="s">
        <v>377</v>
      </c>
      <c r="D152" t="s">
        <v>42</v>
      </c>
      <c r="E152" t="s">
        <v>29</v>
      </c>
      <c r="F152">
        <v>40</v>
      </c>
      <c r="G152" t="s">
        <v>134</v>
      </c>
      <c r="H152" t="s">
        <v>31</v>
      </c>
      <c r="I152" t="s">
        <v>134</v>
      </c>
      <c r="J152" t="s">
        <v>75</v>
      </c>
      <c r="K152">
        <v>2</v>
      </c>
      <c r="L152">
        <v>32644</v>
      </c>
      <c r="M152">
        <v>0</v>
      </c>
      <c r="N152">
        <v>0</v>
      </c>
      <c r="O152">
        <v>11751.84</v>
      </c>
      <c r="P152">
        <v>413</v>
      </c>
      <c r="Q152">
        <v>77452.84</v>
      </c>
      <c r="R152" t="s">
        <v>83</v>
      </c>
      <c r="S152" t="s">
        <v>34</v>
      </c>
      <c r="T152" t="s">
        <v>46</v>
      </c>
      <c r="U152" t="s">
        <v>36</v>
      </c>
      <c r="V152" t="s">
        <v>37</v>
      </c>
      <c r="W152">
        <v>7</v>
      </c>
      <c r="X152" t="s">
        <v>38</v>
      </c>
      <c r="Y152">
        <v>4</v>
      </c>
      <c r="Z152" t="s">
        <v>58</v>
      </c>
    </row>
    <row r="153" spans="1:26" x14ac:dyDescent="0.3">
      <c r="A153" t="s">
        <v>378</v>
      </c>
      <c r="B153" s="2">
        <v>45772</v>
      </c>
      <c r="C153" t="s">
        <v>379</v>
      </c>
      <c r="D153" t="s">
        <v>66</v>
      </c>
      <c r="E153" t="s">
        <v>29</v>
      </c>
      <c r="F153">
        <v>34</v>
      </c>
      <c r="G153" t="s">
        <v>134</v>
      </c>
      <c r="H153" t="s">
        <v>31</v>
      </c>
      <c r="I153" t="s">
        <v>134</v>
      </c>
      <c r="J153" t="s">
        <v>32</v>
      </c>
      <c r="K153">
        <v>5</v>
      </c>
      <c r="L153">
        <v>13792</v>
      </c>
      <c r="M153">
        <v>0</v>
      </c>
      <c r="N153">
        <v>0</v>
      </c>
      <c r="O153">
        <v>12412.8</v>
      </c>
      <c r="P153">
        <v>437</v>
      </c>
      <c r="Q153">
        <v>81809.8</v>
      </c>
      <c r="R153" t="s">
        <v>54</v>
      </c>
      <c r="S153" t="s">
        <v>63</v>
      </c>
      <c r="T153" t="s">
        <v>95</v>
      </c>
      <c r="U153" t="s">
        <v>96</v>
      </c>
      <c r="V153" t="s">
        <v>57</v>
      </c>
      <c r="W153">
        <v>1</v>
      </c>
      <c r="X153" t="s">
        <v>38</v>
      </c>
      <c r="Y153">
        <v>4</v>
      </c>
      <c r="Z153" t="s">
        <v>39</v>
      </c>
    </row>
    <row r="154" spans="1:26" x14ac:dyDescent="0.3">
      <c r="A154" t="s">
        <v>380</v>
      </c>
      <c r="B154" s="2">
        <v>45828</v>
      </c>
      <c r="C154" t="s">
        <v>257</v>
      </c>
      <c r="D154" t="s">
        <v>89</v>
      </c>
      <c r="E154" t="s">
        <v>43</v>
      </c>
      <c r="F154">
        <v>31</v>
      </c>
      <c r="G154" t="s">
        <v>74</v>
      </c>
      <c r="H154" t="s">
        <v>31</v>
      </c>
      <c r="I154" t="s">
        <v>74</v>
      </c>
      <c r="J154" t="s">
        <v>125</v>
      </c>
      <c r="K154">
        <v>5</v>
      </c>
      <c r="L154">
        <v>12497</v>
      </c>
      <c r="M154">
        <v>15</v>
      </c>
      <c r="N154">
        <v>9372.75</v>
      </c>
      <c r="O154">
        <v>9560.2000000000007</v>
      </c>
      <c r="P154">
        <v>71</v>
      </c>
      <c r="Q154">
        <v>62743.46</v>
      </c>
      <c r="R154" t="s">
        <v>33</v>
      </c>
      <c r="S154" t="s">
        <v>63</v>
      </c>
      <c r="T154" t="s">
        <v>95</v>
      </c>
      <c r="U154" t="s">
        <v>96</v>
      </c>
      <c r="V154" t="s">
        <v>57</v>
      </c>
      <c r="W154">
        <v>10</v>
      </c>
      <c r="X154" t="s">
        <v>47</v>
      </c>
      <c r="Y154">
        <v>5</v>
      </c>
      <c r="Z154" t="s">
        <v>39</v>
      </c>
    </row>
    <row r="155" spans="1:26" x14ac:dyDescent="0.3">
      <c r="A155" t="s">
        <v>381</v>
      </c>
      <c r="B155" s="2">
        <v>45939</v>
      </c>
      <c r="C155" t="s">
        <v>382</v>
      </c>
      <c r="D155" t="s">
        <v>108</v>
      </c>
      <c r="E155" t="s">
        <v>29</v>
      </c>
      <c r="F155">
        <v>51</v>
      </c>
      <c r="G155" t="s">
        <v>51</v>
      </c>
      <c r="H155" t="s">
        <v>52</v>
      </c>
      <c r="I155" t="s">
        <v>51</v>
      </c>
      <c r="J155" t="s">
        <v>53</v>
      </c>
      <c r="K155">
        <v>5</v>
      </c>
      <c r="L155">
        <v>46090</v>
      </c>
      <c r="M155">
        <v>5</v>
      </c>
      <c r="N155">
        <v>11522.5</v>
      </c>
      <c r="O155">
        <v>39406.949999999997</v>
      </c>
      <c r="P155">
        <v>212</v>
      </c>
      <c r="Q155">
        <v>258546.45</v>
      </c>
      <c r="R155" t="s">
        <v>54</v>
      </c>
      <c r="S155" t="s">
        <v>63</v>
      </c>
      <c r="T155" t="s">
        <v>84</v>
      </c>
      <c r="U155" t="s">
        <v>85</v>
      </c>
      <c r="V155" t="s">
        <v>86</v>
      </c>
      <c r="W155">
        <v>6</v>
      </c>
      <c r="X155" t="s">
        <v>38</v>
      </c>
      <c r="Y155">
        <v>2</v>
      </c>
      <c r="Z155" t="s">
        <v>58</v>
      </c>
    </row>
    <row r="156" spans="1:26" x14ac:dyDescent="0.3">
      <c r="A156" t="s">
        <v>383</v>
      </c>
      <c r="B156" s="2">
        <v>45974</v>
      </c>
      <c r="C156" t="s">
        <v>384</v>
      </c>
      <c r="D156" t="s">
        <v>42</v>
      </c>
      <c r="E156" t="s">
        <v>29</v>
      </c>
      <c r="F156">
        <v>34</v>
      </c>
      <c r="G156" t="s">
        <v>94</v>
      </c>
      <c r="H156" t="s">
        <v>31</v>
      </c>
      <c r="I156" t="s">
        <v>94</v>
      </c>
      <c r="J156" t="s">
        <v>201</v>
      </c>
      <c r="K156">
        <v>5</v>
      </c>
      <c r="L156">
        <v>5689</v>
      </c>
      <c r="M156">
        <v>10</v>
      </c>
      <c r="N156">
        <v>2844.5</v>
      </c>
      <c r="O156">
        <v>4608.09</v>
      </c>
      <c r="P156">
        <v>96</v>
      </c>
      <c r="Q156">
        <v>30304.59</v>
      </c>
      <c r="R156" t="s">
        <v>54</v>
      </c>
      <c r="S156" t="s">
        <v>34</v>
      </c>
      <c r="T156" t="s">
        <v>70</v>
      </c>
      <c r="U156" t="s">
        <v>56</v>
      </c>
      <c r="V156" t="s">
        <v>57</v>
      </c>
      <c r="W156">
        <v>6</v>
      </c>
      <c r="X156" t="s">
        <v>47</v>
      </c>
      <c r="Y156">
        <v>1</v>
      </c>
      <c r="Z156" t="s">
        <v>58</v>
      </c>
    </row>
    <row r="157" spans="1:26" x14ac:dyDescent="0.3">
      <c r="A157" t="s">
        <v>385</v>
      </c>
      <c r="B157" s="2">
        <v>46120</v>
      </c>
      <c r="C157" t="s">
        <v>386</v>
      </c>
      <c r="D157" t="s">
        <v>73</v>
      </c>
      <c r="E157" t="s">
        <v>29</v>
      </c>
      <c r="F157">
        <v>39</v>
      </c>
      <c r="G157" t="s">
        <v>51</v>
      </c>
      <c r="H157" t="s">
        <v>52</v>
      </c>
      <c r="I157" t="s">
        <v>51</v>
      </c>
      <c r="J157" t="s">
        <v>75</v>
      </c>
      <c r="K157">
        <v>1</v>
      </c>
      <c r="L157">
        <v>37843</v>
      </c>
      <c r="M157">
        <v>0</v>
      </c>
      <c r="N157">
        <v>0</v>
      </c>
      <c r="O157">
        <v>6811.74</v>
      </c>
      <c r="P157">
        <v>134</v>
      </c>
      <c r="Q157">
        <v>44788.74</v>
      </c>
      <c r="R157" t="s">
        <v>45</v>
      </c>
      <c r="S157" t="s">
        <v>34</v>
      </c>
      <c r="T157" t="s">
        <v>84</v>
      </c>
      <c r="U157" t="s">
        <v>85</v>
      </c>
      <c r="V157" t="s">
        <v>86</v>
      </c>
      <c r="W157">
        <v>8</v>
      </c>
      <c r="X157" t="s">
        <v>38</v>
      </c>
      <c r="Y157">
        <v>3</v>
      </c>
      <c r="Z157" t="s">
        <v>91</v>
      </c>
    </row>
    <row r="158" spans="1:26" x14ac:dyDescent="0.3">
      <c r="A158" t="s">
        <v>387</v>
      </c>
      <c r="B158" s="2">
        <v>46064</v>
      </c>
      <c r="C158" t="s">
        <v>388</v>
      </c>
      <c r="D158" t="s">
        <v>42</v>
      </c>
      <c r="E158" t="s">
        <v>43</v>
      </c>
      <c r="F158">
        <v>26</v>
      </c>
      <c r="G158" t="s">
        <v>139</v>
      </c>
      <c r="H158" t="s">
        <v>31</v>
      </c>
      <c r="I158" t="s">
        <v>139</v>
      </c>
      <c r="J158" t="s">
        <v>53</v>
      </c>
      <c r="K158">
        <v>2</v>
      </c>
      <c r="L158">
        <v>11265</v>
      </c>
      <c r="M158">
        <v>20</v>
      </c>
      <c r="N158">
        <v>4506</v>
      </c>
      <c r="O158">
        <v>3244.32</v>
      </c>
      <c r="P158">
        <v>220</v>
      </c>
      <c r="Q158">
        <v>21488.32</v>
      </c>
      <c r="R158" t="s">
        <v>54</v>
      </c>
      <c r="S158" t="s">
        <v>63</v>
      </c>
      <c r="T158" t="s">
        <v>84</v>
      </c>
      <c r="U158" t="s">
        <v>85</v>
      </c>
      <c r="V158" t="s">
        <v>86</v>
      </c>
      <c r="W158">
        <v>4</v>
      </c>
      <c r="X158" t="s">
        <v>47</v>
      </c>
      <c r="Y158">
        <v>2</v>
      </c>
      <c r="Z158" t="s">
        <v>58</v>
      </c>
    </row>
    <row r="159" spans="1:26" x14ac:dyDescent="0.3">
      <c r="A159" t="s">
        <v>389</v>
      </c>
      <c r="B159" s="2">
        <v>45853</v>
      </c>
      <c r="C159" t="s">
        <v>390</v>
      </c>
      <c r="D159" t="s">
        <v>42</v>
      </c>
      <c r="E159" t="s">
        <v>29</v>
      </c>
      <c r="F159">
        <v>28</v>
      </c>
      <c r="G159" t="s">
        <v>74</v>
      </c>
      <c r="H159" t="s">
        <v>31</v>
      </c>
      <c r="I159" t="s">
        <v>74</v>
      </c>
      <c r="J159" t="s">
        <v>75</v>
      </c>
      <c r="K159">
        <v>2</v>
      </c>
      <c r="L159">
        <v>3628</v>
      </c>
      <c r="M159">
        <v>20</v>
      </c>
      <c r="N159">
        <v>1451.2</v>
      </c>
      <c r="O159">
        <v>1044.8599999999999</v>
      </c>
      <c r="P159">
        <v>45</v>
      </c>
      <c r="Q159">
        <v>6894.66</v>
      </c>
      <c r="R159" t="s">
        <v>83</v>
      </c>
      <c r="S159" t="s">
        <v>34</v>
      </c>
      <c r="T159" t="s">
        <v>103</v>
      </c>
      <c r="U159" t="s">
        <v>103</v>
      </c>
      <c r="V159" t="s">
        <v>57</v>
      </c>
      <c r="W159">
        <v>2</v>
      </c>
      <c r="X159" t="s">
        <v>47</v>
      </c>
      <c r="Y159">
        <v>1</v>
      </c>
      <c r="Z159" t="s">
        <v>39</v>
      </c>
    </row>
    <row r="160" spans="1:26" x14ac:dyDescent="0.3">
      <c r="A160" t="s">
        <v>391</v>
      </c>
      <c r="B160" s="2">
        <v>46043</v>
      </c>
      <c r="C160" t="s">
        <v>392</v>
      </c>
      <c r="D160" t="s">
        <v>80</v>
      </c>
      <c r="E160" t="s">
        <v>43</v>
      </c>
      <c r="F160">
        <v>35</v>
      </c>
      <c r="G160" t="s">
        <v>74</v>
      </c>
      <c r="H160" t="s">
        <v>31</v>
      </c>
      <c r="I160" t="s">
        <v>74</v>
      </c>
      <c r="J160" t="s">
        <v>62</v>
      </c>
      <c r="K160">
        <v>2</v>
      </c>
      <c r="L160">
        <v>7118</v>
      </c>
      <c r="M160">
        <v>10</v>
      </c>
      <c r="N160">
        <v>1423.6</v>
      </c>
      <c r="O160">
        <v>2306.23</v>
      </c>
      <c r="P160">
        <v>140</v>
      </c>
      <c r="Q160">
        <v>15258.63</v>
      </c>
      <c r="R160" t="s">
        <v>83</v>
      </c>
      <c r="S160" t="s">
        <v>63</v>
      </c>
      <c r="T160" t="s">
        <v>46</v>
      </c>
      <c r="U160" t="s">
        <v>36</v>
      </c>
      <c r="V160" t="s">
        <v>37</v>
      </c>
      <c r="W160">
        <v>10</v>
      </c>
      <c r="X160" t="s">
        <v>38</v>
      </c>
      <c r="Y160">
        <v>3</v>
      </c>
      <c r="Z160" t="s">
        <v>91</v>
      </c>
    </row>
    <row r="161" spans="1:26" x14ac:dyDescent="0.3">
      <c r="A161" t="s">
        <v>393</v>
      </c>
      <c r="B161" s="2">
        <v>45812</v>
      </c>
      <c r="C161" t="s">
        <v>127</v>
      </c>
      <c r="D161" t="s">
        <v>108</v>
      </c>
      <c r="E161" t="s">
        <v>43</v>
      </c>
      <c r="F161">
        <v>48</v>
      </c>
      <c r="G161" t="s">
        <v>94</v>
      </c>
      <c r="H161" t="s">
        <v>31</v>
      </c>
      <c r="I161" t="s">
        <v>94</v>
      </c>
      <c r="J161" t="s">
        <v>62</v>
      </c>
      <c r="K161">
        <v>2</v>
      </c>
      <c r="L161">
        <v>31726</v>
      </c>
      <c r="M161">
        <v>15</v>
      </c>
      <c r="N161">
        <v>9517.7999999999993</v>
      </c>
      <c r="O161">
        <v>9708.16</v>
      </c>
      <c r="P161">
        <v>13</v>
      </c>
      <c r="Q161">
        <v>63655.360000000001</v>
      </c>
      <c r="R161" t="s">
        <v>83</v>
      </c>
      <c r="S161" t="s">
        <v>63</v>
      </c>
      <c r="T161" t="s">
        <v>35</v>
      </c>
      <c r="U161" t="s">
        <v>36</v>
      </c>
      <c r="V161" t="s">
        <v>37</v>
      </c>
      <c r="W161">
        <v>1</v>
      </c>
      <c r="X161" t="s">
        <v>38</v>
      </c>
      <c r="Y161">
        <v>5</v>
      </c>
      <c r="Z161" t="s">
        <v>58</v>
      </c>
    </row>
    <row r="162" spans="1:26" x14ac:dyDescent="0.3">
      <c r="A162" t="s">
        <v>394</v>
      </c>
      <c r="B162" s="2">
        <v>45935</v>
      </c>
      <c r="C162" t="s">
        <v>395</v>
      </c>
      <c r="D162" t="s">
        <v>89</v>
      </c>
      <c r="E162" t="s">
        <v>29</v>
      </c>
      <c r="F162">
        <v>24</v>
      </c>
      <c r="G162" t="s">
        <v>139</v>
      </c>
      <c r="H162" t="s">
        <v>31</v>
      </c>
      <c r="I162" t="s">
        <v>139</v>
      </c>
      <c r="J162" t="s">
        <v>69</v>
      </c>
      <c r="K162">
        <v>4</v>
      </c>
      <c r="L162">
        <v>42298</v>
      </c>
      <c r="M162">
        <v>20</v>
      </c>
      <c r="N162">
        <v>33838.400000000001</v>
      </c>
      <c r="O162">
        <v>24363.65</v>
      </c>
      <c r="P162">
        <v>262</v>
      </c>
      <c r="Q162">
        <v>159979.25</v>
      </c>
      <c r="R162" t="s">
        <v>45</v>
      </c>
      <c r="S162" t="s">
        <v>63</v>
      </c>
      <c r="T162" t="s">
        <v>70</v>
      </c>
      <c r="U162" t="s">
        <v>56</v>
      </c>
      <c r="V162" t="s">
        <v>57</v>
      </c>
      <c r="W162">
        <v>8</v>
      </c>
      <c r="X162" t="s">
        <v>38</v>
      </c>
      <c r="Y162">
        <v>5</v>
      </c>
      <c r="Z162" t="s">
        <v>39</v>
      </c>
    </row>
    <row r="163" spans="1:26" x14ac:dyDescent="0.3">
      <c r="A163" t="s">
        <v>396</v>
      </c>
      <c r="B163" s="2">
        <v>45949</v>
      </c>
      <c r="C163" t="s">
        <v>397</v>
      </c>
      <c r="D163" t="s">
        <v>61</v>
      </c>
      <c r="E163" t="s">
        <v>43</v>
      </c>
      <c r="F163">
        <v>30</v>
      </c>
      <c r="G163" t="s">
        <v>44</v>
      </c>
      <c r="H163" t="s">
        <v>31</v>
      </c>
      <c r="I163" t="s">
        <v>44</v>
      </c>
      <c r="J163" t="s">
        <v>112</v>
      </c>
      <c r="K163">
        <v>4</v>
      </c>
      <c r="L163">
        <v>43897</v>
      </c>
      <c r="M163">
        <v>15</v>
      </c>
      <c r="N163">
        <v>26338.2</v>
      </c>
      <c r="O163">
        <v>26864.959999999999</v>
      </c>
      <c r="P163">
        <v>108</v>
      </c>
      <c r="Q163">
        <v>176222.76</v>
      </c>
      <c r="R163" t="s">
        <v>45</v>
      </c>
      <c r="S163" t="s">
        <v>63</v>
      </c>
      <c r="T163" t="s">
        <v>70</v>
      </c>
      <c r="U163" t="s">
        <v>56</v>
      </c>
      <c r="V163" t="s">
        <v>57</v>
      </c>
      <c r="W163">
        <v>8</v>
      </c>
      <c r="X163" t="s">
        <v>38</v>
      </c>
      <c r="Y163">
        <v>3</v>
      </c>
      <c r="Z163" t="s">
        <v>58</v>
      </c>
    </row>
    <row r="164" spans="1:26" x14ac:dyDescent="0.3">
      <c r="A164" t="s">
        <v>398</v>
      </c>
      <c r="B164" s="2">
        <v>45923</v>
      </c>
      <c r="C164" t="s">
        <v>351</v>
      </c>
      <c r="D164" t="s">
        <v>28</v>
      </c>
      <c r="E164" t="s">
        <v>29</v>
      </c>
      <c r="F164">
        <v>19</v>
      </c>
      <c r="G164" t="s">
        <v>99</v>
      </c>
      <c r="H164" t="s">
        <v>52</v>
      </c>
      <c r="I164" t="s">
        <v>99</v>
      </c>
      <c r="J164" t="s">
        <v>112</v>
      </c>
      <c r="K164">
        <v>2</v>
      </c>
      <c r="L164">
        <v>48486</v>
      </c>
      <c r="M164">
        <v>0</v>
      </c>
      <c r="N164">
        <v>0</v>
      </c>
      <c r="O164">
        <v>17454.96</v>
      </c>
      <c r="P164">
        <v>267</v>
      </c>
      <c r="Q164">
        <v>114693.96</v>
      </c>
      <c r="R164" t="s">
        <v>45</v>
      </c>
      <c r="S164" t="s">
        <v>34</v>
      </c>
      <c r="T164" t="s">
        <v>84</v>
      </c>
      <c r="U164" t="s">
        <v>85</v>
      </c>
      <c r="V164" t="s">
        <v>86</v>
      </c>
      <c r="W164">
        <v>1</v>
      </c>
      <c r="X164" t="s">
        <v>38</v>
      </c>
      <c r="Y164">
        <v>5</v>
      </c>
      <c r="Z164" t="s">
        <v>39</v>
      </c>
    </row>
    <row r="165" spans="1:26" x14ac:dyDescent="0.3">
      <c r="A165" t="s">
        <v>399</v>
      </c>
      <c r="B165" s="2">
        <v>45860</v>
      </c>
      <c r="C165" t="s">
        <v>118</v>
      </c>
      <c r="D165" t="s">
        <v>80</v>
      </c>
      <c r="E165" t="s">
        <v>29</v>
      </c>
      <c r="F165">
        <v>37</v>
      </c>
      <c r="G165" t="s">
        <v>99</v>
      </c>
      <c r="H165" t="s">
        <v>52</v>
      </c>
      <c r="I165" t="s">
        <v>99</v>
      </c>
      <c r="J165" t="s">
        <v>75</v>
      </c>
      <c r="K165">
        <v>3</v>
      </c>
      <c r="L165">
        <v>11761</v>
      </c>
      <c r="M165">
        <v>15</v>
      </c>
      <c r="N165">
        <v>5292.45</v>
      </c>
      <c r="O165">
        <v>5398.3</v>
      </c>
      <c r="P165">
        <v>14</v>
      </c>
      <c r="Q165">
        <v>35402.85</v>
      </c>
      <c r="R165" t="s">
        <v>33</v>
      </c>
      <c r="S165" t="s">
        <v>63</v>
      </c>
      <c r="T165" t="s">
        <v>55</v>
      </c>
      <c r="U165" t="s">
        <v>56</v>
      </c>
      <c r="V165" t="s">
        <v>57</v>
      </c>
      <c r="W165">
        <v>5</v>
      </c>
      <c r="X165" t="s">
        <v>38</v>
      </c>
      <c r="Y165">
        <v>1</v>
      </c>
      <c r="Z165" t="s">
        <v>39</v>
      </c>
    </row>
    <row r="166" spans="1:26" x14ac:dyDescent="0.3">
      <c r="A166" t="s">
        <v>400</v>
      </c>
      <c r="B166" s="2">
        <v>46001</v>
      </c>
      <c r="C166" t="s">
        <v>401</v>
      </c>
      <c r="D166" t="s">
        <v>73</v>
      </c>
      <c r="E166" t="s">
        <v>43</v>
      </c>
      <c r="F166">
        <v>19</v>
      </c>
      <c r="G166" t="s">
        <v>90</v>
      </c>
      <c r="H166" t="s">
        <v>31</v>
      </c>
      <c r="I166" t="s">
        <v>90</v>
      </c>
      <c r="J166" t="s">
        <v>102</v>
      </c>
      <c r="K166">
        <v>1</v>
      </c>
      <c r="L166">
        <v>34466</v>
      </c>
      <c r="M166">
        <v>5</v>
      </c>
      <c r="N166">
        <v>1723.3</v>
      </c>
      <c r="O166">
        <v>5893.69</v>
      </c>
      <c r="P166">
        <v>50</v>
      </c>
      <c r="Q166">
        <v>38686.39</v>
      </c>
      <c r="R166" t="s">
        <v>83</v>
      </c>
      <c r="S166" t="s">
        <v>34</v>
      </c>
      <c r="T166" t="s">
        <v>95</v>
      </c>
      <c r="U166" t="s">
        <v>96</v>
      </c>
      <c r="V166" t="s">
        <v>57</v>
      </c>
      <c r="W166">
        <v>1</v>
      </c>
      <c r="X166" t="s">
        <v>38</v>
      </c>
      <c r="Y166">
        <v>3</v>
      </c>
      <c r="Z166" t="s">
        <v>39</v>
      </c>
    </row>
    <row r="167" spans="1:26" x14ac:dyDescent="0.3">
      <c r="A167" t="s">
        <v>402</v>
      </c>
      <c r="B167" s="2">
        <v>45947</v>
      </c>
      <c r="C167" t="s">
        <v>384</v>
      </c>
      <c r="D167" t="s">
        <v>66</v>
      </c>
      <c r="E167" t="s">
        <v>29</v>
      </c>
      <c r="F167">
        <v>57</v>
      </c>
      <c r="G167" t="s">
        <v>99</v>
      </c>
      <c r="H167" t="s">
        <v>52</v>
      </c>
      <c r="I167" t="s">
        <v>99</v>
      </c>
      <c r="J167" t="s">
        <v>32</v>
      </c>
      <c r="K167">
        <v>3</v>
      </c>
      <c r="L167">
        <v>42623</v>
      </c>
      <c r="M167">
        <v>20</v>
      </c>
      <c r="N167">
        <v>25573.8</v>
      </c>
      <c r="O167">
        <v>18413.14</v>
      </c>
      <c r="P167">
        <v>20</v>
      </c>
      <c r="Q167">
        <v>120728.34</v>
      </c>
      <c r="R167" t="s">
        <v>45</v>
      </c>
      <c r="S167" t="s">
        <v>63</v>
      </c>
      <c r="T167" t="s">
        <v>95</v>
      </c>
      <c r="U167" t="s">
        <v>96</v>
      </c>
      <c r="V167" t="s">
        <v>57</v>
      </c>
      <c r="W167">
        <v>1</v>
      </c>
      <c r="X167" t="s">
        <v>47</v>
      </c>
      <c r="Y167">
        <v>1</v>
      </c>
      <c r="Z167" t="s">
        <v>91</v>
      </c>
    </row>
    <row r="168" spans="1:26" x14ac:dyDescent="0.3">
      <c r="A168" t="s">
        <v>403</v>
      </c>
      <c r="B168" s="2">
        <v>46059</v>
      </c>
      <c r="C168" t="s">
        <v>404</v>
      </c>
      <c r="D168" t="s">
        <v>89</v>
      </c>
      <c r="E168" t="s">
        <v>29</v>
      </c>
      <c r="F168">
        <v>45</v>
      </c>
      <c r="G168" t="s">
        <v>51</v>
      </c>
      <c r="H168" t="s">
        <v>52</v>
      </c>
      <c r="I168" t="s">
        <v>51</v>
      </c>
      <c r="J168" t="s">
        <v>150</v>
      </c>
      <c r="K168">
        <v>2</v>
      </c>
      <c r="L168">
        <v>35830</v>
      </c>
      <c r="M168">
        <v>10</v>
      </c>
      <c r="N168">
        <v>7166</v>
      </c>
      <c r="O168">
        <v>11608.92</v>
      </c>
      <c r="P168">
        <v>133</v>
      </c>
      <c r="Q168">
        <v>76235.92</v>
      </c>
      <c r="R168" t="s">
        <v>54</v>
      </c>
      <c r="S168" t="s">
        <v>34</v>
      </c>
      <c r="T168" t="s">
        <v>55</v>
      </c>
      <c r="U168" t="s">
        <v>56</v>
      </c>
      <c r="V168" t="s">
        <v>57</v>
      </c>
      <c r="W168">
        <v>8</v>
      </c>
      <c r="X168" t="s">
        <v>47</v>
      </c>
      <c r="Y168">
        <v>1</v>
      </c>
      <c r="Z168" t="s">
        <v>39</v>
      </c>
    </row>
    <row r="169" spans="1:26" x14ac:dyDescent="0.3">
      <c r="A169" t="s">
        <v>405</v>
      </c>
      <c r="B169" s="2">
        <v>45837</v>
      </c>
      <c r="C169" t="s">
        <v>406</v>
      </c>
      <c r="D169" t="s">
        <v>108</v>
      </c>
      <c r="E169" t="s">
        <v>29</v>
      </c>
      <c r="F169">
        <v>37</v>
      </c>
      <c r="G169" t="s">
        <v>99</v>
      </c>
      <c r="H169" t="s">
        <v>52</v>
      </c>
      <c r="I169" t="s">
        <v>99</v>
      </c>
      <c r="J169" t="s">
        <v>32</v>
      </c>
      <c r="K169">
        <v>1</v>
      </c>
      <c r="L169">
        <v>40523</v>
      </c>
      <c r="M169">
        <v>0</v>
      </c>
      <c r="N169">
        <v>0</v>
      </c>
      <c r="O169">
        <v>7294.14</v>
      </c>
      <c r="P169">
        <v>302</v>
      </c>
      <c r="Q169">
        <v>48119.14</v>
      </c>
      <c r="R169" t="s">
        <v>83</v>
      </c>
      <c r="S169" t="s">
        <v>63</v>
      </c>
      <c r="T169" t="s">
        <v>70</v>
      </c>
      <c r="U169" t="s">
        <v>56</v>
      </c>
      <c r="V169" t="s">
        <v>57</v>
      </c>
      <c r="W169">
        <v>9</v>
      </c>
      <c r="X169" t="s">
        <v>38</v>
      </c>
      <c r="Y169">
        <v>5</v>
      </c>
      <c r="Z169" t="s">
        <v>47</v>
      </c>
    </row>
    <row r="170" spans="1:26" x14ac:dyDescent="0.3">
      <c r="A170" t="s">
        <v>407</v>
      </c>
      <c r="B170" s="2">
        <v>46085</v>
      </c>
      <c r="C170" t="s">
        <v>408</v>
      </c>
      <c r="D170" t="s">
        <v>80</v>
      </c>
      <c r="E170" t="s">
        <v>43</v>
      </c>
      <c r="F170">
        <v>24</v>
      </c>
      <c r="G170" t="s">
        <v>44</v>
      </c>
      <c r="H170" t="s">
        <v>31</v>
      </c>
      <c r="I170" t="s">
        <v>44</v>
      </c>
      <c r="J170" t="s">
        <v>201</v>
      </c>
      <c r="K170">
        <v>4</v>
      </c>
      <c r="L170">
        <v>11352</v>
      </c>
      <c r="M170">
        <v>0</v>
      </c>
      <c r="N170">
        <v>0</v>
      </c>
      <c r="O170">
        <v>8173.44</v>
      </c>
      <c r="P170">
        <v>161</v>
      </c>
      <c r="Q170">
        <v>53742.44</v>
      </c>
      <c r="R170" t="s">
        <v>45</v>
      </c>
      <c r="S170" t="s">
        <v>34</v>
      </c>
      <c r="T170" t="s">
        <v>35</v>
      </c>
      <c r="U170" t="s">
        <v>36</v>
      </c>
      <c r="V170" t="s">
        <v>37</v>
      </c>
      <c r="W170">
        <v>6</v>
      </c>
      <c r="X170" t="s">
        <v>38</v>
      </c>
      <c r="Y170">
        <v>1</v>
      </c>
      <c r="Z170" t="s">
        <v>58</v>
      </c>
    </row>
    <row r="171" spans="1:26" x14ac:dyDescent="0.3">
      <c r="A171" t="s">
        <v>409</v>
      </c>
      <c r="B171" s="2">
        <v>45956</v>
      </c>
      <c r="C171" t="s">
        <v>410</v>
      </c>
      <c r="D171" t="s">
        <v>28</v>
      </c>
      <c r="E171" t="s">
        <v>43</v>
      </c>
      <c r="F171">
        <v>18</v>
      </c>
      <c r="G171" t="s">
        <v>67</v>
      </c>
      <c r="H171" t="s">
        <v>68</v>
      </c>
      <c r="I171" t="s">
        <v>67</v>
      </c>
      <c r="J171" t="s">
        <v>32</v>
      </c>
      <c r="K171">
        <v>4</v>
      </c>
      <c r="L171">
        <v>42955</v>
      </c>
      <c r="M171">
        <v>0</v>
      </c>
      <c r="N171">
        <v>0</v>
      </c>
      <c r="O171">
        <v>30927.599999999999</v>
      </c>
      <c r="P171">
        <v>41</v>
      </c>
      <c r="Q171">
        <v>202788.6</v>
      </c>
      <c r="R171" t="s">
        <v>45</v>
      </c>
      <c r="S171" t="s">
        <v>63</v>
      </c>
      <c r="T171" t="s">
        <v>46</v>
      </c>
      <c r="U171" t="s">
        <v>36</v>
      </c>
      <c r="V171" t="s">
        <v>37</v>
      </c>
      <c r="W171">
        <v>9</v>
      </c>
      <c r="X171" t="s">
        <v>38</v>
      </c>
      <c r="Y171">
        <v>3</v>
      </c>
      <c r="Z171" t="s">
        <v>47</v>
      </c>
    </row>
    <row r="172" spans="1:26" x14ac:dyDescent="0.3">
      <c r="A172" t="s">
        <v>411</v>
      </c>
      <c r="B172" s="2">
        <v>45931</v>
      </c>
      <c r="C172" t="s">
        <v>412</v>
      </c>
      <c r="D172" t="s">
        <v>108</v>
      </c>
      <c r="E172" t="s">
        <v>29</v>
      </c>
      <c r="F172">
        <v>59</v>
      </c>
      <c r="G172" t="s">
        <v>51</v>
      </c>
      <c r="H172" t="s">
        <v>52</v>
      </c>
      <c r="I172" t="s">
        <v>51</v>
      </c>
      <c r="J172" t="s">
        <v>112</v>
      </c>
      <c r="K172">
        <v>3</v>
      </c>
      <c r="L172">
        <v>40789</v>
      </c>
      <c r="M172">
        <v>10</v>
      </c>
      <c r="N172">
        <v>12236.7</v>
      </c>
      <c r="O172">
        <v>19823.45</v>
      </c>
      <c r="P172">
        <v>488</v>
      </c>
      <c r="Q172">
        <v>130441.75</v>
      </c>
      <c r="R172" t="s">
        <v>83</v>
      </c>
      <c r="S172" t="s">
        <v>34</v>
      </c>
      <c r="T172" t="s">
        <v>55</v>
      </c>
      <c r="U172" t="s">
        <v>56</v>
      </c>
      <c r="V172" t="s">
        <v>57</v>
      </c>
      <c r="W172">
        <v>3</v>
      </c>
      <c r="X172" t="s">
        <v>38</v>
      </c>
      <c r="Y172">
        <v>1</v>
      </c>
      <c r="Z172" t="s">
        <v>47</v>
      </c>
    </row>
    <row r="173" spans="1:26" x14ac:dyDescent="0.3">
      <c r="A173" t="s">
        <v>413</v>
      </c>
      <c r="B173" s="2">
        <v>45865</v>
      </c>
      <c r="C173" t="s">
        <v>414</v>
      </c>
      <c r="D173" t="s">
        <v>66</v>
      </c>
      <c r="E173" t="s">
        <v>29</v>
      </c>
      <c r="F173">
        <v>56</v>
      </c>
      <c r="G173" t="s">
        <v>30</v>
      </c>
      <c r="H173" t="s">
        <v>31</v>
      </c>
      <c r="I173" t="s">
        <v>30</v>
      </c>
      <c r="J173" t="s">
        <v>32</v>
      </c>
      <c r="K173">
        <v>5</v>
      </c>
      <c r="L173">
        <v>39991</v>
      </c>
      <c r="M173">
        <v>5</v>
      </c>
      <c r="N173">
        <v>9997.75</v>
      </c>
      <c r="O173">
        <v>34192.31</v>
      </c>
      <c r="P173">
        <v>328</v>
      </c>
      <c r="Q173">
        <v>224477.55</v>
      </c>
      <c r="R173" t="s">
        <v>33</v>
      </c>
      <c r="S173" t="s">
        <v>63</v>
      </c>
      <c r="T173" t="s">
        <v>103</v>
      </c>
      <c r="U173" t="s">
        <v>103</v>
      </c>
      <c r="V173" t="s">
        <v>57</v>
      </c>
      <c r="W173">
        <v>10</v>
      </c>
      <c r="X173" t="s">
        <v>47</v>
      </c>
      <c r="Y173">
        <v>4</v>
      </c>
      <c r="Z173" t="s">
        <v>58</v>
      </c>
    </row>
    <row r="174" spans="1:26" x14ac:dyDescent="0.3">
      <c r="A174" t="s">
        <v>415</v>
      </c>
      <c r="B174" s="2">
        <v>46009</v>
      </c>
      <c r="C174" t="s">
        <v>266</v>
      </c>
      <c r="D174" t="s">
        <v>89</v>
      </c>
      <c r="E174" t="s">
        <v>43</v>
      </c>
      <c r="F174">
        <v>41</v>
      </c>
      <c r="G174" t="s">
        <v>44</v>
      </c>
      <c r="H174" t="s">
        <v>31</v>
      </c>
      <c r="I174" t="s">
        <v>44</v>
      </c>
      <c r="J174" t="s">
        <v>201</v>
      </c>
      <c r="K174">
        <v>3</v>
      </c>
      <c r="L174">
        <v>22410</v>
      </c>
      <c r="M174">
        <v>10</v>
      </c>
      <c r="N174">
        <v>6723</v>
      </c>
      <c r="O174">
        <v>10891.26</v>
      </c>
      <c r="P174">
        <v>365</v>
      </c>
      <c r="Q174">
        <v>71763.259999999995</v>
      </c>
      <c r="R174" t="s">
        <v>45</v>
      </c>
      <c r="S174" t="s">
        <v>63</v>
      </c>
      <c r="T174" t="s">
        <v>103</v>
      </c>
      <c r="U174" t="s">
        <v>103</v>
      </c>
      <c r="V174" t="s">
        <v>57</v>
      </c>
      <c r="W174">
        <v>1</v>
      </c>
      <c r="X174" t="s">
        <v>47</v>
      </c>
      <c r="Y174">
        <v>1</v>
      </c>
      <c r="Z174" t="s">
        <v>47</v>
      </c>
    </row>
    <row r="175" spans="1:26" x14ac:dyDescent="0.3">
      <c r="A175" t="s">
        <v>416</v>
      </c>
      <c r="B175" s="2">
        <v>45938</v>
      </c>
      <c r="C175" t="s">
        <v>417</v>
      </c>
      <c r="D175" t="s">
        <v>80</v>
      </c>
      <c r="E175" t="s">
        <v>29</v>
      </c>
      <c r="F175">
        <v>18</v>
      </c>
      <c r="G175" t="s">
        <v>94</v>
      </c>
      <c r="H175" t="s">
        <v>31</v>
      </c>
      <c r="I175" t="s">
        <v>94</v>
      </c>
      <c r="J175" t="s">
        <v>53</v>
      </c>
      <c r="K175">
        <v>4</v>
      </c>
      <c r="L175">
        <v>3086</v>
      </c>
      <c r="M175">
        <v>10</v>
      </c>
      <c r="N175">
        <v>1234.4000000000001</v>
      </c>
      <c r="O175">
        <v>1999.73</v>
      </c>
      <c r="P175">
        <v>247</v>
      </c>
      <c r="Q175">
        <v>13356.33</v>
      </c>
      <c r="R175" t="s">
        <v>33</v>
      </c>
      <c r="S175" t="s">
        <v>63</v>
      </c>
      <c r="T175" t="s">
        <v>35</v>
      </c>
      <c r="U175" t="s">
        <v>36</v>
      </c>
      <c r="V175" t="s">
        <v>37</v>
      </c>
      <c r="W175">
        <v>4</v>
      </c>
      <c r="X175" t="s">
        <v>47</v>
      </c>
      <c r="Y175">
        <v>5</v>
      </c>
      <c r="Z175" t="s">
        <v>58</v>
      </c>
    </row>
    <row r="176" spans="1:26" x14ac:dyDescent="0.3">
      <c r="A176" t="s">
        <v>418</v>
      </c>
      <c r="B176" s="2">
        <v>45868</v>
      </c>
      <c r="C176" t="s">
        <v>419</v>
      </c>
      <c r="D176" t="s">
        <v>50</v>
      </c>
      <c r="E176" t="s">
        <v>43</v>
      </c>
      <c r="F176">
        <v>53</v>
      </c>
      <c r="G176" t="s">
        <v>30</v>
      </c>
      <c r="H176" t="s">
        <v>31</v>
      </c>
      <c r="I176" t="s">
        <v>30</v>
      </c>
      <c r="J176" t="s">
        <v>62</v>
      </c>
      <c r="K176">
        <v>3</v>
      </c>
      <c r="L176">
        <v>39476</v>
      </c>
      <c r="M176">
        <v>20</v>
      </c>
      <c r="N176">
        <v>23685.599999999999</v>
      </c>
      <c r="O176">
        <v>17053.63</v>
      </c>
      <c r="P176">
        <v>78</v>
      </c>
      <c r="Q176">
        <v>111874.03</v>
      </c>
      <c r="R176" t="s">
        <v>83</v>
      </c>
      <c r="S176" t="s">
        <v>63</v>
      </c>
      <c r="T176" t="s">
        <v>103</v>
      </c>
      <c r="U176" t="s">
        <v>103</v>
      </c>
      <c r="V176" t="s">
        <v>57</v>
      </c>
      <c r="W176">
        <v>5</v>
      </c>
      <c r="X176" t="s">
        <v>47</v>
      </c>
      <c r="Y176">
        <v>2</v>
      </c>
      <c r="Z176" t="s">
        <v>47</v>
      </c>
    </row>
    <row r="177" spans="1:26" x14ac:dyDescent="0.3">
      <c r="A177" t="s">
        <v>420</v>
      </c>
      <c r="B177" s="2">
        <v>45925</v>
      </c>
      <c r="C177" t="s">
        <v>421</v>
      </c>
      <c r="D177" t="s">
        <v>50</v>
      </c>
      <c r="E177" t="s">
        <v>29</v>
      </c>
      <c r="F177">
        <v>31</v>
      </c>
      <c r="G177" t="s">
        <v>44</v>
      </c>
      <c r="H177" t="s">
        <v>31</v>
      </c>
      <c r="I177" t="s">
        <v>44</v>
      </c>
      <c r="J177" t="s">
        <v>53</v>
      </c>
      <c r="K177">
        <v>1</v>
      </c>
      <c r="L177">
        <v>31021</v>
      </c>
      <c r="M177">
        <v>15</v>
      </c>
      <c r="N177">
        <v>4653.1499999999996</v>
      </c>
      <c r="O177">
        <v>4746.21</v>
      </c>
      <c r="P177">
        <v>39</v>
      </c>
      <c r="Q177">
        <v>31153.06</v>
      </c>
      <c r="R177" t="s">
        <v>83</v>
      </c>
      <c r="S177" t="s">
        <v>34</v>
      </c>
      <c r="T177" t="s">
        <v>70</v>
      </c>
      <c r="U177" t="s">
        <v>56</v>
      </c>
      <c r="V177" t="s">
        <v>57</v>
      </c>
      <c r="W177">
        <v>8</v>
      </c>
      <c r="X177" t="s">
        <v>47</v>
      </c>
      <c r="Y177">
        <v>4</v>
      </c>
      <c r="Z177" t="s">
        <v>39</v>
      </c>
    </row>
    <row r="178" spans="1:26" x14ac:dyDescent="0.3">
      <c r="A178" t="s">
        <v>422</v>
      </c>
      <c r="B178" s="2">
        <v>45842</v>
      </c>
      <c r="C178" t="s">
        <v>423</v>
      </c>
      <c r="D178" t="s">
        <v>73</v>
      </c>
      <c r="E178" t="s">
        <v>43</v>
      </c>
      <c r="F178">
        <v>46</v>
      </c>
      <c r="G178" t="s">
        <v>74</v>
      </c>
      <c r="H178" t="s">
        <v>31</v>
      </c>
      <c r="I178" t="s">
        <v>74</v>
      </c>
      <c r="J178" t="s">
        <v>201</v>
      </c>
      <c r="K178">
        <v>1</v>
      </c>
      <c r="L178">
        <v>581</v>
      </c>
      <c r="M178">
        <v>0</v>
      </c>
      <c r="N178">
        <v>0</v>
      </c>
      <c r="O178">
        <v>104.58</v>
      </c>
      <c r="P178">
        <v>19</v>
      </c>
      <c r="Q178">
        <v>704.58</v>
      </c>
      <c r="R178" t="s">
        <v>83</v>
      </c>
      <c r="S178" t="s">
        <v>34</v>
      </c>
      <c r="T178" t="s">
        <v>103</v>
      </c>
      <c r="U178" t="s">
        <v>103</v>
      </c>
      <c r="V178" t="s">
        <v>57</v>
      </c>
      <c r="W178">
        <v>4</v>
      </c>
      <c r="X178" t="s">
        <v>47</v>
      </c>
      <c r="Y178">
        <v>2</v>
      </c>
      <c r="Z178" t="s">
        <v>91</v>
      </c>
    </row>
    <row r="179" spans="1:26" x14ac:dyDescent="0.3">
      <c r="A179" t="s">
        <v>424</v>
      </c>
      <c r="B179" s="2">
        <v>46058</v>
      </c>
      <c r="C179" t="s">
        <v>425</v>
      </c>
      <c r="D179" t="s">
        <v>111</v>
      </c>
      <c r="E179" t="s">
        <v>29</v>
      </c>
      <c r="F179">
        <v>23</v>
      </c>
      <c r="G179" t="s">
        <v>134</v>
      </c>
      <c r="H179" t="s">
        <v>31</v>
      </c>
      <c r="I179" t="s">
        <v>134</v>
      </c>
      <c r="J179" t="s">
        <v>102</v>
      </c>
      <c r="K179">
        <v>3</v>
      </c>
      <c r="L179">
        <v>36753</v>
      </c>
      <c r="M179">
        <v>10</v>
      </c>
      <c r="N179">
        <v>11025.9</v>
      </c>
      <c r="O179">
        <v>17861.96</v>
      </c>
      <c r="P179">
        <v>200</v>
      </c>
      <c r="Q179">
        <v>117295.06</v>
      </c>
      <c r="R179" t="s">
        <v>54</v>
      </c>
      <c r="S179" t="s">
        <v>34</v>
      </c>
      <c r="T179" t="s">
        <v>95</v>
      </c>
      <c r="U179" t="s">
        <v>96</v>
      </c>
      <c r="V179" t="s">
        <v>57</v>
      </c>
      <c r="W179">
        <v>9</v>
      </c>
      <c r="X179" t="s">
        <v>38</v>
      </c>
      <c r="Y179">
        <v>3</v>
      </c>
      <c r="Z179" t="s">
        <v>58</v>
      </c>
    </row>
    <row r="180" spans="1:26" x14ac:dyDescent="0.3">
      <c r="A180" t="s">
        <v>426</v>
      </c>
      <c r="B180" s="2">
        <v>46011</v>
      </c>
      <c r="C180" t="s">
        <v>427</v>
      </c>
      <c r="D180" t="s">
        <v>28</v>
      </c>
      <c r="E180" t="s">
        <v>43</v>
      </c>
      <c r="F180">
        <v>30</v>
      </c>
      <c r="G180" t="s">
        <v>139</v>
      </c>
      <c r="H180" t="s">
        <v>31</v>
      </c>
      <c r="I180" t="s">
        <v>139</v>
      </c>
      <c r="J180" t="s">
        <v>75</v>
      </c>
      <c r="K180">
        <v>3</v>
      </c>
      <c r="L180">
        <v>34859</v>
      </c>
      <c r="M180">
        <v>5</v>
      </c>
      <c r="N180">
        <v>5228.8500000000004</v>
      </c>
      <c r="O180">
        <v>17882.669999999998</v>
      </c>
      <c r="P180">
        <v>482</v>
      </c>
      <c r="Q180">
        <v>117712.82</v>
      </c>
      <c r="R180" t="s">
        <v>54</v>
      </c>
      <c r="S180" t="s">
        <v>34</v>
      </c>
      <c r="T180" t="s">
        <v>70</v>
      </c>
      <c r="U180" t="s">
        <v>56</v>
      </c>
      <c r="V180" t="s">
        <v>57</v>
      </c>
      <c r="W180">
        <v>6</v>
      </c>
      <c r="X180" t="s">
        <v>47</v>
      </c>
      <c r="Y180">
        <v>1</v>
      </c>
      <c r="Z180" t="s">
        <v>47</v>
      </c>
    </row>
    <row r="181" spans="1:26" x14ac:dyDescent="0.3">
      <c r="A181" t="s">
        <v>428</v>
      </c>
      <c r="B181" s="2">
        <v>46101</v>
      </c>
      <c r="C181" t="s">
        <v>172</v>
      </c>
      <c r="D181" t="s">
        <v>108</v>
      </c>
      <c r="E181" t="s">
        <v>43</v>
      </c>
      <c r="F181">
        <v>38</v>
      </c>
      <c r="G181" t="s">
        <v>67</v>
      </c>
      <c r="H181" t="s">
        <v>68</v>
      </c>
      <c r="I181" t="s">
        <v>67</v>
      </c>
      <c r="J181" t="s">
        <v>150</v>
      </c>
      <c r="K181">
        <v>3</v>
      </c>
      <c r="L181">
        <v>27908</v>
      </c>
      <c r="M181">
        <v>15</v>
      </c>
      <c r="N181">
        <v>12558.6</v>
      </c>
      <c r="O181">
        <v>12809.77</v>
      </c>
      <c r="P181">
        <v>250</v>
      </c>
      <c r="Q181">
        <v>84225.17</v>
      </c>
      <c r="R181" t="s">
        <v>45</v>
      </c>
      <c r="S181" t="s">
        <v>34</v>
      </c>
      <c r="T181" t="s">
        <v>70</v>
      </c>
      <c r="U181" t="s">
        <v>56</v>
      </c>
      <c r="V181" t="s">
        <v>57</v>
      </c>
      <c r="W181">
        <v>9</v>
      </c>
      <c r="X181" t="s">
        <v>47</v>
      </c>
      <c r="Y181">
        <v>5</v>
      </c>
      <c r="Z181" t="s">
        <v>39</v>
      </c>
    </row>
    <row r="182" spans="1:26" x14ac:dyDescent="0.3">
      <c r="A182" t="s">
        <v>429</v>
      </c>
      <c r="B182" s="2">
        <v>46028</v>
      </c>
      <c r="C182" t="s">
        <v>301</v>
      </c>
      <c r="D182" t="s">
        <v>108</v>
      </c>
      <c r="E182" t="s">
        <v>43</v>
      </c>
      <c r="F182">
        <v>29</v>
      </c>
      <c r="G182" t="s">
        <v>139</v>
      </c>
      <c r="H182" t="s">
        <v>31</v>
      </c>
      <c r="I182" t="s">
        <v>139</v>
      </c>
      <c r="J182" t="s">
        <v>69</v>
      </c>
      <c r="K182">
        <v>3</v>
      </c>
      <c r="L182">
        <v>47658</v>
      </c>
      <c r="M182">
        <v>0</v>
      </c>
      <c r="N182">
        <v>0</v>
      </c>
      <c r="O182">
        <v>25735.32</v>
      </c>
      <c r="P182">
        <v>240</v>
      </c>
      <c r="Q182">
        <v>168949.32</v>
      </c>
      <c r="R182" t="s">
        <v>45</v>
      </c>
      <c r="S182" t="s">
        <v>34</v>
      </c>
      <c r="T182" t="s">
        <v>70</v>
      </c>
      <c r="U182" t="s">
        <v>56</v>
      </c>
      <c r="V182" t="s">
        <v>57</v>
      </c>
      <c r="W182">
        <v>4</v>
      </c>
      <c r="X182" t="s">
        <v>38</v>
      </c>
      <c r="Y182">
        <v>2</v>
      </c>
      <c r="Z182" t="s">
        <v>58</v>
      </c>
    </row>
    <row r="183" spans="1:26" x14ac:dyDescent="0.3">
      <c r="A183" t="s">
        <v>430</v>
      </c>
      <c r="B183" s="2">
        <v>45954</v>
      </c>
      <c r="C183" t="s">
        <v>431</v>
      </c>
      <c r="D183" t="s">
        <v>89</v>
      </c>
      <c r="E183" t="s">
        <v>43</v>
      </c>
      <c r="F183">
        <v>56</v>
      </c>
      <c r="G183" t="s">
        <v>30</v>
      </c>
      <c r="H183" t="s">
        <v>31</v>
      </c>
      <c r="I183" t="s">
        <v>30</v>
      </c>
      <c r="J183" t="s">
        <v>62</v>
      </c>
      <c r="K183">
        <v>4</v>
      </c>
      <c r="L183">
        <v>2329</v>
      </c>
      <c r="M183">
        <v>0</v>
      </c>
      <c r="N183">
        <v>0</v>
      </c>
      <c r="O183">
        <v>1676.88</v>
      </c>
      <c r="P183">
        <v>348</v>
      </c>
      <c r="Q183">
        <v>11340.88</v>
      </c>
      <c r="R183" t="s">
        <v>54</v>
      </c>
      <c r="S183" t="s">
        <v>34</v>
      </c>
      <c r="T183" t="s">
        <v>55</v>
      </c>
      <c r="U183" t="s">
        <v>56</v>
      </c>
      <c r="V183" t="s">
        <v>57</v>
      </c>
      <c r="W183">
        <v>1</v>
      </c>
      <c r="X183" t="s">
        <v>38</v>
      </c>
      <c r="Y183">
        <v>2</v>
      </c>
      <c r="Z183" t="s">
        <v>39</v>
      </c>
    </row>
    <row r="184" spans="1:26" x14ac:dyDescent="0.3">
      <c r="A184" t="s">
        <v>432</v>
      </c>
      <c r="B184" s="2">
        <v>45975</v>
      </c>
      <c r="C184" t="s">
        <v>433</v>
      </c>
      <c r="D184" t="s">
        <v>89</v>
      </c>
      <c r="E184" t="s">
        <v>43</v>
      </c>
      <c r="F184">
        <v>42</v>
      </c>
      <c r="G184" t="s">
        <v>30</v>
      </c>
      <c r="H184" t="s">
        <v>31</v>
      </c>
      <c r="I184" t="s">
        <v>30</v>
      </c>
      <c r="J184" t="s">
        <v>201</v>
      </c>
      <c r="K184">
        <v>2</v>
      </c>
      <c r="L184">
        <v>10674</v>
      </c>
      <c r="M184">
        <v>20</v>
      </c>
      <c r="N184">
        <v>4269.6000000000004</v>
      </c>
      <c r="O184">
        <v>3074.11</v>
      </c>
      <c r="P184">
        <v>316</v>
      </c>
      <c r="Q184">
        <v>20468.509999999998</v>
      </c>
      <c r="R184" t="s">
        <v>33</v>
      </c>
      <c r="S184" t="s">
        <v>34</v>
      </c>
      <c r="T184" t="s">
        <v>46</v>
      </c>
      <c r="U184" t="s">
        <v>36</v>
      </c>
      <c r="V184" t="s">
        <v>37</v>
      </c>
      <c r="W184">
        <v>5</v>
      </c>
      <c r="X184" t="s">
        <v>38</v>
      </c>
      <c r="Y184">
        <v>1</v>
      </c>
      <c r="Z184" t="s">
        <v>91</v>
      </c>
    </row>
    <row r="185" spans="1:26" x14ac:dyDescent="0.3">
      <c r="A185" t="s">
        <v>434</v>
      </c>
      <c r="B185" s="2">
        <v>45910</v>
      </c>
      <c r="C185" t="s">
        <v>435</v>
      </c>
      <c r="D185" t="s">
        <v>108</v>
      </c>
      <c r="E185" t="s">
        <v>29</v>
      </c>
      <c r="F185">
        <v>37</v>
      </c>
      <c r="G185" t="s">
        <v>139</v>
      </c>
      <c r="H185" t="s">
        <v>31</v>
      </c>
      <c r="I185" t="s">
        <v>139</v>
      </c>
      <c r="J185" t="s">
        <v>62</v>
      </c>
      <c r="K185">
        <v>4</v>
      </c>
      <c r="L185">
        <v>9797</v>
      </c>
      <c r="M185">
        <v>15</v>
      </c>
      <c r="N185">
        <v>5878.2</v>
      </c>
      <c r="O185">
        <v>5995.76</v>
      </c>
      <c r="P185">
        <v>457</v>
      </c>
      <c r="Q185">
        <v>39762.559999999998</v>
      </c>
      <c r="R185" t="s">
        <v>83</v>
      </c>
      <c r="S185" t="s">
        <v>34</v>
      </c>
      <c r="T185" t="s">
        <v>55</v>
      </c>
      <c r="U185" t="s">
        <v>56</v>
      </c>
      <c r="V185" t="s">
        <v>57</v>
      </c>
      <c r="W185">
        <v>3</v>
      </c>
      <c r="X185" t="s">
        <v>47</v>
      </c>
      <c r="Y185">
        <v>5</v>
      </c>
      <c r="Z185" t="s">
        <v>91</v>
      </c>
    </row>
    <row r="186" spans="1:26" x14ac:dyDescent="0.3">
      <c r="A186" t="s">
        <v>436</v>
      </c>
      <c r="B186" s="2">
        <v>45990</v>
      </c>
      <c r="C186" t="s">
        <v>299</v>
      </c>
      <c r="D186" t="s">
        <v>80</v>
      </c>
      <c r="E186" t="s">
        <v>43</v>
      </c>
      <c r="F186">
        <v>46</v>
      </c>
      <c r="G186" t="s">
        <v>74</v>
      </c>
      <c r="H186" t="s">
        <v>31</v>
      </c>
      <c r="I186" t="s">
        <v>74</v>
      </c>
      <c r="J186" t="s">
        <v>32</v>
      </c>
      <c r="K186">
        <v>3</v>
      </c>
      <c r="L186">
        <v>44724</v>
      </c>
      <c r="M186">
        <v>5</v>
      </c>
      <c r="N186">
        <v>6708.6</v>
      </c>
      <c r="O186">
        <v>22943.41</v>
      </c>
      <c r="P186">
        <v>76</v>
      </c>
      <c r="Q186">
        <v>150482.81</v>
      </c>
      <c r="R186" t="s">
        <v>83</v>
      </c>
      <c r="S186" t="s">
        <v>34</v>
      </c>
      <c r="T186" t="s">
        <v>103</v>
      </c>
      <c r="U186" t="s">
        <v>103</v>
      </c>
      <c r="V186" t="s">
        <v>57</v>
      </c>
      <c r="W186">
        <v>7</v>
      </c>
      <c r="X186" t="s">
        <v>47</v>
      </c>
      <c r="Y186">
        <v>2</v>
      </c>
      <c r="Z186" t="s">
        <v>91</v>
      </c>
    </row>
    <row r="187" spans="1:26" x14ac:dyDescent="0.3">
      <c r="A187" t="s">
        <v>437</v>
      </c>
      <c r="B187" s="2">
        <v>46075</v>
      </c>
      <c r="C187" t="s">
        <v>438</v>
      </c>
      <c r="D187" t="s">
        <v>80</v>
      </c>
      <c r="E187" t="s">
        <v>29</v>
      </c>
      <c r="F187">
        <v>33</v>
      </c>
      <c r="G187" t="s">
        <v>44</v>
      </c>
      <c r="H187" t="s">
        <v>31</v>
      </c>
      <c r="I187" t="s">
        <v>44</v>
      </c>
      <c r="J187" t="s">
        <v>150</v>
      </c>
      <c r="K187">
        <v>2</v>
      </c>
      <c r="L187">
        <v>41199</v>
      </c>
      <c r="M187">
        <v>20</v>
      </c>
      <c r="N187">
        <v>16479.599999999999</v>
      </c>
      <c r="O187">
        <v>11865.31</v>
      </c>
      <c r="P187">
        <v>317</v>
      </c>
      <c r="Q187">
        <v>78100.710000000006</v>
      </c>
      <c r="R187" t="s">
        <v>54</v>
      </c>
      <c r="S187" t="s">
        <v>63</v>
      </c>
      <c r="T187" t="s">
        <v>46</v>
      </c>
      <c r="U187" t="s">
        <v>36</v>
      </c>
      <c r="V187" t="s">
        <v>37</v>
      </c>
      <c r="W187">
        <v>2</v>
      </c>
      <c r="X187" t="s">
        <v>38</v>
      </c>
      <c r="Y187">
        <v>3</v>
      </c>
      <c r="Z187" t="s">
        <v>39</v>
      </c>
    </row>
    <row r="188" spans="1:26" x14ac:dyDescent="0.3">
      <c r="A188" t="s">
        <v>439</v>
      </c>
      <c r="B188" s="2">
        <v>45849</v>
      </c>
      <c r="C188" t="s">
        <v>375</v>
      </c>
      <c r="D188" t="s">
        <v>73</v>
      </c>
      <c r="E188" t="s">
        <v>43</v>
      </c>
      <c r="F188">
        <v>37</v>
      </c>
      <c r="G188" t="s">
        <v>94</v>
      </c>
      <c r="H188" t="s">
        <v>31</v>
      </c>
      <c r="I188" t="s">
        <v>94</v>
      </c>
      <c r="J188" t="s">
        <v>75</v>
      </c>
      <c r="K188">
        <v>5</v>
      </c>
      <c r="L188">
        <v>41589</v>
      </c>
      <c r="M188">
        <v>0</v>
      </c>
      <c r="N188">
        <v>0</v>
      </c>
      <c r="O188">
        <v>37430.1</v>
      </c>
      <c r="P188">
        <v>194</v>
      </c>
      <c r="Q188">
        <v>245569.1</v>
      </c>
      <c r="R188" t="s">
        <v>33</v>
      </c>
      <c r="S188" t="s">
        <v>63</v>
      </c>
      <c r="T188" t="s">
        <v>70</v>
      </c>
      <c r="U188" t="s">
        <v>56</v>
      </c>
      <c r="V188" t="s">
        <v>57</v>
      </c>
      <c r="W188">
        <v>10</v>
      </c>
      <c r="X188" t="s">
        <v>38</v>
      </c>
      <c r="Y188">
        <v>1</v>
      </c>
      <c r="Z188" t="s">
        <v>39</v>
      </c>
    </row>
    <row r="189" spans="1:26" x14ac:dyDescent="0.3">
      <c r="A189" t="s">
        <v>440</v>
      </c>
      <c r="B189" s="2">
        <v>46068</v>
      </c>
      <c r="C189" t="s">
        <v>441</v>
      </c>
      <c r="D189" t="s">
        <v>42</v>
      </c>
      <c r="E189" t="s">
        <v>43</v>
      </c>
      <c r="F189">
        <v>50</v>
      </c>
      <c r="G189" t="s">
        <v>139</v>
      </c>
      <c r="H189" t="s">
        <v>31</v>
      </c>
      <c r="I189" t="s">
        <v>139</v>
      </c>
      <c r="J189" t="s">
        <v>150</v>
      </c>
      <c r="K189">
        <v>3</v>
      </c>
      <c r="L189">
        <v>38807</v>
      </c>
      <c r="M189">
        <v>5</v>
      </c>
      <c r="N189">
        <v>5821.05</v>
      </c>
      <c r="O189">
        <v>19907.990000000002</v>
      </c>
      <c r="P189">
        <v>361</v>
      </c>
      <c r="Q189">
        <v>130868.94</v>
      </c>
      <c r="R189" t="s">
        <v>45</v>
      </c>
      <c r="S189" t="s">
        <v>34</v>
      </c>
      <c r="T189" t="s">
        <v>46</v>
      </c>
      <c r="U189" t="s">
        <v>36</v>
      </c>
      <c r="V189" t="s">
        <v>37</v>
      </c>
      <c r="W189">
        <v>10</v>
      </c>
      <c r="X189" t="s">
        <v>47</v>
      </c>
      <c r="Y189">
        <v>5</v>
      </c>
      <c r="Z189" t="s">
        <v>47</v>
      </c>
    </row>
    <row r="190" spans="1:26" x14ac:dyDescent="0.3">
      <c r="A190" t="s">
        <v>442</v>
      </c>
      <c r="B190" s="2">
        <v>45840</v>
      </c>
      <c r="C190" t="s">
        <v>443</v>
      </c>
      <c r="D190" t="s">
        <v>61</v>
      </c>
      <c r="E190" t="s">
        <v>43</v>
      </c>
      <c r="F190">
        <v>32</v>
      </c>
      <c r="G190" t="s">
        <v>30</v>
      </c>
      <c r="H190" t="s">
        <v>31</v>
      </c>
      <c r="I190" t="s">
        <v>30</v>
      </c>
      <c r="J190" t="s">
        <v>69</v>
      </c>
      <c r="K190">
        <v>1</v>
      </c>
      <c r="L190">
        <v>6099</v>
      </c>
      <c r="M190">
        <v>0</v>
      </c>
      <c r="N190">
        <v>0</v>
      </c>
      <c r="O190">
        <v>1097.82</v>
      </c>
      <c r="P190">
        <v>238</v>
      </c>
      <c r="Q190">
        <v>7434.82</v>
      </c>
      <c r="R190" t="s">
        <v>45</v>
      </c>
      <c r="S190" t="s">
        <v>63</v>
      </c>
      <c r="T190" t="s">
        <v>95</v>
      </c>
      <c r="U190" t="s">
        <v>96</v>
      </c>
      <c r="V190" t="s">
        <v>57</v>
      </c>
      <c r="W190">
        <v>10</v>
      </c>
      <c r="X190" t="s">
        <v>38</v>
      </c>
      <c r="Y190">
        <v>2</v>
      </c>
      <c r="Z190" t="s">
        <v>39</v>
      </c>
    </row>
    <row r="191" spans="1:26" x14ac:dyDescent="0.3">
      <c r="A191" t="s">
        <v>444</v>
      </c>
      <c r="B191" s="2">
        <v>45929</v>
      </c>
      <c r="C191" t="s">
        <v>445</v>
      </c>
      <c r="D191" t="s">
        <v>108</v>
      </c>
      <c r="E191" t="s">
        <v>29</v>
      </c>
      <c r="F191">
        <v>25</v>
      </c>
      <c r="G191" t="s">
        <v>51</v>
      </c>
      <c r="H191" t="s">
        <v>52</v>
      </c>
      <c r="I191" t="s">
        <v>51</v>
      </c>
      <c r="J191" t="s">
        <v>201</v>
      </c>
      <c r="K191">
        <v>1</v>
      </c>
      <c r="L191">
        <v>22901</v>
      </c>
      <c r="M191">
        <v>0</v>
      </c>
      <c r="N191">
        <v>0</v>
      </c>
      <c r="O191">
        <v>4122.18</v>
      </c>
      <c r="P191">
        <v>141</v>
      </c>
      <c r="Q191">
        <v>27164.18</v>
      </c>
      <c r="R191" t="s">
        <v>54</v>
      </c>
      <c r="S191" t="s">
        <v>34</v>
      </c>
      <c r="T191" t="s">
        <v>95</v>
      </c>
      <c r="U191" t="s">
        <v>96</v>
      </c>
      <c r="V191" t="s">
        <v>57</v>
      </c>
      <c r="W191">
        <v>4</v>
      </c>
      <c r="X191" t="s">
        <v>47</v>
      </c>
      <c r="Y191">
        <v>3</v>
      </c>
      <c r="Z191" t="s">
        <v>39</v>
      </c>
    </row>
    <row r="192" spans="1:26" x14ac:dyDescent="0.3">
      <c r="A192" t="s">
        <v>446</v>
      </c>
      <c r="B192" s="2">
        <v>45994</v>
      </c>
      <c r="C192" t="s">
        <v>447</v>
      </c>
      <c r="D192" t="s">
        <v>61</v>
      </c>
      <c r="E192" t="s">
        <v>29</v>
      </c>
      <c r="F192">
        <v>58</v>
      </c>
      <c r="G192" t="s">
        <v>44</v>
      </c>
      <c r="H192" t="s">
        <v>31</v>
      </c>
      <c r="I192" t="s">
        <v>44</v>
      </c>
      <c r="J192" t="s">
        <v>53</v>
      </c>
      <c r="K192">
        <v>2</v>
      </c>
      <c r="L192">
        <v>15512</v>
      </c>
      <c r="M192">
        <v>20</v>
      </c>
      <c r="N192">
        <v>6204.8</v>
      </c>
      <c r="O192">
        <v>4467.46</v>
      </c>
      <c r="P192">
        <v>484</v>
      </c>
      <c r="Q192">
        <v>29770.66</v>
      </c>
      <c r="R192" t="s">
        <v>83</v>
      </c>
      <c r="S192" t="s">
        <v>63</v>
      </c>
      <c r="T192" t="s">
        <v>35</v>
      </c>
      <c r="U192" t="s">
        <v>36</v>
      </c>
      <c r="V192" t="s">
        <v>37</v>
      </c>
      <c r="W192">
        <v>8</v>
      </c>
      <c r="X192" t="s">
        <v>47</v>
      </c>
      <c r="Y192">
        <v>1</v>
      </c>
      <c r="Z192" t="s">
        <v>47</v>
      </c>
    </row>
    <row r="193" spans="1:26" x14ac:dyDescent="0.3">
      <c r="A193" t="s">
        <v>448</v>
      </c>
      <c r="B193" s="2">
        <v>45778</v>
      </c>
      <c r="C193" t="s">
        <v>449</v>
      </c>
      <c r="D193" t="s">
        <v>28</v>
      </c>
      <c r="E193" t="s">
        <v>43</v>
      </c>
      <c r="F193">
        <v>58</v>
      </c>
      <c r="G193" t="s">
        <v>94</v>
      </c>
      <c r="H193" t="s">
        <v>31</v>
      </c>
      <c r="I193" t="s">
        <v>94</v>
      </c>
      <c r="J193" t="s">
        <v>62</v>
      </c>
      <c r="K193">
        <v>3</v>
      </c>
      <c r="L193">
        <v>15329</v>
      </c>
      <c r="M193">
        <v>15</v>
      </c>
      <c r="N193">
        <v>6898.05</v>
      </c>
      <c r="O193">
        <v>7036.01</v>
      </c>
      <c r="P193">
        <v>288</v>
      </c>
      <c r="Q193">
        <v>46412.959999999999</v>
      </c>
      <c r="R193" t="s">
        <v>45</v>
      </c>
      <c r="S193" t="s">
        <v>63</v>
      </c>
      <c r="T193" t="s">
        <v>76</v>
      </c>
      <c r="U193" t="s">
        <v>77</v>
      </c>
      <c r="V193" t="s">
        <v>57</v>
      </c>
      <c r="W193">
        <v>4</v>
      </c>
      <c r="X193" t="s">
        <v>38</v>
      </c>
      <c r="Y193">
        <v>5</v>
      </c>
      <c r="Z193" t="s">
        <v>91</v>
      </c>
    </row>
    <row r="194" spans="1:26" x14ac:dyDescent="0.3">
      <c r="A194" t="s">
        <v>450</v>
      </c>
      <c r="B194" s="2">
        <v>45814</v>
      </c>
      <c r="C194" t="s">
        <v>451</v>
      </c>
      <c r="D194" t="s">
        <v>28</v>
      </c>
      <c r="E194" t="s">
        <v>43</v>
      </c>
      <c r="F194">
        <v>57</v>
      </c>
      <c r="G194" t="s">
        <v>51</v>
      </c>
      <c r="H194" t="s">
        <v>52</v>
      </c>
      <c r="I194" t="s">
        <v>51</v>
      </c>
      <c r="J194" t="s">
        <v>32</v>
      </c>
      <c r="K194">
        <v>1</v>
      </c>
      <c r="L194">
        <v>10386</v>
      </c>
      <c r="M194">
        <v>10</v>
      </c>
      <c r="N194">
        <v>1038.5999999999999</v>
      </c>
      <c r="O194">
        <v>1682.53</v>
      </c>
      <c r="P194">
        <v>35</v>
      </c>
      <c r="Q194">
        <v>11064.93</v>
      </c>
      <c r="R194" t="s">
        <v>83</v>
      </c>
      <c r="S194" t="s">
        <v>63</v>
      </c>
      <c r="T194" t="s">
        <v>70</v>
      </c>
      <c r="U194" t="s">
        <v>56</v>
      </c>
      <c r="V194" t="s">
        <v>57</v>
      </c>
      <c r="W194">
        <v>10</v>
      </c>
      <c r="X194" t="s">
        <v>47</v>
      </c>
      <c r="Y194">
        <v>4</v>
      </c>
      <c r="Z194" t="s">
        <v>39</v>
      </c>
    </row>
    <row r="195" spans="1:26" x14ac:dyDescent="0.3">
      <c r="A195" t="s">
        <v>452</v>
      </c>
      <c r="B195" s="2">
        <v>45802</v>
      </c>
      <c r="C195" t="s">
        <v>453</v>
      </c>
      <c r="D195" t="s">
        <v>111</v>
      </c>
      <c r="E195" t="s">
        <v>43</v>
      </c>
      <c r="F195">
        <v>24</v>
      </c>
      <c r="G195" t="s">
        <v>90</v>
      </c>
      <c r="H195" t="s">
        <v>31</v>
      </c>
      <c r="I195" t="s">
        <v>90</v>
      </c>
      <c r="J195" t="s">
        <v>125</v>
      </c>
      <c r="K195">
        <v>1</v>
      </c>
      <c r="L195">
        <v>35438</v>
      </c>
      <c r="M195">
        <v>20</v>
      </c>
      <c r="N195">
        <v>7087.6</v>
      </c>
      <c r="O195">
        <v>5103.07</v>
      </c>
      <c r="P195">
        <v>457</v>
      </c>
      <c r="Q195">
        <v>33910.47</v>
      </c>
      <c r="R195" t="s">
        <v>33</v>
      </c>
      <c r="S195" t="s">
        <v>34</v>
      </c>
      <c r="T195" t="s">
        <v>55</v>
      </c>
      <c r="U195" t="s">
        <v>56</v>
      </c>
      <c r="V195" t="s">
        <v>57</v>
      </c>
      <c r="W195">
        <v>10</v>
      </c>
      <c r="X195" t="s">
        <v>38</v>
      </c>
      <c r="Y195">
        <v>1</v>
      </c>
      <c r="Z195" t="s">
        <v>47</v>
      </c>
    </row>
    <row r="196" spans="1:26" x14ac:dyDescent="0.3">
      <c r="A196" t="s">
        <v>454</v>
      </c>
      <c r="B196" s="2">
        <v>46007</v>
      </c>
      <c r="C196" t="s">
        <v>455</v>
      </c>
      <c r="D196" t="s">
        <v>28</v>
      </c>
      <c r="E196" t="s">
        <v>29</v>
      </c>
      <c r="F196">
        <v>56</v>
      </c>
      <c r="G196" t="s">
        <v>51</v>
      </c>
      <c r="H196" t="s">
        <v>52</v>
      </c>
      <c r="I196" t="s">
        <v>51</v>
      </c>
      <c r="J196" t="s">
        <v>62</v>
      </c>
      <c r="K196">
        <v>2</v>
      </c>
      <c r="L196">
        <v>44534</v>
      </c>
      <c r="M196">
        <v>15</v>
      </c>
      <c r="N196">
        <v>13360.2</v>
      </c>
      <c r="O196">
        <v>13627.4</v>
      </c>
      <c r="P196">
        <v>3</v>
      </c>
      <c r="Q196">
        <v>89338.2</v>
      </c>
      <c r="R196" t="s">
        <v>45</v>
      </c>
      <c r="S196" t="s">
        <v>34</v>
      </c>
      <c r="T196" t="s">
        <v>103</v>
      </c>
      <c r="U196" t="s">
        <v>103</v>
      </c>
      <c r="V196" t="s">
        <v>57</v>
      </c>
      <c r="W196">
        <v>5</v>
      </c>
      <c r="X196" t="s">
        <v>38</v>
      </c>
      <c r="Y196">
        <v>2</v>
      </c>
      <c r="Z196" t="s">
        <v>47</v>
      </c>
    </row>
    <row r="197" spans="1:26" x14ac:dyDescent="0.3">
      <c r="A197" t="s">
        <v>456</v>
      </c>
      <c r="B197" s="2">
        <v>46005</v>
      </c>
      <c r="C197" t="s">
        <v>457</v>
      </c>
      <c r="D197" t="s">
        <v>111</v>
      </c>
      <c r="E197" t="s">
        <v>29</v>
      </c>
      <c r="F197">
        <v>50</v>
      </c>
      <c r="G197" t="s">
        <v>139</v>
      </c>
      <c r="H197" t="s">
        <v>31</v>
      </c>
      <c r="I197" t="s">
        <v>139</v>
      </c>
      <c r="J197" t="s">
        <v>62</v>
      </c>
      <c r="K197">
        <v>3</v>
      </c>
      <c r="L197">
        <v>34485</v>
      </c>
      <c r="M197">
        <v>20</v>
      </c>
      <c r="N197">
        <v>20691</v>
      </c>
      <c r="O197">
        <v>14897.52</v>
      </c>
      <c r="P197">
        <v>283</v>
      </c>
      <c r="Q197">
        <v>97944.52</v>
      </c>
      <c r="R197" t="s">
        <v>45</v>
      </c>
      <c r="S197" t="s">
        <v>63</v>
      </c>
      <c r="T197" t="s">
        <v>76</v>
      </c>
      <c r="U197" t="s">
        <v>77</v>
      </c>
      <c r="V197" t="s">
        <v>57</v>
      </c>
      <c r="W197">
        <v>6</v>
      </c>
      <c r="X197" t="s">
        <v>38</v>
      </c>
      <c r="Y197">
        <v>5</v>
      </c>
      <c r="Z197" t="s">
        <v>58</v>
      </c>
    </row>
    <row r="198" spans="1:26" x14ac:dyDescent="0.3">
      <c r="A198" t="s">
        <v>458</v>
      </c>
      <c r="B198" s="2">
        <v>46099</v>
      </c>
      <c r="C198" t="s">
        <v>459</v>
      </c>
      <c r="D198" t="s">
        <v>28</v>
      </c>
      <c r="E198" t="s">
        <v>29</v>
      </c>
      <c r="F198">
        <v>29</v>
      </c>
      <c r="G198" t="s">
        <v>134</v>
      </c>
      <c r="H198" t="s">
        <v>31</v>
      </c>
      <c r="I198" t="s">
        <v>134</v>
      </c>
      <c r="J198" t="s">
        <v>112</v>
      </c>
      <c r="K198">
        <v>5</v>
      </c>
      <c r="L198">
        <v>2512</v>
      </c>
      <c r="M198">
        <v>5</v>
      </c>
      <c r="N198">
        <v>628</v>
      </c>
      <c r="O198">
        <v>2147.7600000000002</v>
      </c>
      <c r="P198">
        <v>234</v>
      </c>
      <c r="Q198">
        <v>14313.76</v>
      </c>
      <c r="R198" t="s">
        <v>54</v>
      </c>
      <c r="S198" t="s">
        <v>34</v>
      </c>
      <c r="T198" t="s">
        <v>35</v>
      </c>
      <c r="U198" t="s">
        <v>36</v>
      </c>
      <c r="V198" t="s">
        <v>37</v>
      </c>
      <c r="W198">
        <v>5</v>
      </c>
      <c r="X198" t="s">
        <v>38</v>
      </c>
      <c r="Y198">
        <v>2</v>
      </c>
      <c r="Z198" t="s">
        <v>39</v>
      </c>
    </row>
    <row r="199" spans="1:26" x14ac:dyDescent="0.3">
      <c r="A199" t="s">
        <v>460</v>
      </c>
      <c r="B199" s="2">
        <v>45809</v>
      </c>
      <c r="C199" t="s">
        <v>461</v>
      </c>
      <c r="D199" t="s">
        <v>73</v>
      </c>
      <c r="E199" t="s">
        <v>43</v>
      </c>
      <c r="F199">
        <v>33</v>
      </c>
      <c r="G199" t="s">
        <v>74</v>
      </c>
      <c r="H199" t="s">
        <v>31</v>
      </c>
      <c r="I199" t="s">
        <v>74</v>
      </c>
      <c r="J199" t="s">
        <v>102</v>
      </c>
      <c r="K199">
        <v>5</v>
      </c>
      <c r="L199">
        <v>17388</v>
      </c>
      <c r="M199">
        <v>0</v>
      </c>
      <c r="N199">
        <v>0</v>
      </c>
      <c r="O199">
        <v>15649.2</v>
      </c>
      <c r="P199">
        <v>308</v>
      </c>
      <c r="Q199">
        <v>102897.2</v>
      </c>
      <c r="R199" t="s">
        <v>54</v>
      </c>
      <c r="S199" t="s">
        <v>63</v>
      </c>
      <c r="T199" t="s">
        <v>84</v>
      </c>
      <c r="U199" t="s">
        <v>85</v>
      </c>
      <c r="V199" t="s">
        <v>86</v>
      </c>
      <c r="W199">
        <v>7</v>
      </c>
      <c r="X199" t="s">
        <v>47</v>
      </c>
      <c r="Y199">
        <v>5</v>
      </c>
      <c r="Z199" t="s">
        <v>39</v>
      </c>
    </row>
    <row r="200" spans="1:26" x14ac:dyDescent="0.3">
      <c r="A200" t="s">
        <v>462</v>
      </c>
      <c r="B200" s="2">
        <v>45948</v>
      </c>
      <c r="C200" t="s">
        <v>419</v>
      </c>
      <c r="D200" t="s">
        <v>50</v>
      </c>
      <c r="E200" t="s">
        <v>43</v>
      </c>
      <c r="F200">
        <v>57</v>
      </c>
      <c r="G200" t="s">
        <v>139</v>
      </c>
      <c r="H200" t="s">
        <v>31</v>
      </c>
      <c r="I200" t="s">
        <v>139</v>
      </c>
      <c r="J200" t="s">
        <v>53</v>
      </c>
      <c r="K200">
        <v>2</v>
      </c>
      <c r="L200">
        <v>2519</v>
      </c>
      <c r="M200">
        <v>0</v>
      </c>
      <c r="N200">
        <v>0</v>
      </c>
      <c r="O200">
        <v>906.84</v>
      </c>
      <c r="P200">
        <v>204</v>
      </c>
      <c r="Q200">
        <v>6148.84</v>
      </c>
      <c r="R200" t="s">
        <v>83</v>
      </c>
      <c r="S200" t="s">
        <v>34</v>
      </c>
      <c r="T200" t="s">
        <v>84</v>
      </c>
      <c r="U200" t="s">
        <v>85</v>
      </c>
      <c r="V200" t="s">
        <v>86</v>
      </c>
      <c r="W200">
        <v>8</v>
      </c>
      <c r="X200" t="s">
        <v>38</v>
      </c>
      <c r="Y200">
        <v>3</v>
      </c>
      <c r="Z200" t="s">
        <v>91</v>
      </c>
    </row>
    <row r="201" spans="1:26" x14ac:dyDescent="0.3">
      <c r="A201" t="s">
        <v>463</v>
      </c>
      <c r="B201" s="2">
        <v>45873</v>
      </c>
      <c r="C201" t="s">
        <v>464</v>
      </c>
      <c r="D201" t="s">
        <v>28</v>
      </c>
      <c r="E201" t="s">
        <v>43</v>
      </c>
      <c r="F201">
        <v>51</v>
      </c>
      <c r="G201" t="s">
        <v>30</v>
      </c>
      <c r="H201" t="s">
        <v>31</v>
      </c>
      <c r="I201" t="s">
        <v>30</v>
      </c>
      <c r="J201" t="s">
        <v>201</v>
      </c>
      <c r="K201">
        <v>3</v>
      </c>
      <c r="L201">
        <v>16183</v>
      </c>
      <c r="M201">
        <v>10</v>
      </c>
      <c r="N201">
        <v>4854.8999999999996</v>
      </c>
      <c r="O201">
        <v>7864.94</v>
      </c>
      <c r="P201">
        <v>2</v>
      </c>
      <c r="Q201">
        <v>51561.04</v>
      </c>
      <c r="R201" t="s">
        <v>33</v>
      </c>
      <c r="S201" t="s">
        <v>63</v>
      </c>
      <c r="T201" t="s">
        <v>35</v>
      </c>
      <c r="U201" t="s">
        <v>36</v>
      </c>
      <c r="V201" t="s">
        <v>37</v>
      </c>
      <c r="W201">
        <v>6</v>
      </c>
      <c r="X201" t="s">
        <v>47</v>
      </c>
      <c r="Y201">
        <v>2</v>
      </c>
      <c r="Z201" t="s">
        <v>47</v>
      </c>
    </row>
    <row r="202" spans="1:26" x14ac:dyDescent="0.3">
      <c r="A202" t="s">
        <v>465</v>
      </c>
      <c r="B202" s="2">
        <v>45862</v>
      </c>
      <c r="C202" t="s">
        <v>449</v>
      </c>
      <c r="D202" t="s">
        <v>42</v>
      </c>
      <c r="E202" t="s">
        <v>29</v>
      </c>
      <c r="F202">
        <v>18</v>
      </c>
      <c r="G202" t="s">
        <v>139</v>
      </c>
      <c r="H202" t="s">
        <v>31</v>
      </c>
      <c r="I202" t="s">
        <v>139</v>
      </c>
      <c r="J202" t="s">
        <v>53</v>
      </c>
      <c r="K202">
        <v>1</v>
      </c>
      <c r="L202">
        <v>10602</v>
      </c>
      <c r="M202">
        <v>5</v>
      </c>
      <c r="N202">
        <v>530.1</v>
      </c>
      <c r="O202">
        <v>1812.94</v>
      </c>
      <c r="P202">
        <v>367</v>
      </c>
      <c r="Q202">
        <v>12251.84</v>
      </c>
      <c r="R202" t="s">
        <v>33</v>
      </c>
      <c r="S202" t="s">
        <v>34</v>
      </c>
      <c r="T202" t="s">
        <v>95</v>
      </c>
      <c r="U202" t="s">
        <v>96</v>
      </c>
      <c r="V202" t="s">
        <v>57</v>
      </c>
      <c r="W202">
        <v>2</v>
      </c>
      <c r="X202" t="s">
        <v>38</v>
      </c>
      <c r="Y202">
        <v>1</v>
      </c>
      <c r="Z202" t="s">
        <v>58</v>
      </c>
    </row>
    <row r="203" spans="1:26" x14ac:dyDescent="0.3">
      <c r="A203" t="s">
        <v>466</v>
      </c>
      <c r="B203" s="2">
        <v>45911</v>
      </c>
      <c r="C203" t="s">
        <v>467</v>
      </c>
      <c r="D203" t="s">
        <v>66</v>
      </c>
      <c r="E203" t="s">
        <v>29</v>
      </c>
      <c r="F203">
        <v>21</v>
      </c>
      <c r="G203" t="s">
        <v>139</v>
      </c>
      <c r="H203" t="s">
        <v>31</v>
      </c>
      <c r="I203" t="s">
        <v>139</v>
      </c>
      <c r="J203" t="s">
        <v>125</v>
      </c>
      <c r="K203">
        <v>4</v>
      </c>
      <c r="L203">
        <v>7961</v>
      </c>
      <c r="M203">
        <v>10</v>
      </c>
      <c r="N203">
        <v>3184.4</v>
      </c>
      <c r="O203">
        <v>5158.7299999999996</v>
      </c>
      <c r="P203">
        <v>317</v>
      </c>
      <c r="Q203">
        <v>34135.33</v>
      </c>
      <c r="R203" t="s">
        <v>33</v>
      </c>
      <c r="S203" t="s">
        <v>34</v>
      </c>
      <c r="T203" t="s">
        <v>46</v>
      </c>
      <c r="U203" t="s">
        <v>36</v>
      </c>
      <c r="V203" t="s">
        <v>37</v>
      </c>
      <c r="W203">
        <v>4</v>
      </c>
      <c r="X203" t="s">
        <v>47</v>
      </c>
      <c r="Y203">
        <v>5</v>
      </c>
      <c r="Z203" t="s">
        <v>91</v>
      </c>
    </row>
    <row r="204" spans="1:26" x14ac:dyDescent="0.3">
      <c r="A204" t="s">
        <v>468</v>
      </c>
      <c r="B204" s="2">
        <v>46072</v>
      </c>
      <c r="C204" t="s">
        <v>469</v>
      </c>
      <c r="D204" t="s">
        <v>66</v>
      </c>
      <c r="E204" t="s">
        <v>29</v>
      </c>
      <c r="F204">
        <v>19</v>
      </c>
      <c r="G204" t="s">
        <v>51</v>
      </c>
      <c r="H204" t="s">
        <v>52</v>
      </c>
      <c r="I204" t="s">
        <v>51</v>
      </c>
      <c r="J204" t="s">
        <v>32</v>
      </c>
      <c r="K204">
        <v>1</v>
      </c>
      <c r="L204">
        <v>12794</v>
      </c>
      <c r="M204">
        <v>0</v>
      </c>
      <c r="N204">
        <v>0</v>
      </c>
      <c r="O204">
        <v>2302.92</v>
      </c>
      <c r="P204">
        <v>244</v>
      </c>
      <c r="Q204">
        <v>15340.92</v>
      </c>
      <c r="R204" t="s">
        <v>33</v>
      </c>
      <c r="S204" t="s">
        <v>63</v>
      </c>
      <c r="T204" t="s">
        <v>35</v>
      </c>
      <c r="U204" t="s">
        <v>36</v>
      </c>
      <c r="V204" t="s">
        <v>37</v>
      </c>
      <c r="W204">
        <v>6</v>
      </c>
      <c r="X204" t="s">
        <v>38</v>
      </c>
      <c r="Y204">
        <v>3</v>
      </c>
      <c r="Z204" t="s">
        <v>91</v>
      </c>
    </row>
    <row r="205" spans="1:26" x14ac:dyDescent="0.3">
      <c r="A205" t="s">
        <v>470</v>
      </c>
      <c r="B205" s="2">
        <v>45806</v>
      </c>
      <c r="C205" t="s">
        <v>471</v>
      </c>
      <c r="D205" t="s">
        <v>111</v>
      </c>
      <c r="E205" t="s">
        <v>29</v>
      </c>
      <c r="F205">
        <v>35</v>
      </c>
      <c r="G205" t="s">
        <v>90</v>
      </c>
      <c r="H205" t="s">
        <v>31</v>
      </c>
      <c r="I205" t="s">
        <v>90</v>
      </c>
      <c r="J205" t="s">
        <v>125</v>
      </c>
      <c r="K205">
        <v>4</v>
      </c>
      <c r="L205">
        <v>22668</v>
      </c>
      <c r="M205">
        <v>5</v>
      </c>
      <c r="N205">
        <v>4533.6000000000004</v>
      </c>
      <c r="O205">
        <v>15504.91</v>
      </c>
      <c r="P205">
        <v>15</v>
      </c>
      <c r="Q205">
        <v>101658.31</v>
      </c>
      <c r="R205" t="s">
        <v>83</v>
      </c>
      <c r="S205" t="s">
        <v>63</v>
      </c>
      <c r="T205" t="s">
        <v>103</v>
      </c>
      <c r="U205" t="s">
        <v>103</v>
      </c>
      <c r="V205" t="s">
        <v>57</v>
      </c>
      <c r="W205">
        <v>8</v>
      </c>
      <c r="X205" t="s">
        <v>38</v>
      </c>
      <c r="Y205">
        <v>5</v>
      </c>
      <c r="Z205" t="s">
        <v>47</v>
      </c>
    </row>
    <row r="206" spans="1:26" x14ac:dyDescent="0.3">
      <c r="A206" t="s">
        <v>472</v>
      </c>
      <c r="B206" s="2">
        <v>46031</v>
      </c>
      <c r="C206" t="s">
        <v>473</v>
      </c>
      <c r="D206" t="s">
        <v>61</v>
      </c>
      <c r="E206" t="s">
        <v>29</v>
      </c>
      <c r="F206">
        <v>41</v>
      </c>
      <c r="G206" t="s">
        <v>30</v>
      </c>
      <c r="H206" t="s">
        <v>31</v>
      </c>
      <c r="I206" t="s">
        <v>30</v>
      </c>
      <c r="J206" t="s">
        <v>112</v>
      </c>
      <c r="K206">
        <v>3</v>
      </c>
      <c r="L206">
        <v>5734</v>
      </c>
      <c r="M206">
        <v>20</v>
      </c>
      <c r="N206">
        <v>3440.4</v>
      </c>
      <c r="O206">
        <v>2477.09</v>
      </c>
      <c r="P206">
        <v>0</v>
      </c>
      <c r="Q206">
        <v>16238.69</v>
      </c>
      <c r="R206" t="s">
        <v>83</v>
      </c>
      <c r="S206" t="s">
        <v>63</v>
      </c>
      <c r="T206" t="s">
        <v>70</v>
      </c>
      <c r="U206" t="s">
        <v>56</v>
      </c>
      <c r="V206" t="s">
        <v>57</v>
      </c>
      <c r="W206">
        <v>5</v>
      </c>
      <c r="X206" t="s">
        <v>47</v>
      </c>
      <c r="Y206">
        <v>3</v>
      </c>
      <c r="Z206" t="s">
        <v>58</v>
      </c>
    </row>
    <row r="207" spans="1:26" x14ac:dyDescent="0.3">
      <c r="A207" t="s">
        <v>474</v>
      </c>
      <c r="B207" s="2">
        <v>45926</v>
      </c>
      <c r="C207" t="s">
        <v>475</v>
      </c>
      <c r="D207" t="s">
        <v>50</v>
      </c>
      <c r="E207" t="s">
        <v>29</v>
      </c>
      <c r="F207">
        <v>59</v>
      </c>
      <c r="G207" t="s">
        <v>139</v>
      </c>
      <c r="H207" t="s">
        <v>31</v>
      </c>
      <c r="I207" t="s">
        <v>139</v>
      </c>
      <c r="J207" t="s">
        <v>102</v>
      </c>
      <c r="K207">
        <v>4</v>
      </c>
      <c r="L207">
        <v>30869</v>
      </c>
      <c r="M207">
        <v>0</v>
      </c>
      <c r="N207">
        <v>0</v>
      </c>
      <c r="O207">
        <v>22225.68</v>
      </c>
      <c r="P207">
        <v>282</v>
      </c>
      <c r="Q207">
        <v>145983.67999999999</v>
      </c>
      <c r="R207" t="s">
        <v>83</v>
      </c>
      <c r="S207" t="s">
        <v>34</v>
      </c>
      <c r="T207" t="s">
        <v>84</v>
      </c>
      <c r="U207" t="s">
        <v>85</v>
      </c>
      <c r="V207" t="s">
        <v>86</v>
      </c>
      <c r="W207">
        <v>7</v>
      </c>
      <c r="X207" t="s">
        <v>38</v>
      </c>
      <c r="Y207">
        <v>4</v>
      </c>
      <c r="Z207" t="s">
        <v>91</v>
      </c>
    </row>
    <row r="208" spans="1:26" x14ac:dyDescent="0.3">
      <c r="A208" t="s">
        <v>476</v>
      </c>
      <c r="B208" s="2">
        <v>45797</v>
      </c>
      <c r="C208" t="s">
        <v>477</v>
      </c>
      <c r="D208" t="s">
        <v>66</v>
      </c>
      <c r="E208" t="s">
        <v>29</v>
      </c>
      <c r="F208">
        <v>49</v>
      </c>
      <c r="G208" t="s">
        <v>67</v>
      </c>
      <c r="H208" t="s">
        <v>68</v>
      </c>
      <c r="I208" t="s">
        <v>67</v>
      </c>
      <c r="J208" t="s">
        <v>32</v>
      </c>
      <c r="K208">
        <v>1</v>
      </c>
      <c r="L208">
        <v>7798</v>
      </c>
      <c r="M208">
        <v>10</v>
      </c>
      <c r="N208">
        <v>779.8</v>
      </c>
      <c r="O208">
        <v>1263.28</v>
      </c>
      <c r="P208">
        <v>371</v>
      </c>
      <c r="Q208">
        <v>8652.48</v>
      </c>
      <c r="R208" t="s">
        <v>83</v>
      </c>
      <c r="S208" t="s">
        <v>63</v>
      </c>
      <c r="T208" t="s">
        <v>70</v>
      </c>
      <c r="U208" t="s">
        <v>56</v>
      </c>
      <c r="V208" t="s">
        <v>57</v>
      </c>
      <c r="W208">
        <v>6</v>
      </c>
      <c r="X208" t="s">
        <v>38</v>
      </c>
      <c r="Y208">
        <v>3</v>
      </c>
      <c r="Z208" t="s">
        <v>58</v>
      </c>
    </row>
    <row r="209" spans="1:26" x14ac:dyDescent="0.3">
      <c r="A209" t="s">
        <v>478</v>
      </c>
      <c r="B209" s="2">
        <v>45912</v>
      </c>
      <c r="C209" t="s">
        <v>479</v>
      </c>
      <c r="D209" t="s">
        <v>80</v>
      </c>
      <c r="E209" t="s">
        <v>43</v>
      </c>
      <c r="F209">
        <v>49</v>
      </c>
      <c r="G209" t="s">
        <v>139</v>
      </c>
      <c r="H209" t="s">
        <v>31</v>
      </c>
      <c r="I209" t="s">
        <v>139</v>
      </c>
      <c r="J209" t="s">
        <v>102</v>
      </c>
      <c r="K209">
        <v>2</v>
      </c>
      <c r="L209">
        <v>41986</v>
      </c>
      <c r="M209">
        <v>5</v>
      </c>
      <c r="N209">
        <v>4198.6000000000004</v>
      </c>
      <c r="O209">
        <v>14359.21</v>
      </c>
      <c r="P209">
        <v>169</v>
      </c>
      <c r="Q209">
        <v>94301.61</v>
      </c>
      <c r="R209" t="s">
        <v>83</v>
      </c>
      <c r="S209" t="s">
        <v>63</v>
      </c>
      <c r="T209" t="s">
        <v>70</v>
      </c>
      <c r="U209" t="s">
        <v>56</v>
      </c>
      <c r="V209" t="s">
        <v>57</v>
      </c>
      <c r="W209">
        <v>6</v>
      </c>
      <c r="X209" t="s">
        <v>47</v>
      </c>
      <c r="Y209">
        <v>5</v>
      </c>
      <c r="Z209" t="s">
        <v>91</v>
      </c>
    </row>
    <row r="210" spans="1:26" x14ac:dyDescent="0.3">
      <c r="A210" t="s">
        <v>480</v>
      </c>
      <c r="B210" s="2">
        <v>46020</v>
      </c>
      <c r="C210" t="s">
        <v>481</v>
      </c>
      <c r="D210" t="s">
        <v>66</v>
      </c>
      <c r="E210" t="s">
        <v>29</v>
      </c>
      <c r="F210">
        <v>26</v>
      </c>
      <c r="G210" t="s">
        <v>134</v>
      </c>
      <c r="H210" t="s">
        <v>31</v>
      </c>
      <c r="I210" t="s">
        <v>134</v>
      </c>
      <c r="J210" t="s">
        <v>125</v>
      </c>
      <c r="K210">
        <v>1</v>
      </c>
      <c r="L210">
        <v>31155</v>
      </c>
      <c r="M210">
        <v>5</v>
      </c>
      <c r="N210">
        <v>1557.75</v>
      </c>
      <c r="O210">
        <v>5327.51</v>
      </c>
      <c r="P210">
        <v>11</v>
      </c>
      <c r="Q210">
        <v>34935.75</v>
      </c>
      <c r="R210" t="s">
        <v>54</v>
      </c>
      <c r="S210" t="s">
        <v>34</v>
      </c>
      <c r="T210" t="s">
        <v>95</v>
      </c>
      <c r="U210" t="s">
        <v>96</v>
      </c>
      <c r="V210" t="s">
        <v>57</v>
      </c>
      <c r="W210">
        <v>1</v>
      </c>
      <c r="X210" t="s">
        <v>47</v>
      </c>
      <c r="Y210">
        <v>5</v>
      </c>
      <c r="Z210" t="s">
        <v>39</v>
      </c>
    </row>
    <row r="211" spans="1:26" x14ac:dyDescent="0.3">
      <c r="A211" t="s">
        <v>482</v>
      </c>
      <c r="B211" s="2">
        <v>45836</v>
      </c>
      <c r="C211" t="s">
        <v>249</v>
      </c>
      <c r="D211" t="s">
        <v>66</v>
      </c>
      <c r="E211" t="s">
        <v>43</v>
      </c>
      <c r="F211">
        <v>53</v>
      </c>
      <c r="G211" t="s">
        <v>90</v>
      </c>
      <c r="H211" t="s">
        <v>31</v>
      </c>
      <c r="I211" t="s">
        <v>90</v>
      </c>
      <c r="J211" t="s">
        <v>150</v>
      </c>
      <c r="K211">
        <v>4</v>
      </c>
      <c r="L211">
        <v>41074</v>
      </c>
      <c r="M211">
        <v>20</v>
      </c>
      <c r="N211">
        <v>32859.199999999997</v>
      </c>
      <c r="O211">
        <v>23658.62</v>
      </c>
      <c r="P211">
        <v>115</v>
      </c>
      <c r="Q211">
        <v>155210.42000000001</v>
      </c>
      <c r="R211" t="s">
        <v>45</v>
      </c>
      <c r="S211" t="s">
        <v>34</v>
      </c>
      <c r="T211" t="s">
        <v>103</v>
      </c>
      <c r="U211" t="s">
        <v>103</v>
      </c>
      <c r="V211" t="s">
        <v>57</v>
      </c>
      <c r="W211">
        <v>1</v>
      </c>
      <c r="X211" t="s">
        <v>38</v>
      </c>
      <c r="Y211">
        <v>1</v>
      </c>
      <c r="Z211" t="s">
        <v>47</v>
      </c>
    </row>
    <row r="212" spans="1:26" x14ac:dyDescent="0.3">
      <c r="A212" t="s">
        <v>483</v>
      </c>
      <c r="B212" s="2">
        <v>46013</v>
      </c>
      <c r="C212" t="s">
        <v>484</v>
      </c>
      <c r="D212" t="s">
        <v>73</v>
      </c>
      <c r="E212" t="s">
        <v>29</v>
      </c>
      <c r="F212">
        <v>50</v>
      </c>
      <c r="G212" t="s">
        <v>90</v>
      </c>
      <c r="H212" t="s">
        <v>31</v>
      </c>
      <c r="I212" t="s">
        <v>90</v>
      </c>
      <c r="J212" t="s">
        <v>150</v>
      </c>
      <c r="K212">
        <v>1</v>
      </c>
      <c r="L212">
        <v>47164</v>
      </c>
      <c r="M212">
        <v>20</v>
      </c>
      <c r="N212">
        <v>9432.7999999999993</v>
      </c>
      <c r="O212">
        <v>6791.62</v>
      </c>
      <c r="P212">
        <v>27</v>
      </c>
      <c r="Q212">
        <v>44549.82</v>
      </c>
      <c r="R212" t="s">
        <v>33</v>
      </c>
      <c r="S212" t="s">
        <v>63</v>
      </c>
      <c r="T212" t="s">
        <v>35</v>
      </c>
      <c r="U212" t="s">
        <v>36</v>
      </c>
      <c r="V212" t="s">
        <v>37</v>
      </c>
      <c r="W212">
        <v>3</v>
      </c>
      <c r="X212" t="s">
        <v>47</v>
      </c>
      <c r="Y212">
        <v>3</v>
      </c>
      <c r="Z212" t="s">
        <v>91</v>
      </c>
    </row>
    <row r="213" spans="1:26" x14ac:dyDescent="0.3">
      <c r="A213" t="s">
        <v>485</v>
      </c>
      <c r="B213" s="2">
        <v>46001</v>
      </c>
      <c r="C213" t="s">
        <v>486</v>
      </c>
      <c r="D213" t="s">
        <v>73</v>
      </c>
      <c r="E213" t="s">
        <v>29</v>
      </c>
      <c r="F213">
        <v>35</v>
      </c>
      <c r="G213" t="s">
        <v>51</v>
      </c>
      <c r="H213" t="s">
        <v>52</v>
      </c>
      <c r="I213" t="s">
        <v>51</v>
      </c>
      <c r="J213" t="s">
        <v>75</v>
      </c>
      <c r="K213">
        <v>4</v>
      </c>
      <c r="L213">
        <v>12596</v>
      </c>
      <c r="M213">
        <v>15</v>
      </c>
      <c r="N213">
        <v>7557.6</v>
      </c>
      <c r="O213">
        <v>7708.75</v>
      </c>
      <c r="P213">
        <v>445</v>
      </c>
      <c r="Q213">
        <v>50980.15</v>
      </c>
      <c r="R213" t="s">
        <v>45</v>
      </c>
      <c r="S213" t="s">
        <v>34</v>
      </c>
      <c r="T213" t="s">
        <v>55</v>
      </c>
      <c r="U213" t="s">
        <v>56</v>
      </c>
      <c r="V213" t="s">
        <v>57</v>
      </c>
      <c r="W213">
        <v>8</v>
      </c>
      <c r="X213" t="s">
        <v>38</v>
      </c>
      <c r="Y213">
        <v>3</v>
      </c>
      <c r="Z213" t="s">
        <v>58</v>
      </c>
    </row>
    <row r="214" spans="1:26" x14ac:dyDescent="0.3">
      <c r="A214" t="s">
        <v>487</v>
      </c>
      <c r="B214" s="2">
        <v>46086</v>
      </c>
      <c r="C214" t="s">
        <v>488</v>
      </c>
      <c r="D214" t="s">
        <v>42</v>
      </c>
      <c r="E214" t="s">
        <v>43</v>
      </c>
      <c r="F214">
        <v>35</v>
      </c>
      <c r="G214" t="s">
        <v>134</v>
      </c>
      <c r="H214" t="s">
        <v>31</v>
      </c>
      <c r="I214" t="s">
        <v>134</v>
      </c>
      <c r="J214" t="s">
        <v>62</v>
      </c>
      <c r="K214">
        <v>3</v>
      </c>
      <c r="L214">
        <v>17489</v>
      </c>
      <c r="M214">
        <v>20</v>
      </c>
      <c r="N214">
        <v>10493.4</v>
      </c>
      <c r="O214">
        <v>7555.25</v>
      </c>
      <c r="P214">
        <v>241</v>
      </c>
      <c r="Q214">
        <v>49769.85</v>
      </c>
      <c r="R214" t="s">
        <v>83</v>
      </c>
      <c r="S214" t="s">
        <v>34</v>
      </c>
      <c r="T214" t="s">
        <v>84</v>
      </c>
      <c r="U214" t="s">
        <v>85</v>
      </c>
      <c r="V214" t="s">
        <v>86</v>
      </c>
      <c r="W214">
        <v>8</v>
      </c>
      <c r="X214" t="s">
        <v>47</v>
      </c>
      <c r="Y214">
        <v>4</v>
      </c>
      <c r="Z214" t="s">
        <v>91</v>
      </c>
    </row>
    <row r="215" spans="1:26" x14ac:dyDescent="0.3">
      <c r="A215" t="s">
        <v>489</v>
      </c>
      <c r="B215" s="2">
        <v>46056</v>
      </c>
      <c r="C215" t="s">
        <v>423</v>
      </c>
      <c r="D215" t="s">
        <v>50</v>
      </c>
      <c r="E215" t="s">
        <v>43</v>
      </c>
      <c r="F215">
        <v>54</v>
      </c>
      <c r="G215" t="s">
        <v>44</v>
      </c>
      <c r="H215" t="s">
        <v>31</v>
      </c>
      <c r="I215" t="s">
        <v>44</v>
      </c>
      <c r="J215" t="s">
        <v>125</v>
      </c>
      <c r="K215">
        <v>2</v>
      </c>
      <c r="L215">
        <v>8534</v>
      </c>
      <c r="M215">
        <v>0</v>
      </c>
      <c r="N215">
        <v>0</v>
      </c>
      <c r="O215">
        <v>3072.24</v>
      </c>
      <c r="P215">
        <v>230</v>
      </c>
      <c r="Q215">
        <v>20370.240000000002</v>
      </c>
      <c r="R215" t="s">
        <v>33</v>
      </c>
      <c r="S215" t="s">
        <v>63</v>
      </c>
      <c r="T215" t="s">
        <v>35</v>
      </c>
      <c r="U215" t="s">
        <v>36</v>
      </c>
      <c r="V215" t="s">
        <v>37</v>
      </c>
      <c r="W215">
        <v>6</v>
      </c>
      <c r="X215" t="s">
        <v>38</v>
      </c>
      <c r="Y215">
        <v>3</v>
      </c>
      <c r="Z215" t="s">
        <v>58</v>
      </c>
    </row>
    <row r="216" spans="1:26" x14ac:dyDescent="0.3">
      <c r="A216" t="s">
        <v>490</v>
      </c>
      <c r="B216" s="2">
        <v>46006</v>
      </c>
      <c r="C216" t="s">
        <v>491</v>
      </c>
      <c r="D216" t="s">
        <v>108</v>
      </c>
      <c r="E216" t="s">
        <v>29</v>
      </c>
      <c r="F216">
        <v>48</v>
      </c>
      <c r="G216" t="s">
        <v>99</v>
      </c>
      <c r="H216" t="s">
        <v>52</v>
      </c>
      <c r="I216" t="s">
        <v>99</v>
      </c>
      <c r="J216" t="s">
        <v>125</v>
      </c>
      <c r="K216">
        <v>4</v>
      </c>
      <c r="L216">
        <v>22679</v>
      </c>
      <c r="M216">
        <v>0</v>
      </c>
      <c r="N216">
        <v>0</v>
      </c>
      <c r="O216">
        <v>16328.88</v>
      </c>
      <c r="P216">
        <v>412</v>
      </c>
      <c r="Q216">
        <v>107456.88</v>
      </c>
      <c r="R216" t="s">
        <v>54</v>
      </c>
      <c r="S216" t="s">
        <v>63</v>
      </c>
      <c r="T216" t="s">
        <v>76</v>
      </c>
      <c r="U216" t="s">
        <v>77</v>
      </c>
      <c r="V216" t="s">
        <v>57</v>
      </c>
      <c r="W216">
        <v>4</v>
      </c>
      <c r="X216" t="s">
        <v>38</v>
      </c>
      <c r="Y216">
        <v>5</v>
      </c>
      <c r="Z216" t="s">
        <v>47</v>
      </c>
    </row>
    <row r="217" spans="1:26" x14ac:dyDescent="0.3">
      <c r="A217" t="s">
        <v>492</v>
      </c>
      <c r="B217" s="2">
        <v>45834</v>
      </c>
      <c r="C217" t="s">
        <v>493</v>
      </c>
      <c r="D217" t="s">
        <v>89</v>
      </c>
      <c r="E217" t="s">
        <v>43</v>
      </c>
      <c r="F217">
        <v>29</v>
      </c>
      <c r="G217" t="s">
        <v>94</v>
      </c>
      <c r="H217" t="s">
        <v>31</v>
      </c>
      <c r="I217" t="s">
        <v>94</v>
      </c>
      <c r="J217" t="s">
        <v>69</v>
      </c>
      <c r="K217">
        <v>3</v>
      </c>
      <c r="L217">
        <v>10780</v>
      </c>
      <c r="M217">
        <v>15</v>
      </c>
      <c r="N217">
        <v>4851</v>
      </c>
      <c r="O217">
        <v>4948.0200000000004</v>
      </c>
      <c r="P217">
        <v>12</v>
      </c>
      <c r="Q217">
        <v>32449.02</v>
      </c>
      <c r="R217" t="s">
        <v>83</v>
      </c>
      <c r="S217" t="s">
        <v>63</v>
      </c>
      <c r="T217" t="s">
        <v>84</v>
      </c>
      <c r="U217" t="s">
        <v>85</v>
      </c>
      <c r="V217" t="s">
        <v>86</v>
      </c>
      <c r="W217">
        <v>6</v>
      </c>
      <c r="X217" t="s">
        <v>38</v>
      </c>
      <c r="Y217">
        <v>2</v>
      </c>
      <c r="Z217" t="s">
        <v>39</v>
      </c>
    </row>
    <row r="218" spans="1:26" x14ac:dyDescent="0.3">
      <c r="A218" t="s">
        <v>494</v>
      </c>
      <c r="B218" s="2">
        <v>45780</v>
      </c>
      <c r="C218" t="s">
        <v>495</v>
      </c>
      <c r="D218" t="s">
        <v>50</v>
      </c>
      <c r="E218" t="s">
        <v>29</v>
      </c>
      <c r="F218">
        <v>22</v>
      </c>
      <c r="G218" t="s">
        <v>99</v>
      </c>
      <c r="H218" t="s">
        <v>52</v>
      </c>
      <c r="I218" t="s">
        <v>99</v>
      </c>
      <c r="J218" t="s">
        <v>201</v>
      </c>
      <c r="K218">
        <v>1</v>
      </c>
      <c r="L218">
        <v>41995</v>
      </c>
      <c r="M218">
        <v>15</v>
      </c>
      <c r="N218">
        <v>6299.25</v>
      </c>
      <c r="O218">
        <v>6425.23</v>
      </c>
      <c r="P218">
        <v>363</v>
      </c>
      <c r="Q218">
        <v>42483.99</v>
      </c>
      <c r="R218" t="s">
        <v>33</v>
      </c>
      <c r="S218" t="s">
        <v>34</v>
      </c>
      <c r="T218" t="s">
        <v>35</v>
      </c>
      <c r="U218" t="s">
        <v>36</v>
      </c>
      <c r="V218" t="s">
        <v>37</v>
      </c>
      <c r="W218">
        <v>10</v>
      </c>
      <c r="X218" t="s">
        <v>38</v>
      </c>
      <c r="Y218">
        <v>3</v>
      </c>
      <c r="Z218" t="s">
        <v>91</v>
      </c>
    </row>
    <row r="219" spans="1:26" x14ac:dyDescent="0.3">
      <c r="A219" t="s">
        <v>496</v>
      </c>
      <c r="B219" s="2">
        <v>45800</v>
      </c>
      <c r="C219" t="s">
        <v>497</v>
      </c>
      <c r="D219" t="s">
        <v>66</v>
      </c>
      <c r="E219" t="s">
        <v>29</v>
      </c>
      <c r="F219">
        <v>51</v>
      </c>
      <c r="G219" t="s">
        <v>44</v>
      </c>
      <c r="H219" t="s">
        <v>31</v>
      </c>
      <c r="I219" t="s">
        <v>44</v>
      </c>
      <c r="J219" t="s">
        <v>102</v>
      </c>
      <c r="K219">
        <v>1</v>
      </c>
      <c r="L219">
        <v>2778</v>
      </c>
      <c r="M219">
        <v>15</v>
      </c>
      <c r="N219">
        <v>416.7</v>
      </c>
      <c r="O219">
        <v>425.03</v>
      </c>
      <c r="P219">
        <v>387</v>
      </c>
      <c r="Q219">
        <v>3173.33</v>
      </c>
      <c r="R219" t="s">
        <v>83</v>
      </c>
      <c r="S219" t="s">
        <v>63</v>
      </c>
      <c r="T219" t="s">
        <v>84</v>
      </c>
      <c r="U219" t="s">
        <v>85</v>
      </c>
      <c r="V219" t="s">
        <v>86</v>
      </c>
      <c r="W219">
        <v>9</v>
      </c>
      <c r="X219" t="s">
        <v>38</v>
      </c>
      <c r="Y219">
        <v>5</v>
      </c>
      <c r="Z219" t="s">
        <v>39</v>
      </c>
    </row>
    <row r="220" spans="1:26" x14ac:dyDescent="0.3">
      <c r="A220" t="s">
        <v>498</v>
      </c>
      <c r="B220" s="2">
        <v>45836</v>
      </c>
      <c r="C220" t="s">
        <v>499</v>
      </c>
      <c r="D220" t="s">
        <v>80</v>
      </c>
      <c r="E220" t="s">
        <v>43</v>
      </c>
      <c r="F220">
        <v>27</v>
      </c>
      <c r="G220" t="s">
        <v>67</v>
      </c>
      <c r="H220" t="s">
        <v>68</v>
      </c>
      <c r="I220" t="s">
        <v>67</v>
      </c>
      <c r="J220" t="s">
        <v>69</v>
      </c>
      <c r="K220">
        <v>3</v>
      </c>
      <c r="L220">
        <v>35468</v>
      </c>
      <c r="M220">
        <v>5</v>
      </c>
      <c r="N220">
        <v>5320.2</v>
      </c>
      <c r="O220">
        <v>18195.080000000002</v>
      </c>
      <c r="P220">
        <v>238</v>
      </c>
      <c r="Q220">
        <v>119516.88</v>
      </c>
      <c r="R220" t="s">
        <v>54</v>
      </c>
      <c r="S220" t="s">
        <v>63</v>
      </c>
      <c r="T220" t="s">
        <v>95</v>
      </c>
      <c r="U220" t="s">
        <v>96</v>
      </c>
      <c r="V220" t="s">
        <v>57</v>
      </c>
      <c r="W220">
        <v>4</v>
      </c>
      <c r="X220" t="s">
        <v>47</v>
      </c>
      <c r="Y220">
        <v>1</v>
      </c>
      <c r="Z220" t="s">
        <v>91</v>
      </c>
    </row>
    <row r="221" spans="1:26" x14ac:dyDescent="0.3">
      <c r="A221" t="s">
        <v>500</v>
      </c>
      <c r="B221" s="2">
        <v>45990</v>
      </c>
      <c r="C221" t="s">
        <v>501</v>
      </c>
      <c r="D221" t="s">
        <v>89</v>
      </c>
      <c r="E221" t="s">
        <v>29</v>
      </c>
      <c r="F221">
        <v>50</v>
      </c>
      <c r="G221" t="s">
        <v>90</v>
      </c>
      <c r="H221" t="s">
        <v>31</v>
      </c>
      <c r="I221" t="s">
        <v>90</v>
      </c>
      <c r="J221" t="s">
        <v>69</v>
      </c>
      <c r="K221">
        <v>2</v>
      </c>
      <c r="L221">
        <v>32959</v>
      </c>
      <c r="M221">
        <v>20</v>
      </c>
      <c r="N221">
        <v>13183.6</v>
      </c>
      <c r="O221">
        <v>9492.19</v>
      </c>
      <c r="P221">
        <v>266</v>
      </c>
      <c r="Q221">
        <v>62492.59</v>
      </c>
      <c r="R221" t="s">
        <v>54</v>
      </c>
      <c r="S221" t="s">
        <v>63</v>
      </c>
      <c r="T221" t="s">
        <v>103</v>
      </c>
      <c r="U221" t="s">
        <v>103</v>
      </c>
      <c r="V221" t="s">
        <v>57</v>
      </c>
      <c r="W221">
        <v>8</v>
      </c>
      <c r="X221" t="s">
        <v>47</v>
      </c>
      <c r="Y221">
        <v>5</v>
      </c>
      <c r="Z221" t="s">
        <v>58</v>
      </c>
    </row>
    <row r="222" spans="1:26" x14ac:dyDescent="0.3">
      <c r="A222" t="s">
        <v>502</v>
      </c>
      <c r="B222" s="2">
        <v>45983</v>
      </c>
      <c r="C222" t="s">
        <v>503</v>
      </c>
      <c r="D222" t="s">
        <v>73</v>
      </c>
      <c r="E222" t="s">
        <v>29</v>
      </c>
      <c r="F222">
        <v>53</v>
      </c>
      <c r="G222" t="s">
        <v>94</v>
      </c>
      <c r="H222" t="s">
        <v>31</v>
      </c>
      <c r="I222" t="s">
        <v>94</v>
      </c>
      <c r="J222" t="s">
        <v>69</v>
      </c>
      <c r="K222">
        <v>4</v>
      </c>
      <c r="L222">
        <v>31028</v>
      </c>
      <c r="M222">
        <v>15</v>
      </c>
      <c r="N222">
        <v>18616.8</v>
      </c>
      <c r="O222">
        <v>18989.14</v>
      </c>
      <c r="P222">
        <v>443</v>
      </c>
      <c r="Q222">
        <v>124927.34</v>
      </c>
      <c r="R222" t="s">
        <v>83</v>
      </c>
      <c r="S222" t="s">
        <v>63</v>
      </c>
      <c r="T222" t="s">
        <v>46</v>
      </c>
      <c r="U222" t="s">
        <v>36</v>
      </c>
      <c r="V222" t="s">
        <v>37</v>
      </c>
      <c r="W222">
        <v>1</v>
      </c>
      <c r="X222" t="s">
        <v>47</v>
      </c>
      <c r="Y222">
        <v>3</v>
      </c>
      <c r="Z222" t="s">
        <v>91</v>
      </c>
    </row>
    <row r="223" spans="1:26" x14ac:dyDescent="0.3">
      <c r="A223" t="s">
        <v>504</v>
      </c>
      <c r="B223" s="2">
        <v>45973</v>
      </c>
      <c r="C223" t="s">
        <v>505</v>
      </c>
      <c r="D223" t="s">
        <v>42</v>
      </c>
      <c r="E223" t="s">
        <v>43</v>
      </c>
      <c r="F223">
        <v>54</v>
      </c>
      <c r="G223" t="s">
        <v>134</v>
      </c>
      <c r="H223" t="s">
        <v>31</v>
      </c>
      <c r="I223" t="s">
        <v>134</v>
      </c>
      <c r="J223" t="s">
        <v>62</v>
      </c>
      <c r="K223">
        <v>4</v>
      </c>
      <c r="L223">
        <v>19158</v>
      </c>
      <c r="M223">
        <v>15</v>
      </c>
      <c r="N223">
        <v>11494.8</v>
      </c>
      <c r="O223">
        <v>11724.7</v>
      </c>
      <c r="P223">
        <v>319</v>
      </c>
      <c r="Q223">
        <v>77180.899999999994</v>
      </c>
      <c r="R223" t="s">
        <v>54</v>
      </c>
      <c r="S223" t="s">
        <v>34</v>
      </c>
      <c r="T223" t="s">
        <v>84</v>
      </c>
      <c r="U223" t="s">
        <v>85</v>
      </c>
      <c r="V223" t="s">
        <v>86</v>
      </c>
      <c r="W223">
        <v>4</v>
      </c>
      <c r="X223" t="s">
        <v>47</v>
      </c>
      <c r="Y223">
        <v>2</v>
      </c>
      <c r="Z223" t="s">
        <v>91</v>
      </c>
    </row>
    <row r="224" spans="1:26" x14ac:dyDescent="0.3">
      <c r="A224" t="s">
        <v>506</v>
      </c>
      <c r="B224" s="2">
        <v>45791</v>
      </c>
      <c r="C224" t="s">
        <v>507</v>
      </c>
      <c r="D224" t="s">
        <v>108</v>
      </c>
      <c r="E224" t="s">
        <v>43</v>
      </c>
      <c r="F224">
        <v>57</v>
      </c>
      <c r="G224" t="s">
        <v>94</v>
      </c>
      <c r="H224" t="s">
        <v>31</v>
      </c>
      <c r="I224" t="s">
        <v>94</v>
      </c>
      <c r="J224" t="s">
        <v>32</v>
      </c>
      <c r="K224">
        <v>1</v>
      </c>
      <c r="L224">
        <v>25847</v>
      </c>
      <c r="M224">
        <v>10</v>
      </c>
      <c r="N224">
        <v>2584.6999999999998</v>
      </c>
      <c r="O224">
        <v>4187.21</v>
      </c>
      <c r="P224">
        <v>496</v>
      </c>
      <c r="Q224">
        <v>27945.51</v>
      </c>
      <c r="R224" t="s">
        <v>54</v>
      </c>
      <c r="S224" t="s">
        <v>34</v>
      </c>
      <c r="T224" t="s">
        <v>84</v>
      </c>
      <c r="U224" t="s">
        <v>85</v>
      </c>
      <c r="V224" t="s">
        <v>86</v>
      </c>
      <c r="W224">
        <v>9</v>
      </c>
      <c r="X224" t="s">
        <v>47</v>
      </c>
      <c r="Y224">
        <v>1</v>
      </c>
      <c r="Z224" t="s">
        <v>58</v>
      </c>
    </row>
    <row r="225" spans="1:26" x14ac:dyDescent="0.3">
      <c r="A225" t="s">
        <v>508</v>
      </c>
      <c r="B225" s="2">
        <v>46003</v>
      </c>
      <c r="C225" t="s">
        <v>509</v>
      </c>
      <c r="D225" t="s">
        <v>80</v>
      </c>
      <c r="E225" t="s">
        <v>43</v>
      </c>
      <c r="F225">
        <v>44</v>
      </c>
      <c r="G225" t="s">
        <v>67</v>
      </c>
      <c r="H225" t="s">
        <v>68</v>
      </c>
      <c r="I225" t="s">
        <v>67</v>
      </c>
      <c r="J225" t="s">
        <v>201</v>
      </c>
      <c r="K225">
        <v>2</v>
      </c>
      <c r="L225">
        <v>27899</v>
      </c>
      <c r="M225">
        <v>5</v>
      </c>
      <c r="N225">
        <v>2789.9</v>
      </c>
      <c r="O225">
        <v>9541.4599999999991</v>
      </c>
      <c r="P225">
        <v>245</v>
      </c>
      <c r="Q225">
        <v>62794.559999999998</v>
      </c>
      <c r="R225" t="s">
        <v>54</v>
      </c>
      <c r="S225" t="s">
        <v>34</v>
      </c>
      <c r="T225" t="s">
        <v>55</v>
      </c>
      <c r="U225" t="s">
        <v>56</v>
      </c>
      <c r="V225" t="s">
        <v>57</v>
      </c>
      <c r="W225">
        <v>6</v>
      </c>
      <c r="X225" t="s">
        <v>47</v>
      </c>
      <c r="Y225">
        <v>2</v>
      </c>
      <c r="Z225" t="s">
        <v>39</v>
      </c>
    </row>
    <row r="226" spans="1:26" x14ac:dyDescent="0.3">
      <c r="A226" t="s">
        <v>510</v>
      </c>
      <c r="B226" s="2">
        <v>45975</v>
      </c>
      <c r="C226" t="s">
        <v>511</v>
      </c>
      <c r="D226" t="s">
        <v>61</v>
      </c>
      <c r="E226" t="s">
        <v>43</v>
      </c>
      <c r="F226">
        <v>32</v>
      </c>
      <c r="G226" t="s">
        <v>30</v>
      </c>
      <c r="H226" t="s">
        <v>31</v>
      </c>
      <c r="I226" t="s">
        <v>30</v>
      </c>
      <c r="J226" t="s">
        <v>150</v>
      </c>
      <c r="K226">
        <v>5</v>
      </c>
      <c r="L226">
        <v>4763</v>
      </c>
      <c r="M226">
        <v>20</v>
      </c>
      <c r="N226">
        <v>4763</v>
      </c>
      <c r="O226">
        <v>3429.36</v>
      </c>
      <c r="P226">
        <v>197</v>
      </c>
      <c r="Q226">
        <v>22678.36</v>
      </c>
      <c r="R226" t="s">
        <v>83</v>
      </c>
      <c r="S226" t="s">
        <v>34</v>
      </c>
      <c r="T226" t="s">
        <v>76</v>
      </c>
      <c r="U226" t="s">
        <v>77</v>
      </c>
      <c r="V226" t="s">
        <v>57</v>
      </c>
      <c r="W226">
        <v>6</v>
      </c>
      <c r="X226" t="s">
        <v>47</v>
      </c>
      <c r="Y226">
        <v>1</v>
      </c>
      <c r="Z226" t="s">
        <v>58</v>
      </c>
    </row>
    <row r="227" spans="1:26" x14ac:dyDescent="0.3">
      <c r="A227" t="s">
        <v>512</v>
      </c>
      <c r="B227" s="2">
        <v>45945</v>
      </c>
      <c r="C227" t="s">
        <v>513</v>
      </c>
      <c r="D227" t="s">
        <v>61</v>
      </c>
      <c r="E227" t="s">
        <v>43</v>
      </c>
      <c r="F227">
        <v>18</v>
      </c>
      <c r="G227" t="s">
        <v>30</v>
      </c>
      <c r="H227" t="s">
        <v>31</v>
      </c>
      <c r="I227" t="s">
        <v>30</v>
      </c>
      <c r="J227" t="s">
        <v>125</v>
      </c>
      <c r="K227">
        <v>2</v>
      </c>
      <c r="L227">
        <v>26643</v>
      </c>
      <c r="M227">
        <v>0</v>
      </c>
      <c r="N227">
        <v>0</v>
      </c>
      <c r="O227">
        <v>9591.48</v>
      </c>
      <c r="P227">
        <v>210</v>
      </c>
      <c r="Q227">
        <v>63087.48</v>
      </c>
      <c r="R227" t="s">
        <v>45</v>
      </c>
      <c r="S227" t="s">
        <v>34</v>
      </c>
      <c r="T227" t="s">
        <v>35</v>
      </c>
      <c r="U227" t="s">
        <v>36</v>
      </c>
      <c r="V227" t="s">
        <v>37</v>
      </c>
      <c r="W227">
        <v>3</v>
      </c>
      <c r="X227" t="s">
        <v>38</v>
      </c>
      <c r="Y227">
        <v>2</v>
      </c>
      <c r="Z227" t="s">
        <v>91</v>
      </c>
    </row>
    <row r="228" spans="1:26" x14ac:dyDescent="0.3">
      <c r="A228" t="s">
        <v>514</v>
      </c>
      <c r="B228" s="2">
        <v>45907</v>
      </c>
      <c r="C228" t="s">
        <v>515</v>
      </c>
      <c r="D228" t="s">
        <v>108</v>
      </c>
      <c r="E228" t="s">
        <v>43</v>
      </c>
      <c r="F228">
        <v>41</v>
      </c>
      <c r="G228" t="s">
        <v>94</v>
      </c>
      <c r="H228" t="s">
        <v>31</v>
      </c>
      <c r="I228" t="s">
        <v>94</v>
      </c>
      <c r="J228" t="s">
        <v>62</v>
      </c>
      <c r="K228">
        <v>2</v>
      </c>
      <c r="L228">
        <v>15860</v>
      </c>
      <c r="M228">
        <v>20</v>
      </c>
      <c r="N228">
        <v>6344</v>
      </c>
      <c r="O228">
        <v>4567.68</v>
      </c>
      <c r="P228">
        <v>237</v>
      </c>
      <c r="Q228">
        <v>30180.68</v>
      </c>
      <c r="R228" t="s">
        <v>33</v>
      </c>
      <c r="S228" t="s">
        <v>63</v>
      </c>
      <c r="T228" t="s">
        <v>46</v>
      </c>
      <c r="U228" t="s">
        <v>36</v>
      </c>
      <c r="V228" t="s">
        <v>37</v>
      </c>
      <c r="W228">
        <v>9</v>
      </c>
      <c r="X228" t="s">
        <v>47</v>
      </c>
      <c r="Y228">
        <v>4</v>
      </c>
      <c r="Z228" t="s">
        <v>39</v>
      </c>
    </row>
    <row r="229" spans="1:26" x14ac:dyDescent="0.3">
      <c r="A229" t="s">
        <v>516</v>
      </c>
      <c r="B229" s="2">
        <v>46058</v>
      </c>
      <c r="C229" t="s">
        <v>517</v>
      </c>
      <c r="D229" t="s">
        <v>28</v>
      </c>
      <c r="E229" t="s">
        <v>43</v>
      </c>
      <c r="F229">
        <v>56</v>
      </c>
      <c r="G229" t="s">
        <v>90</v>
      </c>
      <c r="H229" t="s">
        <v>31</v>
      </c>
      <c r="I229" t="s">
        <v>90</v>
      </c>
      <c r="J229" t="s">
        <v>112</v>
      </c>
      <c r="K229">
        <v>5</v>
      </c>
      <c r="L229">
        <v>7974</v>
      </c>
      <c r="M229">
        <v>5</v>
      </c>
      <c r="N229">
        <v>1993.5</v>
      </c>
      <c r="O229">
        <v>6817.77</v>
      </c>
      <c r="P229">
        <v>291</v>
      </c>
      <c r="Q229">
        <v>44985.27</v>
      </c>
      <c r="R229" t="s">
        <v>83</v>
      </c>
      <c r="S229" t="s">
        <v>63</v>
      </c>
      <c r="T229" t="s">
        <v>46</v>
      </c>
      <c r="U229" t="s">
        <v>36</v>
      </c>
      <c r="V229" t="s">
        <v>37</v>
      </c>
      <c r="W229">
        <v>4</v>
      </c>
      <c r="X229" t="s">
        <v>38</v>
      </c>
      <c r="Y229">
        <v>2</v>
      </c>
      <c r="Z229" t="s">
        <v>39</v>
      </c>
    </row>
    <row r="230" spans="1:26" x14ac:dyDescent="0.3">
      <c r="A230" t="s">
        <v>518</v>
      </c>
      <c r="B230" s="2">
        <v>46068</v>
      </c>
      <c r="C230" t="s">
        <v>519</v>
      </c>
      <c r="D230" t="s">
        <v>73</v>
      </c>
      <c r="E230" t="s">
        <v>29</v>
      </c>
      <c r="F230">
        <v>35</v>
      </c>
      <c r="G230" t="s">
        <v>67</v>
      </c>
      <c r="H230" t="s">
        <v>68</v>
      </c>
      <c r="I230" t="s">
        <v>67</v>
      </c>
      <c r="J230" t="s">
        <v>201</v>
      </c>
      <c r="K230">
        <v>3</v>
      </c>
      <c r="L230">
        <v>41035</v>
      </c>
      <c r="M230">
        <v>20</v>
      </c>
      <c r="N230">
        <v>24621</v>
      </c>
      <c r="O230">
        <v>17727.12</v>
      </c>
      <c r="P230">
        <v>486</v>
      </c>
      <c r="Q230">
        <v>116697.12</v>
      </c>
      <c r="R230" t="s">
        <v>33</v>
      </c>
      <c r="S230" t="s">
        <v>63</v>
      </c>
      <c r="T230" t="s">
        <v>103</v>
      </c>
      <c r="U230" t="s">
        <v>103</v>
      </c>
      <c r="V230" t="s">
        <v>57</v>
      </c>
      <c r="W230">
        <v>9</v>
      </c>
      <c r="X230" t="s">
        <v>47</v>
      </c>
      <c r="Y230">
        <v>1</v>
      </c>
      <c r="Z230" t="s">
        <v>91</v>
      </c>
    </row>
    <row r="231" spans="1:26" x14ac:dyDescent="0.3">
      <c r="A231" t="s">
        <v>520</v>
      </c>
      <c r="B231" s="2">
        <v>45802</v>
      </c>
      <c r="C231" t="s">
        <v>521</v>
      </c>
      <c r="D231" t="s">
        <v>28</v>
      </c>
      <c r="E231" t="s">
        <v>29</v>
      </c>
      <c r="F231">
        <v>23</v>
      </c>
      <c r="G231" t="s">
        <v>30</v>
      </c>
      <c r="H231" t="s">
        <v>31</v>
      </c>
      <c r="I231" t="s">
        <v>30</v>
      </c>
      <c r="J231" t="s">
        <v>201</v>
      </c>
      <c r="K231">
        <v>5</v>
      </c>
      <c r="L231">
        <v>13190</v>
      </c>
      <c r="M231">
        <v>0</v>
      </c>
      <c r="N231">
        <v>0</v>
      </c>
      <c r="O231">
        <v>11871</v>
      </c>
      <c r="P231">
        <v>493</v>
      </c>
      <c r="Q231">
        <v>78314</v>
      </c>
      <c r="R231" t="s">
        <v>45</v>
      </c>
      <c r="S231" t="s">
        <v>34</v>
      </c>
      <c r="T231" t="s">
        <v>46</v>
      </c>
      <c r="U231" t="s">
        <v>36</v>
      </c>
      <c r="V231" t="s">
        <v>37</v>
      </c>
      <c r="W231">
        <v>10</v>
      </c>
      <c r="X231" t="s">
        <v>47</v>
      </c>
      <c r="Y231">
        <v>3</v>
      </c>
      <c r="Z231" t="s">
        <v>91</v>
      </c>
    </row>
    <row r="232" spans="1:26" x14ac:dyDescent="0.3">
      <c r="A232" t="s">
        <v>522</v>
      </c>
      <c r="B232" s="2">
        <v>46117</v>
      </c>
      <c r="C232" t="s">
        <v>523</v>
      </c>
      <c r="D232" t="s">
        <v>50</v>
      </c>
      <c r="E232" t="s">
        <v>43</v>
      </c>
      <c r="F232">
        <v>19</v>
      </c>
      <c r="G232" t="s">
        <v>134</v>
      </c>
      <c r="H232" t="s">
        <v>31</v>
      </c>
      <c r="I232" t="s">
        <v>134</v>
      </c>
      <c r="J232" t="s">
        <v>53</v>
      </c>
      <c r="K232">
        <v>3</v>
      </c>
      <c r="L232">
        <v>35079</v>
      </c>
      <c r="M232">
        <v>20</v>
      </c>
      <c r="N232">
        <v>21047.4</v>
      </c>
      <c r="O232">
        <v>15154.13</v>
      </c>
      <c r="P232">
        <v>50</v>
      </c>
      <c r="Q232">
        <v>99393.73</v>
      </c>
      <c r="R232" t="s">
        <v>54</v>
      </c>
      <c r="S232" t="s">
        <v>63</v>
      </c>
      <c r="T232" t="s">
        <v>70</v>
      </c>
      <c r="U232" t="s">
        <v>56</v>
      </c>
      <c r="V232" t="s">
        <v>57</v>
      </c>
      <c r="W232">
        <v>8</v>
      </c>
      <c r="X232" t="s">
        <v>38</v>
      </c>
      <c r="Y232">
        <v>3</v>
      </c>
      <c r="Z232" t="s">
        <v>58</v>
      </c>
    </row>
    <row r="233" spans="1:26" x14ac:dyDescent="0.3">
      <c r="A233" t="s">
        <v>524</v>
      </c>
      <c r="B233" s="2">
        <v>45897</v>
      </c>
      <c r="C233" t="s">
        <v>435</v>
      </c>
      <c r="D233" t="s">
        <v>61</v>
      </c>
      <c r="E233" t="s">
        <v>29</v>
      </c>
      <c r="F233">
        <v>43</v>
      </c>
      <c r="G233" t="s">
        <v>74</v>
      </c>
      <c r="H233" t="s">
        <v>31</v>
      </c>
      <c r="I233" t="s">
        <v>74</v>
      </c>
      <c r="J233" t="s">
        <v>62</v>
      </c>
      <c r="K233">
        <v>4</v>
      </c>
      <c r="L233">
        <v>19650</v>
      </c>
      <c r="M233">
        <v>0</v>
      </c>
      <c r="N233">
        <v>0</v>
      </c>
      <c r="O233">
        <v>14148</v>
      </c>
      <c r="P233">
        <v>372</v>
      </c>
      <c r="Q233">
        <v>93120</v>
      </c>
      <c r="R233" t="s">
        <v>83</v>
      </c>
      <c r="S233" t="s">
        <v>63</v>
      </c>
      <c r="T233" t="s">
        <v>103</v>
      </c>
      <c r="U233" t="s">
        <v>103</v>
      </c>
      <c r="V233" t="s">
        <v>57</v>
      </c>
      <c r="W233">
        <v>3</v>
      </c>
      <c r="X233" t="s">
        <v>38</v>
      </c>
      <c r="Y233">
        <v>4</v>
      </c>
      <c r="Z233" t="s">
        <v>58</v>
      </c>
    </row>
    <row r="234" spans="1:26" x14ac:dyDescent="0.3">
      <c r="A234" t="s">
        <v>525</v>
      </c>
      <c r="B234" s="2">
        <v>46027</v>
      </c>
      <c r="C234" t="s">
        <v>526</v>
      </c>
      <c r="D234" t="s">
        <v>80</v>
      </c>
      <c r="E234" t="s">
        <v>43</v>
      </c>
      <c r="F234">
        <v>23</v>
      </c>
      <c r="G234" t="s">
        <v>67</v>
      </c>
      <c r="H234" t="s">
        <v>68</v>
      </c>
      <c r="I234" t="s">
        <v>67</v>
      </c>
      <c r="J234" t="s">
        <v>69</v>
      </c>
      <c r="K234">
        <v>3</v>
      </c>
      <c r="L234">
        <v>7283</v>
      </c>
      <c r="M234">
        <v>0</v>
      </c>
      <c r="N234">
        <v>0</v>
      </c>
      <c r="O234">
        <v>3932.82</v>
      </c>
      <c r="P234">
        <v>89</v>
      </c>
      <c r="Q234">
        <v>25870.82</v>
      </c>
      <c r="R234" t="s">
        <v>83</v>
      </c>
      <c r="S234" t="s">
        <v>34</v>
      </c>
      <c r="T234" t="s">
        <v>76</v>
      </c>
      <c r="U234" t="s">
        <v>77</v>
      </c>
      <c r="V234" t="s">
        <v>57</v>
      </c>
      <c r="W234">
        <v>5</v>
      </c>
      <c r="X234" t="s">
        <v>38</v>
      </c>
      <c r="Y234">
        <v>4</v>
      </c>
      <c r="Z234" t="s">
        <v>47</v>
      </c>
    </row>
    <row r="235" spans="1:26" x14ac:dyDescent="0.3">
      <c r="A235" t="s">
        <v>527</v>
      </c>
      <c r="B235" s="2">
        <v>45846</v>
      </c>
      <c r="C235" t="s">
        <v>528</v>
      </c>
      <c r="D235" t="s">
        <v>80</v>
      </c>
      <c r="E235" t="s">
        <v>29</v>
      </c>
      <c r="F235">
        <v>47</v>
      </c>
      <c r="G235" t="s">
        <v>134</v>
      </c>
      <c r="H235" t="s">
        <v>31</v>
      </c>
      <c r="I235" t="s">
        <v>134</v>
      </c>
      <c r="J235" t="s">
        <v>112</v>
      </c>
      <c r="K235">
        <v>2</v>
      </c>
      <c r="L235">
        <v>18597</v>
      </c>
      <c r="M235">
        <v>0</v>
      </c>
      <c r="N235">
        <v>0</v>
      </c>
      <c r="O235">
        <v>6694.92</v>
      </c>
      <c r="P235">
        <v>194</v>
      </c>
      <c r="Q235">
        <v>44082.92</v>
      </c>
      <c r="R235" t="s">
        <v>33</v>
      </c>
      <c r="S235" t="s">
        <v>34</v>
      </c>
      <c r="T235" t="s">
        <v>46</v>
      </c>
      <c r="U235" t="s">
        <v>36</v>
      </c>
      <c r="V235" t="s">
        <v>37</v>
      </c>
      <c r="W235">
        <v>6</v>
      </c>
      <c r="X235" t="s">
        <v>47</v>
      </c>
      <c r="Y235">
        <v>1</v>
      </c>
      <c r="Z235" t="s">
        <v>39</v>
      </c>
    </row>
    <row r="236" spans="1:26" x14ac:dyDescent="0.3">
      <c r="A236" t="s">
        <v>529</v>
      </c>
      <c r="B236" s="2">
        <v>45812</v>
      </c>
      <c r="C236" t="s">
        <v>321</v>
      </c>
      <c r="D236" t="s">
        <v>80</v>
      </c>
      <c r="E236" t="s">
        <v>43</v>
      </c>
      <c r="F236">
        <v>41</v>
      </c>
      <c r="G236" t="s">
        <v>99</v>
      </c>
      <c r="H236" t="s">
        <v>52</v>
      </c>
      <c r="I236" t="s">
        <v>99</v>
      </c>
      <c r="J236" t="s">
        <v>125</v>
      </c>
      <c r="K236">
        <v>1</v>
      </c>
      <c r="L236">
        <v>17820</v>
      </c>
      <c r="M236">
        <v>20</v>
      </c>
      <c r="N236">
        <v>3564</v>
      </c>
      <c r="O236">
        <v>2566.08</v>
      </c>
      <c r="P236">
        <v>383</v>
      </c>
      <c r="Q236">
        <v>17205.080000000002</v>
      </c>
      <c r="R236" t="s">
        <v>83</v>
      </c>
      <c r="S236" t="s">
        <v>63</v>
      </c>
      <c r="T236" t="s">
        <v>46</v>
      </c>
      <c r="U236" t="s">
        <v>36</v>
      </c>
      <c r="V236" t="s">
        <v>37</v>
      </c>
      <c r="W236">
        <v>8</v>
      </c>
      <c r="X236" t="s">
        <v>38</v>
      </c>
      <c r="Y236">
        <v>5</v>
      </c>
      <c r="Z236" t="s">
        <v>58</v>
      </c>
    </row>
    <row r="237" spans="1:26" x14ac:dyDescent="0.3">
      <c r="A237" t="s">
        <v>530</v>
      </c>
      <c r="B237" s="2">
        <v>45930</v>
      </c>
      <c r="C237" t="s">
        <v>531</v>
      </c>
      <c r="D237" t="s">
        <v>61</v>
      </c>
      <c r="E237" t="s">
        <v>29</v>
      </c>
      <c r="F237">
        <v>58</v>
      </c>
      <c r="G237" t="s">
        <v>99</v>
      </c>
      <c r="H237" t="s">
        <v>52</v>
      </c>
      <c r="I237" t="s">
        <v>99</v>
      </c>
      <c r="J237" t="s">
        <v>32</v>
      </c>
      <c r="K237">
        <v>5</v>
      </c>
      <c r="L237">
        <v>29380</v>
      </c>
      <c r="M237">
        <v>10</v>
      </c>
      <c r="N237">
        <v>14690</v>
      </c>
      <c r="O237">
        <v>23797.8</v>
      </c>
      <c r="P237">
        <v>177</v>
      </c>
      <c r="Q237">
        <v>156184.79999999999</v>
      </c>
      <c r="R237" t="s">
        <v>83</v>
      </c>
      <c r="S237" t="s">
        <v>63</v>
      </c>
      <c r="T237" t="s">
        <v>46</v>
      </c>
      <c r="U237" t="s">
        <v>36</v>
      </c>
      <c r="V237" t="s">
        <v>37</v>
      </c>
      <c r="W237">
        <v>10</v>
      </c>
      <c r="X237" t="s">
        <v>47</v>
      </c>
      <c r="Y237">
        <v>1</v>
      </c>
      <c r="Z237" t="s">
        <v>39</v>
      </c>
    </row>
    <row r="238" spans="1:26" x14ac:dyDescent="0.3">
      <c r="A238" t="s">
        <v>532</v>
      </c>
      <c r="B238" s="2">
        <v>45960</v>
      </c>
      <c r="C238" t="s">
        <v>533</v>
      </c>
      <c r="D238" t="s">
        <v>89</v>
      </c>
      <c r="E238" t="s">
        <v>43</v>
      </c>
      <c r="F238">
        <v>55</v>
      </c>
      <c r="G238" t="s">
        <v>30</v>
      </c>
      <c r="H238" t="s">
        <v>31</v>
      </c>
      <c r="I238" t="s">
        <v>30</v>
      </c>
      <c r="J238" t="s">
        <v>112</v>
      </c>
      <c r="K238">
        <v>5</v>
      </c>
      <c r="L238">
        <v>48636</v>
      </c>
      <c r="M238">
        <v>20</v>
      </c>
      <c r="N238">
        <v>48636</v>
      </c>
      <c r="O238">
        <v>35017.919999999998</v>
      </c>
      <c r="P238">
        <v>254</v>
      </c>
      <c r="Q238">
        <v>229815.92</v>
      </c>
      <c r="R238" t="s">
        <v>45</v>
      </c>
      <c r="S238" t="s">
        <v>34</v>
      </c>
      <c r="T238" t="s">
        <v>55</v>
      </c>
      <c r="U238" t="s">
        <v>56</v>
      </c>
      <c r="V238" t="s">
        <v>57</v>
      </c>
      <c r="W238">
        <v>3</v>
      </c>
      <c r="X238" t="s">
        <v>38</v>
      </c>
      <c r="Y238">
        <v>2</v>
      </c>
      <c r="Z238" t="s">
        <v>39</v>
      </c>
    </row>
    <row r="239" spans="1:26" x14ac:dyDescent="0.3">
      <c r="A239" t="s">
        <v>534</v>
      </c>
      <c r="B239" s="2">
        <v>46092</v>
      </c>
      <c r="C239" t="s">
        <v>327</v>
      </c>
      <c r="D239" t="s">
        <v>50</v>
      </c>
      <c r="E239" t="s">
        <v>29</v>
      </c>
      <c r="F239">
        <v>40</v>
      </c>
      <c r="G239" t="s">
        <v>30</v>
      </c>
      <c r="H239" t="s">
        <v>31</v>
      </c>
      <c r="I239" t="s">
        <v>30</v>
      </c>
      <c r="J239" t="s">
        <v>102</v>
      </c>
      <c r="K239">
        <v>3</v>
      </c>
      <c r="L239">
        <v>4058</v>
      </c>
      <c r="M239">
        <v>0</v>
      </c>
      <c r="N239">
        <v>0</v>
      </c>
      <c r="O239">
        <v>2191.3200000000002</v>
      </c>
      <c r="P239">
        <v>130</v>
      </c>
      <c r="Q239">
        <v>14495.32</v>
      </c>
      <c r="R239" t="s">
        <v>33</v>
      </c>
      <c r="S239" t="s">
        <v>63</v>
      </c>
      <c r="T239" t="s">
        <v>55</v>
      </c>
      <c r="U239" t="s">
        <v>56</v>
      </c>
      <c r="V239" t="s">
        <v>57</v>
      </c>
      <c r="W239">
        <v>4</v>
      </c>
      <c r="X239" t="s">
        <v>38</v>
      </c>
      <c r="Y239">
        <v>5</v>
      </c>
      <c r="Z239" t="s">
        <v>91</v>
      </c>
    </row>
    <row r="240" spans="1:26" x14ac:dyDescent="0.3">
      <c r="A240" t="s">
        <v>535</v>
      </c>
      <c r="B240" s="2">
        <v>46070</v>
      </c>
      <c r="C240" t="s">
        <v>414</v>
      </c>
      <c r="D240" t="s">
        <v>73</v>
      </c>
      <c r="E240" t="s">
        <v>43</v>
      </c>
      <c r="F240">
        <v>50</v>
      </c>
      <c r="G240" t="s">
        <v>90</v>
      </c>
      <c r="H240" t="s">
        <v>31</v>
      </c>
      <c r="I240" t="s">
        <v>90</v>
      </c>
      <c r="J240" t="s">
        <v>201</v>
      </c>
      <c r="K240">
        <v>2</v>
      </c>
      <c r="L240">
        <v>16518</v>
      </c>
      <c r="M240">
        <v>15</v>
      </c>
      <c r="N240">
        <v>4955.3999999999996</v>
      </c>
      <c r="O240">
        <v>5054.51</v>
      </c>
      <c r="P240">
        <v>326</v>
      </c>
      <c r="Q240">
        <v>33461.11</v>
      </c>
      <c r="R240" t="s">
        <v>33</v>
      </c>
      <c r="S240" t="s">
        <v>34</v>
      </c>
      <c r="T240" t="s">
        <v>46</v>
      </c>
      <c r="U240" t="s">
        <v>36</v>
      </c>
      <c r="V240" t="s">
        <v>37</v>
      </c>
      <c r="W240">
        <v>1</v>
      </c>
      <c r="X240" t="s">
        <v>47</v>
      </c>
      <c r="Y240">
        <v>1</v>
      </c>
      <c r="Z240" t="s">
        <v>47</v>
      </c>
    </row>
    <row r="241" spans="1:26" x14ac:dyDescent="0.3">
      <c r="A241" t="s">
        <v>536</v>
      </c>
      <c r="B241" s="2">
        <v>45807</v>
      </c>
      <c r="C241" t="s">
        <v>386</v>
      </c>
      <c r="D241" t="s">
        <v>73</v>
      </c>
      <c r="E241" t="s">
        <v>43</v>
      </c>
      <c r="F241">
        <v>42</v>
      </c>
      <c r="G241" t="s">
        <v>99</v>
      </c>
      <c r="H241" t="s">
        <v>52</v>
      </c>
      <c r="I241" t="s">
        <v>99</v>
      </c>
      <c r="J241" t="s">
        <v>69</v>
      </c>
      <c r="K241">
        <v>2</v>
      </c>
      <c r="L241">
        <v>42034</v>
      </c>
      <c r="M241">
        <v>20</v>
      </c>
      <c r="N241">
        <v>16813.599999999999</v>
      </c>
      <c r="O241">
        <v>12105.79</v>
      </c>
      <c r="P241">
        <v>55</v>
      </c>
      <c r="Q241">
        <v>79415.19</v>
      </c>
      <c r="R241" t="s">
        <v>33</v>
      </c>
      <c r="S241" t="s">
        <v>63</v>
      </c>
      <c r="T241" t="s">
        <v>76</v>
      </c>
      <c r="U241" t="s">
        <v>77</v>
      </c>
      <c r="V241" t="s">
        <v>57</v>
      </c>
      <c r="W241">
        <v>6</v>
      </c>
      <c r="X241" t="s">
        <v>47</v>
      </c>
      <c r="Y241">
        <v>1</v>
      </c>
      <c r="Z241" t="s">
        <v>58</v>
      </c>
    </row>
    <row r="242" spans="1:26" x14ac:dyDescent="0.3">
      <c r="A242" t="s">
        <v>537</v>
      </c>
      <c r="B242" s="2">
        <v>45973</v>
      </c>
      <c r="C242" t="s">
        <v>538</v>
      </c>
      <c r="D242" t="s">
        <v>80</v>
      </c>
      <c r="E242" t="s">
        <v>29</v>
      </c>
      <c r="F242">
        <v>43</v>
      </c>
      <c r="G242" t="s">
        <v>51</v>
      </c>
      <c r="H242" t="s">
        <v>52</v>
      </c>
      <c r="I242" t="s">
        <v>51</v>
      </c>
      <c r="J242" t="s">
        <v>112</v>
      </c>
      <c r="K242">
        <v>2</v>
      </c>
      <c r="L242">
        <v>40255</v>
      </c>
      <c r="M242">
        <v>0</v>
      </c>
      <c r="N242">
        <v>0</v>
      </c>
      <c r="O242">
        <v>14491.8</v>
      </c>
      <c r="P242">
        <v>415</v>
      </c>
      <c r="Q242">
        <v>95416.8</v>
      </c>
      <c r="R242" t="s">
        <v>83</v>
      </c>
      <c r="S242" t="s">
        <v>34</v>
      </c>
      <c r="T242" t="s">
        <v>70</v>
      </c>
      <c r="U242" t="s">
        <v>56</v>
      </c>
      <c r="V242" t="s">
        <v>57</v>
      </c>
      <c r="W242">
        <v>6</v>
      </c>
      <c r="X242" t="s">
        <v>38</v>
      </c>
      <c r="Y242">
        <v>3</v>
      </c>
      <c r="Z242" t="s">
        <v>91</v>
      </c>
    </row>
    <row r="243" spans="1:26" x14ac:dyDescent="0.3">
      <c r="A243" t="s">
        <v>539</v>
      </c>
      <c r="B243" s="2">
        <v>45802</v>
      </c>
      <c r="C243" t="s">
        <v>540</v>
      </c>
      <c r="D243" t="s">
        <v>61</v>
      </c>
      <c r="E243" t="s">
        <v>43</v>
      </c>
      <c r="F243">
        <v>41</v>
      </c>
      <c r="G243" t="s">
        <v>30</v>
      </c>
      <c r="H243" t="s">
        <v>31</v>
      </c>
      <c r="I243" t="s">
        <v>30</v>
      </c>
      <c r="J243" t="s">
        <v>150</v>
      </c>
      <c r="K243">
        <v>2</v>
      </c>
      <c r="L243">
        <v>16819</v>
      </c>
      <c r="M243">
        <v>10</v>
      </c>
      <c r="N243">
        <v>3363.8</v>
      </c>
      <c r="O243">
        <v>5449.36</v>
      </c>
      <c r="P243">
        <v>185</v>
      </c>
      <c r="Q243">
        <v>35908.559999999998</v>
      </c>
      <c r="R243" t="s">
        <v>33</v>
      </c>
      <c r="S243" t="s">
        <v>63</v>
      </c>
      <c r="T243" t="s">
        <v>46</v>
      </c>
      <c r="U243" t="s">
        <v>36</v>
      </c>
      <c r="V243" t="s">
        <v>37</v>
      </c>
      <c r="W243">
        <v>9</v>
      </c>
      <c r="X243" t="s">
        <v>47</v>
      </c>
      <c r="Y243">
        <v>1</v>
      </c>
      <c r="Z243" t="s">
        <v>91</v>
      </c>
    </row>
    <row r="244" spans="1:26" x14ac:dyDescent="0.3">
      <c r="A244" t="s">
        <v>541</v>
      </c>
      <c r="B244" s="2">
        <v>46034</v>
      </c>
      <c r="C244" t="s">
        <v>542</v>
      </c>
      <c r="D244" t="s">
        <v>50</v>
      </c>
      <c r="E244" t="s">
        <v>43</v>
      </c>
      <c r="F244">
        <v>36</v>
      </c>
      <c r="G244" t="s">
        <v>30</v>
      </c>
      <c r="H244" t="s">
        <v>31</v>
      </c>
      <c r="I244" t="s">
        <v>30</v>
      </c>
      <c r="J244" t="s">
        <v>102</v>
      </c>
      <c r="K244">
        <v>5</v>
      </c>
      <c r="L244">
        <v>17749</v>
      </c>
      <c r="M244">
        <v>0</v>
      </c>
      <c r="N244">
        <v>0</v>
      </c>
      <c r="O244">
        <v>15974.1</v>
      </c>
      <c r="P244">
        <v>215</v>
      </c>
      <c r="Q244">
        <v>104934.1</v>
      </c>
      <c r="R244" t="s">
        <v>45</v>
      </c>
      <c r="S244" t="s">
        <v>34</v>
      </c>
      <c r="T244" t="s">
        <v>76</v>
      </c>
      <c r="U244" t="s">
        <v>77</v>
      </c>
      <c r="V244" t="s">
        <v>57</v>
      </c>
      <c r="W244">
        <v>9</v>
      </c>
      <c r="X244" t="s">
        <v>38</v>
      </c>
      <c r="Y244">
        <v>1</v>
      </c>
      <c r="Z244" t="s">
        <v>58</v>
      </c>
    </row>
    <row r="245" spans="1:26" x14ac:dyDescent="0.3">
      <c r="A245" t="s">
        <v>543</v>
      </c>
      <c r="B245" s="2">
        <v>45850</v>
      </c>
      <c r="C245" t="s">
        <v>544</v>
      </c>
      <c r="D245" t="s">
        <v>73</v>
      </c>
      <c r="E245" t="s">
        <v>29</v>
      </c>
      <c r="F245">
        <v>59</v>
      </c>
      <c r="G245" t="s">
        <v>99</v>
      </c>
      <c r="H245" t="s">
        <v>52</v>
      </c>
      <c r="I245" t="s">
        <v>99</v>
      </c>
      <c r="J245" t="s">
        <v>53</v>
      </c>
      <c r="K245">
        <v>1</v>
      </c>
      <c r="L245">
        <v>17819</v>
      </c>
      <c r="M245">
        <v>15</v>
      </c>
      <c r="N245">
        <v>2672.85</v>
      </c>
      <c r="O245">
        <v>2726.31</v>
      </c>
      <c r="P245">
        <v>350</v>
      </c>
      <c r="Q245">
        <v>18222.46</v>
      </c>
      <c r="R245" t="s">
        <v>83</v>
      </c>
      <c r="S245" t="s">
        <v>63</v>
      </c>
      <c r="T245" t="s">
        <v>95</v>
      </c>
      <c r="U245" t="s">
        <v>96</v>
      </c>
      <c r="V245" t="s">
        <v>57</v>
      </c>
      <c r="W245">
        <v>4</v>
      </c>
      <c r="X245" t="s">
        <v>47</v>
      </c>
      <c r="Y245">
        <v>3</v>
      </c>
      <c r="Z245" t="s">
        <v>91</v>
      </c>
    </row>
    <row r="246" spans="1:26" x14ac:dyDescent="0.3">
      <c r="A246" t="s">
        <v>545</v>
      </c>
      <c r="B246" s="2">
        <v>45873</v>
      </c>
      <c r="C246" t="s">
        <v>211</v>
      </c>
      <c r="D246" t="s">
        <v>66</v>
      </c>
      <c r="E246" t="s">
        <v>43</v>
      </c>
      <c r="F246">
        <v>30</v>
      </c>
      <c r="G246" t="s">
        <v>44</v>
      </c>
      <c r="H246" t="s">
        <v>31</v>
      </c>
      <c r="I246" t="s">
        <v>44</v>
      </c>
      <c r="J246" t="s">
        <v>201</v>
      </c>
      <c r="K246">
        <v>3</v>
      </c>
      <c r="L246">
        <v>34354</v>
      </c>
      <c r="M246">
        <v>5</v>
      </c>
      <c r="N246">
        <v>5153.1000000000004</v>
      </c>
      <c r="O246">
        <v>17623.599999999999</v>
      </c>
      <c r="P246">
        <v>57</v>
      </c>
      <c r="Q246">
        <v>115589.5</v>
      </c>
      <c r="R246" t="s">
        <v>83</v>
      </c>
      <c r="S246" t="s">
        <v>63</v>
      </c>
      <c r="T246" t="s">
        <v>103</v>
      </c>
      <c r="U246" t="s">
        <v>103</v>
      </c>
      <c r="V246" t="s">
        <v>57</v>
      </c>
      <c r="W246">
        <v>3</v>
      </c>
      <c r="X246" t="s">
        <v>47</v>
      </c>
      <c r="Y246">
        <v>3</v>
      </c>
      <c r="Z246" t="s">
        <v>58</v>
      </c>
    </row>
    <row r="247" spans="1:26" x14ac:dyDescent="0.3">
      <c r="A247" t="s">
        <v>546</v>
      </c>
      <c r="B247" s="2">
        <v>46084</v>
      </c>
      <c r="C247" t="s">
        <v>547</v>
      </c>
      <c r="D247" t="s">
        <v>73</v>
      </c>
      <c r="E247" t="s">
        <v>29</v>
      </c>
      <c r="F247">
        <v>52</v>
      </c>
      <c r="G247" t="s">
        <v>30</v>
      </c>
      <c r="H247" t="s">
        <v>31</v>
      </c>
      <c r="I247" t="s">
        <v>30</v>
      </c>
      <c r="J247" t="s">
        <v>201</v>
      </c>
      <c r="K247">
        <v>3</v>
      </c>
      <c r="L247">
        <v>20946</v>
      </c>
      <c r="M247">
        <v>20</v>
      </c>
      <c r="N247">
        <v>12567.6</v>
      </c>
      <c r="O247">
        <v>9048.67</v>
      </c>
      <c r="P247">
        <v>113</v>
      </c>
      <c r="Q247">
        <v>59432.07</v>
      </c>
      <c r="R247" t="s">
        <v>33</v>
      </c>
      <c r="S247" t="s">
        <v>34</v>
      </c>
      <c r="T247" t="s">
        <v>55</v>
      </c>
      <c r="U247" t="s">
        <v>56</v>
      </c>
      <c r="V247" t="s">
        <v>57</v>
      </c>
      <c r="W247">
        <v>10</v>
      </c>
      <c r="X247" t="s">
        <v>47</v>
      </c>
      <c r="Y247">
        <v>3</v>
      </c>
      <c r="Z247" t="s">
        <v>91</v>
      </c>
    </row>
    <row r="248" spans="1:26" x14ac:dyDescent="0.3">
      <c r="A248" t="s">
        <v>548</v>
      </c>
      <c r="B248" s="2">
        <v>45819</v>
      </c>
      <c r="C248" t="s">
        <v>549</v>
      </c>
      <c r="D248" t="s">
        <v>111</v>
      </c>
      <c r="E248" t="s">
        <v>43</v>
      </c>
      <c r="F248">
        <v>22</v>
      </c>
      <c r="G248" t="s">
        <v>74</v>
      </c>
      <c r="H248" t="s">
        <v>31</v>
      </c>
      <c r="I248" t="s">
        <v>74</v>
      </c>
      <c r="J248" t="s">
        <v>69</v>
      </c>
      <c r="K248">
        <v>5</v>
      </c>
      <c r="L248">
        <v>46655</v>
      </c>
      <c r="M248">
        <v>20</v>
      </c>
      <c r="N248">
        <v>46655</v>
      </c>
      <c r="O248">
        <v>33591.599999999999</v>
      </c>
      <c r="P248">
        <v>138</v>
      </c>
      <c r="Q248">
        <v>220349.6</v>
      </c>
      <c r="R248" t="s">
        <v>54</v>
      </c>
      <c r="S248" t="s">
        <v>34</v>
      </c>
      <c r="T248" t="s">
        <v>55</v>
      </c>
      <c r="U248" t="s">
        <v>56</v>
      </c>
      <c r="V248" t="s">
        <v>57</v>
      </c>
      <c r="W248">
        <v>9</v>
      </c>
      <c r="X248" t="s">
        <v>38</v>
      </c>
      <c r="Y248">
        <v>3</v>
      </c>
      <c r="Z248" t="s">
        <v>91</v>
      </c>
    </row>
    <row r="249" spans="1:26" x14ac:dyDescent="0.3">
      <c r="A249" t="s">
        <v>550</v>
      </c>
      <c r="B249" s="2">
        <v>46003</v>
      </c>
      <c r="C249" t="s">
        <v>551</v>
      </c>
      <c r="D249" t="s">
        <v>111</v>
      </c>
      <c r="E249" t="s">
        <v>43</v>
      </c>
      <c r="F249">
        <v>36</v>
      </c>
      <c r="G249" t="s">
        <v>99</v>
      </c>
      <c r="H249" t="s">
        <v>52</v>
      </c>
      <c r="I249" t="s">
        <v>99</v>
      </c>
      <c r="J249" t="s">
        <v>125</v>
      </c>
      <c r="K249">
        <v>4</v>
      </c>
      <c r="L249">
        <v>3168</v>
      </c>
      <c r="M249">
        <v>20</v>
      </c>
      <c r="N249">
        <v>2534.4</v>
      </c>
      <c r="O249">
        <v>1824.77</v>
      </c>
      <c r="P249">
        <v>447</v>
      </c>
      <c r="Q249">
        <v>12409.37</v>
      </c>
      <c r="R249" t="s">
        <v>54</v>
      </c>
      <c r="S249" t="s">
        <v>63</v>
      </c>
      <c r="T249" t="s">
        <v>46</v>
      </c>
      <c r="U249" t="s">
        <v>36</v>
      </c>
      <c r="V249" t="s">
        <v>37</v>
      </c>
      <c r="W249">
        <v>9</v>
      </c>
      <c r="X249" t="s">
        <v>47</v>
      </c>
      <c r="Y249">
        <v>3</v>
      </c>
      <c r="Z249" t="s">
        <v>91</v>
      </c>
    </row>
    <row r="250" spans="1:26" x14ac:dyDescent="0.3">
      <c r="A250" t="s">
        <v>552</v>
      </c>
      <c r="B250" s="2">
        <v>45869</v>
      </c>
      <c r="C250" t="s">
        <v>553</v>
      </c>
      <c r="D250" t="s">
        <v>73</v>
      </c>
      <c r="E250" t="s">
        <v>29</v>
      </c>
      <c r="F250">
        <v>38</v>
      </c>
      <c r="G250" t="s">
        <v>94</v>
      </c>
      <c r="H250" t="s">
        <v>31</v>
      </c>
      <c r="I250" t="s">
        <v>94</v>
      </c>
      <c r="J250" t="s">
        <v>125</v>
      </c>
      <c r="K250">
        <v>3</v>
      </c>
      <c r="L250">
        <v>13647</v>
      </c>
      <c r="M250">
        <v>20</v>
      </c>
      <c r="N250">
        <v>8188.2</v>
      </c>
      <c r="O250">
        <v>5895.5</v>
      </c>
      <c r="P250">
        <v>193</v>
      </c>
      <c r="Q250">
        <v>38841.300000000003</v>
      </c>
      <c r="R250" t="s">
        <v>45</v>
      </c>
      <c r="S250" t="s">
        <v>63</v>
      </c>
      <c r="T250" t="s">
        <v>46</v>
      </c>
      <c r="U250" t="s">
        <v>36</v>
      </c>
      <c r="V250" t="s">
        <v>37</v>
      </c>
      <c r="W250">
        <v>9</v>
      </c>
      <c r="X250" t="s">
        <v>38</v>
      </c>
      <c r="Y250">
        <v>5</v>
      </c>
      <c r="Z250" t="s">
        <v>91</v>
      </c>
    </row>
    <row r="251" spans="1:26" x14ac:dyDescent="0.3">
      <c r="A251" t="s">
        <v>554</v>
      </c>
      <c r="B251" s="2">
        <v>45931</v>
      </c>
      <c r="C251" t="s">
        <v>555</v>
      </c>
      <c r="D251" t="s">
        <v>50</v>
      </c>
      <c r="E251" t="s">
        <v>29</v>
      </c>
      <c r="F251">
        <v>49</v>
      </c>
      <c r="G251" t="s">
        <v>94</v>
      </c>
      <c r="H251" t="s">
        <v>31</v>
      </c>
      <c r="I251" t="s">
        <v>94</v>
      </c>
      <c r="J251" t="s">
        <v>75</v>
      </c>
      <c r="K251">
        <v>3</v>
      </c>
      <c r="L251">
        <v>10903</v>
      </c>
      <c r="M251">
        <v>0</v>
      </c>
      <c r="N251">
        <v>0</v>
      </c>
      <c r="O251">
        <v>5887.62</v>
      </c>
      <c r="P251">
        <v>412</v>
      </c>
      <c r="Q251">
        <v>39008.620000000003</v>
      </c>
      <c r="R251" t="s">
        <v>83</v>
      </c>
      <c r="S251" t="s">
        <v>34</v>
      </c>
      <c r="T251" t="s">
        <v>95</v>
      </c>
      <c r="U251" t="s">
        <v>96</v>
      </c>
      <c r="V251" t="s">
        <v>57</v>
      </c>
      <c r="W251">
        <v>8</v>
      </c>
      <c r="X251" t="s">
        <v>38</v>
      </c>
      <c r="Y251">
        <v>5</v>
      </c>
      <c r="Z251" t="s">
        <v>91</v>
      </c>
    </row>
    <row r="252" spans="1:26" x14ac:dyDescent="0.3">
      <c r="A252" t="s">
        <v>556</v>
      </c>
      <c r="B252" s="2">
        <v>45905</v>
      </c>
      <c r="C252" t="s">
        <v>557</v>
      </c>
      <c r="D252" t="s">
        <v>89</v>
      </c>
      <c r="E252" t="s">
        <v>43</v>
      </c>
      <c r="F252">
        <v>21</v>
      </c>
      <c r="G252" t="s">
        <v>94</v>
      </c>
      <c r="H252" t="s">
        <v>31</v>
      </c>
      <c r="I252" t="s">
        <v>94</v>
      </c>
      <c r="J252" t="s">
        <v>150</v>
      </c>
      <c r="K252">
        <v>4</v>
      </c>
      <c r="L252">
        <v>12320</v>
      </c>
      <c r="M252">
        <v>15</v>
      </c>
      <c r="N252">
        <v>7392</v>
      </c>
      <c r="O252">
        <v>7539.84</v>
      </c>
      <c r="P252">
        <v>154</v>
      </c>
      <c r="Q252">
        <v>49581.84</v>
      </c>
      <c r="R252" t="s">
        <v>33</v>
      </c>
      <c r="S252" t="s">
        <v>63</v>
      </c>
      <c r="T252" t="s">
        <v>95</v>
      </c>
      <c r="U252" t="s">
        <v>96</v>
      </c>
      <c r="V252" t="s">
        <v>57</v>
      </c>
      <c r="W252">
        <v>5</v>
      </c>
      <c r="X252" t="s">
        <v>47</v>
      </c>
      <c r="Y252">
        <v>5</v>
      </c>
      <c r="Z252" t="s">
        <v>91</v>
      </c>
    </row>
    <row r="253" spans="1:26" x14ac:dyDescent="0.3">
      <c r="A253" t="s">
        <v>558</v>
      </c>
      <c r="B253" s="2">
        <v>45885</v>
      </c>
      <c r="C253" t="s">
        <v>559</v>
      </c>
      <c r="D253" t="s">
        <v>28</v>
      </c>
      <c r="E253" t="s">
        <v>43</v>
      </c>
      <c r="F253">
        <v>37</v>
      </c>
      <c r="G253" t="s">
        <v>99</v>
      </c>
      <c r="H253" t="s">
        <v>52</v>
      </c>
      <c r="I253" t="s">
        <v>99</v>
      </c>
      <c r="J253" t="s">
        <v>150</v>
      </c>
      <c r="K253">
        <v>1</v>
      </c>
      <c r="L253">
        <v>14063</v>
      </c>
      <c r="M253">
        <v>10</v>
      </c>
      <c r="N253">
        <v>1406.3</v>
      </c>
      <c r="O253">
        <v>2278.21</v>
      </c>
      <c r="P253">
        <v>103</v>
      </c>
      <c r="Q253">
        <v>15037.91</v>
      </c>
      <c r="R253" t="s">
        <v>45</v>
      </c>
      <c r="S253" t="s">
        <v>63</v>
      </c>
      <c r="T253" t="s">
        <v>76</v>
      </c>
      <c r="U253" t="s">
        <v>77</v>
      </c>
      <c r="V253" t="s">
        <v>57</v>
      </c>
      <c r="W253">
        <v>2</v>
      </c>
      <c r="X253" t="s">
        <v>47</v>
      </c>
      <c r="Y253">
        <v>1</v>
      </c>
      <c r="Z253" t="s">
        <v>91</v>
      </c>
    </row>
    <row r="254" spans="1:26" x14ac:dyDescent="0.3">
      <c r="A254" t="s">
        <v>560</v>
      </c>
      <c r="B254" s="2">
        <v>46065</v>
      </c>
      <c r="C254" t="s">
        <v>336</v>
      </c>
      <c r="D254" t="s">
        <v>108</v>
      </c>
      <c r="E254" t="s">
        <v>43</v>
      </c>
      <c r="F254">
        <v>45</v>
      </c>
      <c r="G254" t="s">
        <v>134</v>
      </c>
      <c r="H254" t="s">
        <v>31</v>
      </c>
      <c r="I254" t="s">
        <v>134</v>
      </c>
      <c r="J254" t="s">
        <v>125</v>
      </c>
      <c r="K254">
        <v>3</v>
      </c>
      <c r="L254">
        <v>38458</v>
      </c>
      <c r="M254">
        <v>0</v>
      </c>
      <c r="N254">
        <v>0</v>
      </c>
      <c r="O254">
        <v>20767.32</v>
      </c>
      <c r="P254">
        <v>484</v>
      </c>
      <c r="Q254">
        <v>136625.32</v>
      </c>
      <c r="R254" t="s">
        <v>83</v>
      </c>
      <c r="S254" t="s">
        <v>63</v>
      </c>
      <c r="T254" t="s">
        <v>46</v>
      </c>
      <c r="U254" t="s">
        <v>36</v>
      </c>
      <c r="V254" t="s">
        <v>37</v>
      </c>
      <c r="W254">
        <v>4</v>
      </c>
      <c r="X254" t="s">
        <v>38</v>
      </c>
      <c r="Y254">
        <v>1</v>
      </c>
      <c r="Z254" t="s">
        <v>91</v>
      </c>
    </row>
    <row r="255" spans="1:26" x14ac:dyDescent="0.3">
      <c r="A255" t="s">
        <v>561</v>
      </c>
      <c r="B255" s="2">
        <v>45790</v>
      </c>
      <c r="C255" t="s">
        <v>562</v>
      </c>
      <c r="D255" t="s">
        <v>80</v>
      </c>
      <c r="E255" t="s">
        <v>43</v>
      </c>
      <c r="F255">
        <v>40</v>
      </c>
      <c r="G255" t="s">
        <v>139</v>
      </c>
      <c r="H255" t="s">
        <v>31</v>
      </c>
      <c r="I255" t="s">
        <v>139</v>
      </c>
      <c r="J255" t="s">
        <v>75</v>
      </c>
      <c r="K255">
        <v>3</v>
      </c>
      <c r="L255">
        <v>2136</v>
      </c>
      <c r="M255">
        <v>0</v>
      </c>
      <c r="N255">
        <v>0</v>
      </c>
      <c r="O255">
        <v>1153.44</v>
      </c>
      <c r="P255">
        <v>388</v>
      </c>
      <c r="Q255">
        <v>7949.44</v>
      </c>
      <c r="R255" t="s">
        <v>54</v>
      </c>
      <c r="S255" t="s">
        <v>63</v>
      </c>
      <c r="T255" t="s">
        <v>84</v>
      </c>
      <c r="U255" t="s">
        <v>85</v>
      </c>
      <c r="V255" t="s">
        <v>86</v>
      </c>
      <c r="W255">
        <v>9</v>
      </c>
      <c r="X255" t="s">
        <v>38</v>
      </c>
      <c r="Y255">
        <v>5</v>
      </c>
      <c r="Z255" t="s">
        <v>47</v>
      </c>
    </row>
    <row r="256" spans="1:26" x14ac:dyDescent="0.3">
      <c r="A256" t="s">
        <v>563</v>
      </c>
      <c r="B256" s="2">
        <v>45879</v>
      </c>
      <c r="C256" t="s">
        <v>564</v>
      </c>
      <c r="D256" t="s">
        <v>73</v>
      </c>
      <c r="E256" t="s">
        <v>43</v>
      </c>
      <c r="F256">
        <v>50</v>
      </c>
      <c r="G256" t="s">
        <v>51</v>
      </c>
      <c r="H256" t="s">
        <v>52</v>
      </c>
      <c r="I256" t="s">
        <v>51</v>
      </c>
      <c r="J256" t="s">
        <v>32</v>
      </c>
      <c r="K256">
        <v>4</v>
      </c>
      <c r="L256">
        <v>6313</v>
      </c>
      <c r="M256">
        <v>20</v>
      </c>
      <c r="N256">
        <v>5050.3999999999996</v>
      </c>
      <c r="O256">
        <v>3636.29</v>
      </c>
      <c r="P256">
        <v>1</v>
      </c>
      <c r="Q256">
        <v>23838.89</v>
      </c>
      <c r="R256" t="s">
        <v>54</v>
      </c>
      <c r="S256" t="s">
        <v>34</v>
      </c>
      <c r="T256" t="s">
        <v>95</v>
      </c>
      <c r="U256" t="s">
        <v>96</v>
      </c>
      <c r="V256" t="s">
        <v>57</v>
      </c>
      <c r="W256">
        <v>2</v>
      </c>
      <c r="X256" t="s">
        <v>38</v>
      </c>
      <c r="Y256">
        <v>1</v>
      </c>
      <c r="Z256" t="s">
        <v>58</v>
      </c>
    </row>
    <row r="257" spans="1:26" x14ac:dyDescent="0.3">
      <c r="A257" t="s">
        <v>565</v>
      </c>
      <c r="B257" s="2">
        <v>46121</v>
      </c>
      <c r="C257" t="s">
        <v>566</v>
      </c>
      <c r="D257" t="s">
        <v>61</v>
      </c>
      <c r="E257" t="s">
        <v>43</v>
      </c>
      <c r="F257">
        <v>46</v>
      </c>
      <c r="G257" t="s">
        <v>134</v>
      </c>
      <c r="H257" t="s">
        <v>31</v>
      </c>
      <c r="I257" t="s">
        <v>134</v>
      </c>
      <c r="J257" t="s">
        <v>75</v>
      </c>
      <c r="K257">
        <v>4</v>
      </c>
      <c r="L257">
        <v>26827</v>
      </c>
      <c r="M257">
        <v>5</v>
      </c>
      <c r="N257">
        <v>5365.4</v>
      </c>
      <c r="O257">
        <v>18349.669999999998</v>
      </c>
      <c r="P257">
        <v>70</v>
      </c>
      <c r="Q257">
        <v>120362.27</v>
      </c>
      <c r="R257" t="s">
        <v>54</v>
      </c>
      <c r="S257" t="s">
        <v>34</v>
      </c>
      <c r="T257" t="s">
        <v>84</v>
      </c>
      <c r="U257" t="s">
        <v>85</v>
      </c>
      <c r="V257" t="s">
        <v>86</v>
      </c>
      <c r="W257">
        <v>5</v>
      </c>
      <c r="X257" t="s">
        <v>38</v>
      </c>
      <c r="Y257">
        <v>2</v>
      </c>
      <c r="Z257" t="s">
        <v>91</v>
      </c>
    </row>
    <row r="258" spans="1:26" x14ac:dyDescent="0.3">
      <c r="A258" t="s">
        <v>567</v>
      </c>
      <c r="B258" s="2">
        <v>45876</v>
      </c>
      <c r="C258" t="s">
        <v>568</v>
      </c>
      <c r="D258" t="s">
        <v>89</v>
      </c>
      <c r="E258" t="s">
        <v>29</v>
      </c>
      <c r="F258">
        <v>44</v>
      </c>
      <c r="G258" t="s">
        <v>99</v>
      </c>
      <c r="H258" t="s">
        <v>52</v>
      </c>
      <c r="I258" t="s">
        <v>99</v>
      </c>
      <c r="J258" t="s">
        <v>75</v>
      </c>
      <c r="K258">
        <v>4</v>
      </c>
      <c r="L258">
        <v>20044</v>
      </c>
      <c r="M258">
        <v>10</v>
      </c>
      <c r="N258">
        <v>8017.6</v>
      </c>
      <c r="O258">
        <v>12988.51</v>
      </c>
      <c r="P258">
        <v>449</v>
      </c>
      <c r="Q258">
        <v>85595.91</v>
      </c>
      <c r="R258" t="s">
        <v>45</v>
      </c>
      <c r="S258" t="s">
        <v>63</v>
      </c>
      <c r="T258" t="s">
        <v>103</v>
      </c>
      <c r="U258" t="s">
        <v>103</v>
      </c>
      <c r="V258" t="s">
        <v>57</v>
      </c>
      <c r="W258">
        <v>4</v>
      </c>
      <c r="X258" t="s">
        <v>47</v>
      </c>
      <c r="Y258">
        <v>5</v>
      </c>
      <c r="Z258" t="s">
        <v>58</v>
      </c>
    </row>
    <row r="259" spans="1:26" x14ac:dyDescent="0.3">
      <c r="A259" t="s">
        <v>569</v>
      </c>
      <c r="B259" s="2">
        <v>45934</v>
      </c>
      <c r="C259" t="s">
        <v>570</v>
      </c>
      <c r="D259" t="s">
        <v>108</v>
      </c>
      <c r="E259" t="s">
        <v>29</v>
      </c>
      <c r="F259">
        <v>60</v>
      </c>
      <c r="G259" t="s">
        <v>139</v>
      </c>
      <c r="H259" t="s">
        <v>31</v>
      </c>
      <c r="I259" t="s">
        <v>139</v>
      </c>
      <c r="J259" t="s">
        <v>201</v>
      </c>
      <c r="K259">
        <v>5</v>
      </c>
      <c r="L259">
        <v>2751</v>
      </c>
      <c r="M259">
        <v>20</v>
      </c>
      <c r="N259">
        <v>2751</v>
      </c>
      <c r="O259">
        <v>1980.72</v>
      </c>
      <c r="P259">
        <v>347</v>
      </c>
      <c r="Q259">
        <v>13331.72</v>
      </c>
      <c r="R259" t="s">
        <v>33</v>
      </c>
      <c r="S259" t="s">
        <v>34</v>
      </c>
      <c r="T259" t="s">
        <v>84</v>
      </c>
      <c r="U259" t="s">
        <v>85</v>
      </c>
      <c r="V259" t="s">
        <v>86</v>
      </c>
      <c r="W259">
        <v>5</v>
      </c>
      <c r="X259" t="s">
        <v>38</v>
      </c>
      <c r="Y259">
        <v>5</v>
      </c>
      <c r="Z259" t="s">
        <v>39</v>
      </c>
    </row>
    <row r="260" spans="1:26" x14ac:dyDescent="0.3">
      <c r="A260" t="s">
        <v>571</v>
      </c>
      <c r="B260" s="2">
        <v>46001</v>
      </c>
      <c r="C260" t="s">
        <v>572</v>
      </c>
      <c r="D260" t="s">
        <v>50</v>
      </c>
      <c r="E260" t="s">
        <v>29</v>
      </c>
      <c r="F260">
        <v>28</v>
      </c>
      <c r="G260" t="s">
        <v>30</v>
      </c>
      <c r="H260" t="s">
        <v>31</v>
      </c>
      <c r="I260" t="s">
        <v>30</v>
      </c>
      <c r="J260" t="s">
        <v>150</v>
      </c>
      <c r="K260">
        <v>4</v>
      </c>
      <c r="L260">
        <v>5599</v>
      </c>
      <c r="M260">
        <v>20</v>
      </c>
      <c r="N260">
        <v>4479.2</v>
      </c>
      <c r="O260">
        <v>3225.02</v>
      </c>
      <c r="P260">
        <v>479</v>
      </c>
      <c r="Q260">
        <v>21620.82</v>
      </c>
      <c r="R260" t="s">
        <v>33</v>
      </c>
      <c r="S260" t="s">
        <v>34</v>
      </c>
      <c r="T260" t="s">
        <v>84</v>
      </c>
      <c r="U260" t="s">
        <v>85</v>
      </c>
      <c r="V260" t="s">
        <v>86</v>
      </c>
      <c r="W260">
        <v>4</v>
      </c>
      <c r="X260" t="s">
        <v>47</v>
      </c>
      <c r="Y260">
        <v>5</v>
      </c>
      <c r="Z260" t="s">
        <v>91</v>
      </c>
    </row>
    <row r="261" spans="1:26" x14ac:dyDescent="0.3">
      <c r="A261" t="s">
        <v>573</v>
      </c>
      <c r="B261" s="2">
        <v>45937</v>
      </c>
      <c r="C261" t="s">
        <v>574</v>
      </c>
      <c r="D261" t="s">
        <v>61</v>
      </c>
      <c r="E261" t="s">
        <v>43</v>
      </c>
      <c r="F261">
        <v>42</v>
      </c>
      <c r="G261" t="s">
        <v>51</v>
      </c>
      <c r="H261" t="s">
        <v>52</v>
      </c>
      <c r="I261" t="s">
        <v>51</v>
      </c>
      <c r="J261" t="s">
        <v>201</v>
      </c>
      <c r="K261">
        <v>1</v>
      </c>
      <c r="L261">
        <v>13659</v>
      </c>
      <c r="M261">
        <v>20</v>
      </c>
      <c r="N261">
        <v>2731.8</v>
      </c>
      <c r="O261">
        <v>1966.9</v>
      </c>
      <c r="P261">
        <v>370</v>
      </c>
      <c r="Q261">
        <v>13264.1</v>
      </c>
      <c r="R261" t="s">
        <v>54</v>
      </c>
      <c r="S261" t="s">
        <v>63</v>
      </c>
      <c r="T261" t="s">
        <v>46</v>
      </c>
      <c r="U261" t="s">
        <v>36</v>
      </c>
      <c r="V261" t="s">
        <v>37</v>
      </c>
      <c r="W261">
        <v>2</v>
      </c>
      <c r="X261" t="s">
        <v>38</v>
      </c>
      <c r="Y261">
        <v>1</v>
      </c>
      <c r="Z261" t="s">
        <v>91</v>
      </c>
    </row>
    <row r="262" spans="1:26" x14ac:dyDescent="0.3">
      <c r="A262" t="s">
        <v>575</v>
      </c>
      <c r="B262" s="2">
        <v>46034</v>
      </c>
      <c r="C262" t="s">
        <v>576</v>
      </c>
      <c r="D262" t="s">
        <v>108</v>
      </c>
      <c r="E262" t="s">
        <v>29</v>
      </c>
      <c r="F262">
        <v>41</v>
      </c>
      <c r="G262" t="s">
        <v>94</v>
      </c>
      <c r="H262" t="s">
        <v>31</v>
      </c>
      <c r="I262" t="s">
        <v>94</v>
      </c>
      <c r="J262" t="s">
        <v>125</v>
      </c>
      <c r="K262">
        <v>3</v>
      </c>
      <c r="L262">
        <v>35927</v>
      </c>
      <c r="M262">
        <v>15</v>
      </c>
      <c r="N262">
        <v>16167.15</v>
      </c>
      <c r="O262">
        <v>16490.490000000002</v>
      </c>
      <c r="P262">
        <v>110</v>
      </c>
      <c r="Q262">
        <v>108214.34</v>
      </c>
      <c r="R262" t="s">
        <v>45</v>
      </c>
      <c r="S262" t="s">
        <v>34</v>
      </c>
      <c r="T262" t="s">
        <v>55</v>
      </c>
      <c r="U262" t="s">
        <v>56</v>
      </c>
      <c r="V262" t="s">
        <v>57</v>
      </c>
      <c r="W262">
        <v>1</v>
      </c>
      <c r="X262" t="s">
        <v>38</v>
      </c>
      <c r="Y262">
        <v>2</v>
      </c>
      <c r="Z262" t="s">
        <v>39</v>
      </c>
    </row>
    <row r="263" spans="1:26" x14ac:dyDescent="0.3">
      <c r="A263" t="s">
        <v>577</v>
      </c>
      <c r="B263" s="2">
        <v>45870</v>
      </c>
      <c r="C263" t="s">
        <v>578</v>
      </c>
      <c r="D263" t="s">
        <v>28</v>
      </c>
      <c r="E263" t="s">
        <v>29</v>
      </c>
      <c r="F263">
        <v>51</v>
      </c>
      <c r="G263" t="s">
        <v>51</v>
      </c>
      <c r="H263" t="s">
        <v>52</v>
      </c>
      <c r="I263" t="s">
        <v>51</v>
      </c>
      <c r="J263" t="s">
        <v>125</v>
      </c>
      <c r="K263">
        <v>2</v>
      </c>
      <c r="L263">
        <v>8718</v>
      </c>
      <c r="M263">
        <v>5</v>
      </c>
      <c r="N263">
        <v>871.8</v>
      </c>
      <c r="O263">
        <v>2981.56</v>
      </c>
      <c r="P263">
        <v>320</v>
      </c>
      <c r="Q263">
        <v>19865.759999999998</v>
      </c>
      <c r="R263" t="s">
        <v>54</v>
      </c>
      <c r="S263" t="s">
        <v>34</v>
      </c>
      <c r="T263" t="s">
        <v>55</v>
      </c>
      <c r="U263" t="s">
        <v>56</v>
      </c>
      <c r="V263" t="s">
        <v>57</v>
      </c>
      <c r="W263">
        <v>9</v>
      </c>
      <c r="X263" t="s">
        <v>38</v>
      </c>
      <c r="Y263">
        <v>3</v>
      </c>
      <c r="Z263" t="s">
        <v>58</v>
      </c>
    </row>
    <row r="264" spans="1:26" x14ac:dyDescent="0.3">
      <c r="A264" t="s">
        <v>579</v>
      </c>
      <c r="B264" s="2">
        <v>45943</v>
      </c>
      <c r="C264" t="s">
        <v>580</v>
      </c>
      <c r="D264" t="s">
        <v>89</v>
      </c>
      <c r="E264" t="s">
        <v>29</v>
      </c>
      <c r="F264">
        <v>50</v>
      </c>
      <c r="G264" t="s">
        <v>94</v>
      </c>
      <c r="H264" t="s">
        <v>31</v>
      </c>
      <c r="I264" t="s">
        <v>94</v>
      </c>
      <c r="J264" t="s">
        <v>150</v>
      </c>
      <c r="K264">
        <v>4</v>
      </c>
      <c r="L264">
        <v>10032</v>
      </c>
      <c r="M264">
        <v>5</v>
      </c>
      <c r="N264">
        <v>2006.4</v>
      </c>
      <c r="O264">
        <v>6861.89</v>
      </c>
      <c r="P264">
        <v>42</v>
      </c>
      <c r="Q264">
        <v>45025.49</v>
      </c>
      <c r="R264" t="s">
        <v>33</v>
      </c>
      <c r="S264" t="s">
        <v>34</v>
      </c>
      <c r="T264" t="s">
        <v>70</v>
      </c>
      <c r="U264" t="s">
        <v>56</v>
      </c>
      <c r="V264" t="s">
        <v>57</v>
      </c>
      <c r="W264">
        <v>3</v>
      </c>
      <c r="X264" t="s">
        <v>38</v>
      </c>
      <c r="Y264">
        <v>3</v>
      </c>
      <c r="Z264" t="s">
        <v>47</v>
      </c>
    </row>
    <row r="265" spans="1:26" x14ac:dyDescent="0.3">
      <c r="A265" t="s">
        <v>581</v>
      </c>
      <c r="B265" s="2">
        <v>46033</v>
      </c>
      <c r="C265" t="s">
        <v>582</v>
      </c>
      <c r="D265" t="s">
        <v>42</v>
      </c>
      <c r="E265" t="s">
        <v>43</v>
      </c>
      <c r="F265">
        <v>59</v>
      </c>
      <c r="G265" t="s">
        <v>90</v>
      </c>
      <c r="H265" t="s">
        <v>31</v>
      </c>
      <c r="I265" t="s">
        <v>90</v>
      </c>
      <c r="J265" t="s">
        <v>32</v>
      </c>
      <c r="K265">
        <v>4</v>
      </c>
      <c r="L265">
        <v>9542</v>
      </c>
      <c r="M265">
        <v>20</v>
      </c>
      <c r="N265">
        <v>7633.6</v>
      </c>
      <c r="O265">
        <v>5496.19</v>
      </c>
      <c r="P265">
        <v>372</v>
      </c>
      <c r="Q265">
        <v>36402.589999999997</v>
      </c>
      <c r="R265" t="s">
        <v>45</v>
      </c>
      <c r="S265" t="s">
        <v>63</v>
      </c>
      <c r="T265" t="s">
        <v>95</v>
      </c>
      <c r="U265" t="s">
        <v>96</v>
      </c>
      <c r="V265" t="s">
        <v>57</v>
      </c>
      <c r="W265">
        <v>10</v>
      </c>
      <c r="X265" t="s">
        <v>47</v>
      </c>
      <c r="Y265">
        <v>3</v>
      </c>
      <c r="Z265" t="s">
        <v>91</v>
      </c>
    </row>
    <row r="266" spans="1:26" x14ac:dyDescent="0.3">
      <c r="A266" t="s">
        <v>583</v>
      </c>
      <c r="B266" s="2">
        <v>46009</v>
      </c>
      <c r="C266" t="s">
        <v>332</v>
      </c>
      <c r="D266" t="s">
        <v>111</v>
      </c>
      <c r="E266" t="s">
        <v>29</v>
      </c>
      <c r="F266">
        <v>41</v>
      </c>
      <c r="G266" t="s">
        <v>74</v>
      </c>
      <c r="H266" t="s">
        <v>31</v>
      </c>
      <c r="I266" t="s">
        <v>74</v>
      </c>
      <c r="J266" t="s">
        <v>150</v>
      </c>
      <c r="K266">
        <v>1</v>
      </c>
      <c r="L266">
        <v>9992</v>
      </c>
      <c r="M266">
        <v>10</v>
      </c>
      <c r="N266">
        <v>999.2</v>
      </c>
      <c r="O266">
        <v>1618.7</v>
      </c>
      <c r="P266">
        <v>323</v>
      </c>
      <c r="Q266">
        <v>10934.5</v>
      </c>
      <c r="R266" t="s">
        <v>33</v>
      </c>
      <c r="S266" t="s">
        <v>63</v>
      </c>
      <c r="T266" t="s">
        <v>103</v>
      </c>
      <c r="U266" t="s">
        <v>103</v>
      </c>
      <c r="V266" t="s">
        <v>57</v>
      </c>
      <c r="W266">
        <v>10</v>
      </c>
      <c r="X266" t="s">
        <v>47</v>
      </c>
      <c r="Y266">
        <v>4</v>
      </c>
      <c r="Z266" t="s">
        <v>58</v>
      </c>
    </row>
    <row r="267" spans="1:26" x14ac:dyDescent="0.3">
      <c r="A267" t="s">
        <v>584</v>
      </c>
      <c r="B267" s="2">
        <v>45940</v>
      </c>
      <c r="C267" t="s">
        <v>585</v>
      </c>
      <c r="D267" t="s">
        <v>108</v>
      </c>
      <c r="E267" t="s">
        <v>43</v>
      </c>
      <c r="F267">
        <v>25</v>
      </c>
      <c r="G267" t="s">
        <v>67</v>
      </c>
      <c r="H267" t="s">
        <v>68</v>
      </c>
      <c r="I267" t="s">
        <v>67</v>
      </c>
      <c r="J267" t="s">
        <v>112</v>
      </c>
      <c r="K267">
        <v>2</v>
      </c>
      <c r="L267">
        <v>2594</v>
      </c>
      <c r="M267">
        <v>5</v>
      </c>
      <c r="N267">
        <v>259.39999999999998</v>
      </c>
      <c r="O267">
        <v>887.15</v>
      </c>
      <c r="P267">
        <v>259</v>
      </c>
      <c r="Q267">
        <v>6074.75</v>
      </c>
      <c r="R267" t="s">
        <v>83</v>
      </c>
      <c r="S267" t="s">
        <v>34</v>
      </c>
      <c r="T267" t="s">
        <v>76</v>
      </c>
      <c r="U267" t="s">
        <v>77</v>
      </c>
      <c r="V267" t="s">
        <v>57</v>
      </c>
      <c r="W267">
        <v>10</v>
      </c>
      <c r="X267" t="s">
        <v>47</v>
      </c>
      <c r="Y267">
        <v>5</v>
      </c>
      <c r="Z267" t="s">
        <v>47</v>
      </c>
    </row>
    <row r="268" spans="1:26" x14ac:dyDescent="0.3">
      <c r="A268" t="s">
        <v>586</v>
      </c>
      <c r="B268" s="2">
        <v>46121</v>
      </c>
      <c r="C268" t="s">
        <v>587</v>
      </c>
      <c r="D268" t="s">
        <v>80</v>
      </c>
      <c r="E268" t="s">
        <v>43</v>
      </c>
      <c r="F268">
        <v>27</v>
      </c>
      <c r="G268" t="s">
        <v>51</v>
      </c>
      <c r="H268" t="s">
        <v>52</v>
      </c>
      <c r="I268" t="s">
        <v>51</v>
      </c>
      <c r="J268" t="s">
        <v>75</v>
      </c>
      <c r="K268">
        <v>3</v>
      </c>
      <c r="L268">
        <v>33711</v>
      </c>
      <c r="M268">
        <v>15</v>
      </c>
      <c r="N268">
        <v>15169.95</v>
      </c>
      <c r="O268">
        <v>15473.35</v>
      </c>
      <c r="P268">
        <v>84</v>
      </c>
      <c r="Q268">
        <v>101520.4</v>
      </c>
      <c r="R268" t="s">
        <v>33</v>
      </c>
      <c r="S268" t="s">
        <v>34</v>
      </c>
      <c r="T268" t="s">
        <v>84</v>
      </c>
      <c r="U268" t="s">
        <v>85</v>
      </c>
      <c r="V268" t="s">
        <v>86</v>
      </c>
      <c r="W268">
        <v>6</v>
      </c>
      <c r="X268" t="s">
        <v>47</v>
      </c>
      <c r="Y268">
        <v>5</v>
      </c>
      <c r="Z268" t="s">
        <v>39</v>
      </c>
    </row>
    <row r="269" spans="1:26" x14ac:dyDescent="0.3">
      <c r="A269" t="s">
        <v>588</v>
      </c>
      <c r="B269" s="2">
        <v>45821</v>
      </c>
      <c r="C269" t="s">
        <v>145</v>
      </c>
      <c r="D269" t="s">
        <v>66</v>
      </c>
      <c r="E269" t="s">
        <v>29</v>
      </c>
      <c r="F269">
        <v>41</v>
      </c>
      <c r="G269" t="s">
        <v>94</v>
      </c>
      <c r="H269" t="s">
        <v>31</v>
      </c>
      <c r="I269" t="s">
        <v>94</v>
      </c>
      <c r="J269" t="s">
        <v>62</v>
      </c>
      <c r="K269">
        <v>5</v>
      </c>
      <c r="L269">
        <v>28384</v>
      </c>
      <c r="M269">
        <v>20</v>
      </c>
      <c r="N269">
        <v>28384</v>
      </c>
      <c r="O269">
        <v>20436.48</v>
      </c>
      <c r="P269">
        <v>302</v>
      </c>
      <c r="Q269">
        <v>134274.48000000001</v>
      </c>
      <c r="R269" t="s">
        <v>33</v>
      </c>
      <c r="S269" t="s">
        <v>63</v>
      </c>
      <c r="T269" t="s">
        <v>76</v>
      </c>
      <c r="U269" t="s">
        <v>77</v>
      </c>
      <c r="V269" t="s">
        <v>57</v>
      </c>
      <c r="W269">
        <v>7</v>
      </c>
      <c r="X269" t="s">
        <v>38</v>
      </c>
      <c r="Y269">
        <v>3</v>
      </c>
      <c r="Z269" t="s">
        <v>47</v>
      </c>
    </row>
    <row r="270" spans="1:26" x14ac:dyDescent="0.3">
      <c r="A270" t="s">
        <v>589</v>
      </c>
      <c r="B270" s="2">
        <v>46092</v>
      </c>
      <c r="C270" t="s">
        <v>590</v>
      </c>
      <c r="D270" t="s">
        <v>89</v>
      </c>
      <c r="E270" t="s">
        <v>43</v>
      </c>
      <c r="F270">
        <v>29</v>
      </c>
      <c r="G270" t="s">
        <v>51</v>
      </c>
      <c r="H270" t="s">
        <v>52</v>
      </c>
      <c r="I270" t="s">
        <v>51</v>
      </c>
      <c r="J270" t="s">
        <v>69</v>
      </c>
      <c r="K270">
        <v>3</v>
      </c>
      <c r="L270">
        <v>35019</v>
      </c>
      <c r="M270">
        <v>15</v>
      </c>
      <c r="N270">
        <v>15758.55</v>
      </c>
      <c r="O270">
        <v>16073.72</v>
      </c>
      <c r="P270">
        <v>151</v>
      </c>
      <c r="Q270">
        <v>105523.17</v>
      </c>
      <c r="R270" t="s">
        <v>83</v>
      </c>
      <c r="S270" t="s">
        <v>63</v>
      </c>
      <c r="T270" t="s">
        <v>103</v>
      </c>
      <c r="U270" t="s">
        <v>103</v>
      </c>
      <c r="V270" t="s">
        <v>57</v>
      </c>
      <c r="W270">
        <v>3</v>
      </c>
      <c r="X270" t="s">
        <v>38</v>
      </c>
      <c r="Y270">
        <v>5</v>
      </c>
      <c r="Z270" t="s">
        <v>58</v>
      </c>
    </row>
    <row r="271" spans="1:26" x14ac:dyDescent="0.3">
      <c r="A271" t="s">
        <v>591</v>
      </c>
      <c r="B271" s="2">
        <v>45800</v>
      </c>
      <c r="C271" t="s">
        <v>592</v>
      </c>
      <c r="D271" t="s">
        <v>108</v>
      </c>
      <c r="E271" t="s">
        <v>43</v>
      </c>
      <c r="F271">
        <v>59</v>
      </c>
      <c r="G271" t="s">
        <v>30</v>
      </c>
      <c r="H271" t="s">
        <v>31</v>
      </c>
      <c r="I271" t="s">
        <v>30</v>
      </c>
      <c r="J271" t="s">
        <v>32</v>
      </c>
      <c r="K271">
        <v>3</v>
      </c>
      <c r="L271">
        <v>19289</v>
      </c>
      <c r="M271">
        <v>10</v>
      </c>
      <c r="N271">
        <v>5786.7</v>
      </c>
      <c r="O271">
        <v>9374.4500000000007</v>
      </c>
      <c r="P271">
        <v>261</v>
      </c>
      <c r="Q271">
        <v>61715.75</v>
      </c>
      <c r="R271" t="s">
        <v>33</v>
      </c>
      <c r="S271" t="s">
        <v>34</v>
      </c>
      <c r="T271" t="s">
        <v>46</v>
      </c>
      <c r="U271" t="s">
        <v>36</v>
      </c>
      <c r="V271" t="s">
        <v>37</v>
      </c>
      <c r="W271">
        <v>4</v>
      </c>
      <c r="X271" t="s">
        <v>38</v>
      </c>
      <c r="Y271">
        <v>3</v>
      </c>
      <c r="Z271" t="s">
        <v>39</v>
      </c>
    </row>
    <row r="272" spans="1:26" x14ac:dyDescent="0.3">
      <c r="A272" t="s">
        <v>593</v>
      </c>
      <c r="B272" s="2">
        <v>46015</v>
      </c>
      <c r="C272" t="s">
        <v>423</v>
      </c>
      <c r="D272" t="s">
        <v>66</v>
      </c>
      <c r="E272" t="s">
        <v>29</v>
      </c>
      <c r="F272">
        <v>44</v>
      </c>
      <c r="G272" t="s">
        <v>99</v>
      </c>
      <c r="H272" t="s">
        <v>52</v>
      </c>
      <c r="I272" t="s">
        <v>99</v>
      </c>
      <c r="J272" t="s">
        <v>62</v>
      </c>
      <c r="K272">
        <v>4</v>
      </c>
      <c r="L272">
        <v>47723</v>
      </c>
      <c r="M272">
        <v>10</v>
      </c>
      <c r="N272">
        <v>19089.2</v>
      </c>
      <c r="O272">
        <v>30924.5</v>
      </c>
      <c r="P272">
        <v>497</v>
      </c>
      <c r="Q272">
        <v>203224.3</v>
      </c>
      <c r="R272" t="s">
        <v>83</v>
      </c>
      <c r="S272" t="s">
        <v>63</v>
      </c>
      <c r="T272" t="s">
        <v>35</v>
      </c>
      <c r="U272" t="s">
        <v>36</v>
      </c>
      <c r="V272" t="s">
        <v>37</v>
      </c>
      <c r="W272">
        <v>8</v>
      </c>
      <c r="X272" t="s">
        <v>38</v>
      </c>
      <c r="Y272">
        <v>1</v>
      </c>
      <c r="Z272" t="s">
        <v>39</v>
      </c>
    </row>
    <row r="273" spans="1:26" x14ac:dyDescent="0.3">
      <c r="A273" t="s">
        <v>594</v>
      </c>
      <c r="B273" s="2">
        <v>46001</v>
      </c>
      <c r="C273" t="s">
        <v>417</v>
      </c>
      <c r="D273" t="s">
        <v>50</v>
      </c>
      <c r="E273" t="s">
        <v>29</v>
      </c>
      <c r="F273">
        <v>44</v>
      </c>
      <c r="G273" t="s">
        <v>44</v>
      </c>
      <c r="H273" t="s">
        <v>31</v>
      </c>
      <c r="I273" t="s">
        <v>44</v>
      </c>
      <c r="J273" t="s">
        <v>53</v>
      </c>
      <c r="K273">
        <v>5</v>
      </c>
      <c r="L273">
        <v>36579</v>
      </c>
      <c r="M273">
        <v>5</v>
      </c>
      <c r="N273">
        <v>9144.75</v>
      </c>
      <c r="O273">
        <v>31275.040000000001</v>
      </c>
      <c r="P273">
        <v>326</v>
      </c>
      <c r="Q273">
        <v>205351.29</v>
      </c>
      <c r="R273" t="s">
        <v>83</v>
      </c>
      <c r="S273" t="s">
        <v>63</v>
      </c>
      <c r="T273" t="s">
        <v>95</v>
      </c>
      <c r="U273" t="s">
        <v>96</v>
      </c>
      <c r="V273" t="s">
        <v>57</v>
      </c>
      <c r="W273">
        <v>4</v>
      </c>
      <c r="X273" t="s">
        <v>38</v>
      </c>
      <c r="Y273">
        <v>4</v>
      </c>
      <c r="Z273" t="s">
        <v>58</v>
      </c>
    </row>
    <row r="274" spans="1:26" x14ac:dyDescent="0.3">
      <c r="A274" t="s">
        <v>595</v>
      </c>
      <c r="B274" s="2">
        <v>46085</v>
      </c>
      <c r="C274" t="s">
        <v>596</v>
      </c>
      <c r="D274" t="s">
        <v>61</v>
      </c>
      <c r="E274" t="s">
        <v>43</v>
      </c>
      <c r="F274">
        <v>28</v>
      </c>
      <c r="G274" t="s">
        <v>30</v>
      </c>
      <c r="H274" t="s">
        <v>31</v>
      </c>
      <c r="I274" t="s">
        <v>30</v>
      </c>
      <c r="J274" t="s">
        <v>150</v>
      </c>
      <c r="K274">
        <v>2</v>
      </c>
      <c r="L274">
        <v>30501</v>
      </c>
      <c r="M274">
        <v>10</v>
      </c>
      <c r="N274">
        <v>6100.2</v>
      </c>
      <c r="O274">
        <v>9882.32</v>
      </c>
      <c r="P274">
        <v>215</v>
      </c>
      <c r="Q274">
        <v>64999.12</v>
      </c>
      <c r="R274" t="s">
        <v>54</v>
      </c>
      <c r="S274" t="s">
        <v>63</v>
      </c>
      <c r="T274" t="s">
        <v>95</v>
      </c>
      <c r="U274" t="s">
        <v>96</v>
      </c>
      <c r="V274" t="s">
        <v>57</v>
      </c>
      <c r="W274">
        <v>8</v>
      </c>
      <c r="X274" t="s">
        <v>38</v>
      </c>
      <c r="Y274">
        <v>2</v>
      </c>
      <c r="Z274" t="s">
        <v>47</v>
      </c>
    </row>
    <row r="275" spans="1:26" x14ac:dyDescent="0.3">
      <c r="A275" t="s">
        <v>597</v>
      </c>
      <c r="B275" s="2">
        <v>45908</v>
      </c>
      <c r="C275" t="s">
        <v>598</v>
      </c>
      <c r="D275" t="s">
        <v>42</v>
      </c>
      <c r="E275" t="s">
        <v>29</v>
      </c>
      <c r="F275">
        <v>19</v>
      </c>
      <c r="G275" t="s">
        <v>44</v>
      </c>
      <c r="H275" t="s">
        <v>31</v>
      </c>
      <c r="I275" t="s">
        <v>44</v>
      </c>
      <c r="J275" t="s">
        <v>75</v>
      </c>
      <c r="K275">
        <v>3</v>
      </c>
      <c r="L275">
        <v>35905</v>
      </c>
      <c r="M275">
        <v>20</v>
      </c>
      <c r="N275">
        <v>21543</v>
      </c>
      <c r="O275">
        <v>15510.96</v>
      </c>
      <c r="P275">
        <v>69</v>
      </c>
      <c r="Q275">
        <v>101751.96</v>
      </c>
      <c r="R275" t="s">
        <v>83</v>
      </c>
      <c r="S275" t="s">
        <v>63</v>
      </c>
      <c r="T275" t="s">
        <v>84</v>
      </c>
      <c r="U275" t="s">
        <v>85</v>
      </c>
      <c r="V275" t="s">
        <v>86</v>
      </c>
      <c r="W275">
        <v>6</v>
      </c>
      <c r="X275" t="s">
        <v>38</v>
      </c>
      <c r="Y275">
        <v>4</v>
      </c>
      <c r="Z275" t="s">
        <v>47</v>
      </c>
    </row>
    <row r="276" spans="1:26" x14ac:dyDescent="0.3">
      <c r="A276" t="s">
        <v>599</v>
      </c>
      <c r="B276" s="2">
        <v>45871</v>
      </c>
      <c r="C276" t="s">
        <v>120</v>
      </c>
      <c r="D276" t="s">
        <v>111</v>
      </c>
      <c r="E276" t="s">
        <v>43</v>
      </c>
      <c r="F276">
        <v>38</v>
      </c>
      <c r="G276" t="s">
        <v>139</v>
      </c>
      <c r="H276" t="s">
        <v>31</v>
      </c>
      <c r="I276" t="s">
        <v>139</v>
      </c>
      <c r="J276" t="s">
        <v>53</v>
      </c>
      <c r="K276">
        <v>3</v>
      </c>
      <c r="L276">
        <v>16019</v>
      </c>
      <c r="M276">
        <v>10</v>
      </c>
      <c r="N276">
        <v>4805.7</v>
      </c>
      <c r="O276">
        <v>7785.23</v>
      </c>
      <c r="P276">
        <v>9</v>
      </c>
      <c r="Q276">
        <v>51045.53</v>
      </c>
      <c r="R276" t="s">
        <v>83</v>
      </c>
      <c r="S276" t="s">
        <v>63</v>
      </c>
      <c r="T276" t="s">
        <v>84</v>
      </c>
      <c r="U276" t="s">
        <v>85</v>
      </c>
      <c r="V276" t="s">
        <v>86</v>
      </c>
      <c r="W276">
        <v>4</v>
      </c>
      <c r="X276" t="s">
        <v>38</v>
      </c>
      <c r="Y276">
        <v>4</v>
      </c>
      <c r="Z276" t="s">
        <v>58</v>
      </c>
    </row>
    <row r="277" spans="1:26" x14ac:dyDescent="0.3">
      <c r="A277" t="s">
        <v>600</v>
      </c>
      <c r="B277" s="2">
        <v>45877</v>
      </c>
      <c r="C277" t="s">
        <v>601</v>
      </c>
      <c r="D277" t="s">
        <v>89</v>
      </c>
      <c r="E277" t="s">
        <v>29</v>
      </c>
      <c r="F277">
        <v>22</v>
      </c>
      <c r="G277" t="s">
        <v>94</v>
      </c>
      <c r="H277" t="s">
        <v>31</v>
      </c>
      <c r="I277" t="s">
        <v>94</v>
      </c>
      <c r="J277" t="s">
        <v>53</v>
      </c>
      <c r="K277">
        <v>4</v>
      </c>
      <c r="L277">
        <v>19232</v>
      </c>
      <c r="M277">
        <v>10</v>
      </c>
      <c r="N277">
        <v>7692.8</v>
      </c>
      <c r="O277">
        <v>12462.34</v>
      </c>
      <c r="P277">
        <v>295</v>
      </c>
      <c r="Q277">
        <v>81992.539999999994</v>
      </c>
      <c r="R277" t="s">
        <v>54</v>
      </c>
      <c r="S277" t="s">
        <v>63</v>
      </c>
      <c r="T277" t="s">
        <v>35</v>
      </c>
      <c r="U277" t="s">
        <v>36</v>
      </c>
      <c r="V277" t="s">
        <v>37</v>
      </c>
      <c r="W277">
        <v>6</v>
      </c>
      <c r="X277" t="s">
        <v>38</v>
      </c>
      <c r="Y277">
        <v>5</v>
      </c>
      <c r="Z277" t="s">
        <v>58</v>
      </c>
    </row>
    <row r="278" spans="1:26" x14ac:dyDescent="0.3">
      <c r="A278" t="s">
        <v>602</v>
      </c>
      <c r="B278" s="2">
        <v>45978</v>
      </c>
      <c r="C278" t="s">
        <v>603</v>
      </c>
      <c r="D278" t="s">
        <v>50</v>
      </c>
      <c r="E278" t="s">
        <v>29</v>
      </c>
      <c r="F278">
        <v>57</v>
      </c>
      <c r="G278" t="s">
        <v>74</v>
      </c>
      <c r="H278" t="s">
        <v>31</v>
      </c>
      <c r="I278" t="s">
        <v>74</v>
      </c>
      <c r="J278" t="s">
        <v>102</v>
      </c>
      <c r="K278">
        <v>3</v>
      </c>
      <c r="L278">
        <v>26220</v>
      </c>
      <c r="M278">
        <v>5</v>
      </c>
      <c r="N278">
        <v>3933</v>
      </c>
      <c r="O278">
        <v>13450.86</v>
      </c>
      <c r="P278">
        <v>337</v>
      </c>
      <c r="Q278">
        <v>88514.86</v>
      </c>
      <c r="R278" t="s">
        <v>83</v>
      </c>
      <c r="S278" t="s">
        <v>34</v>
      </c>
      <c r="T278" t="s">
        <v>46</v>
      </c>
      <c r="U278" t="s">
        <v>36</v>
      </c>
      <c r="V278" t="s">
        <v>37</v>
      </c>
      <c r="W278">
        <v>9</v>
      </c>
      <c r="X278" t="s">
        <v>47</v>
      </c>
      <c r="Y278">
        <v>5</v>
      </c>
      <c r="Z278" t="s">
        <v>47</v>
      </c>
    </row>
    <row r="279" spans="1:26" x14ac:dyDescent="0.3">
      <c r="A279" t="s">
        <v>604</v>
      </c>
      <c r="B279" s="2">
        <v>45872</v>
      </c>
      <c r="C279" t="s">
        <v>118</v>
      </c>
      <c r="D279" t="s">
        <v>73</v>
      </c>
      <c r="E279" t="s">
        <v>43</v>
      </c>
      <c r="F279">
        <v>60</v>
      </c>
      <c r="G279" t="s">
        <v>30</v>
      </c>
      <c r="H279" t="s">
        <v>31</v>
      </c>
      <c r="I279" t="s">
        <v>30</v>
      </c>
      <c r="J279" t="s">
        <v>150</v>
      </c>
      <c r="K279">
        <v>2</v>
      </c>
      <c r="L279">
        <v>8816</v>
      </c>
      <c r="M279">
        <v>20</v>
      </c>
      <c r="N279">
        <v>3526.4</v>
      </c>
      <c r="O279">
        <v>2539.0100000000002</v>
      </c>
      <c r="P279">
        <v>394</v>
      </c>
      <c r="Q279">
        <v>17038.61</v>
      </c>
      <c r="R279" t="s">
        <v>45</v>
      </c>
      <c r="S279" t="s">
        <v>34</v>
      </c>
      <c r="T279" t="s">
        <v>46</v>
      </c>
      <c r="U279" t="s">
        <v>36</v>
      </c>
      <c r="V279" t="s">
        <v>37</v>
      </c>
      <c r="W279">
        <v>5</v>
      </c>
      <c r="X279" t="s">
        <v>38</v>
      </c>
      <c r="Y279">
        <v>4</v>
      </c>
      <c r="Z279" t="s">
        <v>47</v>
      </c>
    </row>
    <row r="280" spans="1:26" x14ac:dyDescent="0.3">
      <c r="A280" t="s">
        <v>605</v>
      </c>
      <c r="B280" s="2">
        <v>45773</v>
      </c>
      <c r="C280" t="s">
        <v>606</v>
      </c>
      <c r="D280" t="s">
        <v>80</v>
      </c>
      <c r="E280" t="s">
        <v>43</v>
      </c>
      <c r="F280">
        <v>32</v>
      </c>
      <c r="G280" t="s">
        <v>139</v>
      </c>
      <c r="H280" t="s">
        <v>31</v>
      </c>
      <c r="I280" t="s">
        <v>139</v>
      </c>
      <c r="J280" t="s">
        <v>69</v>
      </c>
      <c r="K280">
        <v>1</v>
      </c>
      <c r="L280">
        <v>21091</v>
      </c>
      <c r="M280">
        <v>10</v>
      </c>
      <c r="N280">
        <v>2109.1</v>
      </c>
      <c r="O280">
        <v>3416.74</v>
      </c>
      <c r="P280">
        <v>177</v>
      </c>
      <c r="Q280">
        <v>22575.64</v>
      </c>
      <c r="R280" t="s">
        <v>54</v>
      </c>
      <c r="S280" t="s">
        <v>63</v>
      </c>
      <c r="T280" t="s">
        <v>95</v>
      </c>
      <c r="U280" t="s">
        <v>96</v>
      </c>
      <c r="V280" t="s">
        <v>57</v>
      </c>
      <c r="W280">
        <v>1</v>
      </c>
      <c r="X280" t="s">
        <v>47</v>
      </c>
      <c r="Y280">
        <v>1</v>
      </c>
      <c r="Z280" t="s">
        <v>39</v>
      </c>
    </row>
    <row r="281" spans="1:26" x14ac:dyDescent="0.3">
      <c r="A281" t="s">
        <v>607</v>
      </c>
      <c r="B281" s="2">
        <v>46032</v>
      </c>
      <c r="C281" t="s">
        <v>538</v>
      </c>
      <c r="D281" t="s">
        <v>50</v>
      </c>
      <c r="E281" t="s">
        <v>29</v>
      </c>
      <c r="F281">
        <v>19</v>
      </c>
      <c r="G281" t="s">
        <v>94</v>
      </c>
      <c r="H281" t="s">
        <v>31</v>
      </c>
      <c r="I281" t="s">
        <v>94</v>
      </c>
      <c r="J281" t="s">
        <v>69</v>
      </c>
      <c r="K281">
        <v>2</v>
      </c>
      <c r="L281">
        <v>46647</v>
      </c>
      <c r="M281">
        <v>0</v>
      </c>
      <c r="N281">
        <v>0</v>
      </c>
      <c r="O281">
        <v>16792.919999999998</v>
      </c>
      <c r="P281">
        <v>477</v>
      </c>
      <c r="Q281">
        <v>110563.92</v>
      </c>
      <c r="R281" t="s">
        <v>33</v>
      </c>
      <c r="S281" t="s">
        <v>34</v>
      </c>
      <c r="T281" t="s">
        <v>103</v>
      </c>
      <c r="U281" t="s">
        <v>103</v>
      </c>
      <c r="V281" t="s">
        <v>57</v>
      </c>
      <c r="W281">
        <v>6</v>
      </c>
      <c r="X281" t="s">
        <v>38</v>
      </c>
      <c r="Y281">
        <v>2</v>
      </c>
      <c r="Z281" t="s">
        <v>58</v>
      </c>
    </row>
    <row r="282" spans="1:26" x14ac:dyDescent="0.3">
      <c r="A282" t="s">
        <v>608</v>
      </c>
      <c r="B282" s="2">
        <v>46042</v>
      </c>
      <c r="C282" t="s">
        <v>609</v>
      </c>
      <c r="D282" t="s">
        <v>80</v>
      </c>
      <c r="E282" t="s">
        <v>43</v>
      </c>
      <c r="F282">
        <v>57</v>
      </c>
      <c r="G282" t="s">
        <v>30</v>
      </c>
      <c r="H282" t="s">
        <v>31</v>
      </c>
      <c r="I282" t="s">
        <v>30</v>
      </c>
      <c r="J282" t="s">
        <v>53</v>
      </c>
      <c r="K282">
        <v>1</v>
      </c>
      <c r="L282">
        <v>46084</v>
      </c>
      <c r="M282">
        <v>10</v>
      </c>
      <c r="N282">
        <v>4608.3999999999996</v>
      </c>
      <c r="O282">
        <v>7465.61</v>
      </c>
      <c r="P282">
        <v>166</v>
      </c>
      <c r="Q282">
        <v>49107.21</v>
      </c>
      <c r="R282" t="s">
        <v>33</v>
      </c>
      <c r="S282" t="s">
        <v>63</v>
      </c>
      <c r="T282" t="s">
        <v>95</v>
      </c>
      <c r="U282" t="s">
        <v>96</v>
      </c>
      <c r="V282" t="s">
        <v>57</v>
      </c>
      <c r="W282">
        <v>4</v>
      </c>
      <c r="X282" t="s">
        <v>47</v>
      </c>
      <c r="Y282">
        <v>3</v>
      </c>
      <c r="Z282" t="s">
        <v>58</v>
      </c>
    </row>
    <row r="283" spans="1:26" x14ac:dyDescent="0.3">
      <c r="A283" t="s">
        <v>610</v>
      </c>
      <c r="B283" s="2">
        <v>46115</v>
      </c>
      <c r="C283" t="s">
        <v>611</v>
      </c>
      <c r="D283" t="s">
        <v>111</v>
      </c>
      <c r="E283" t="s">
        <v>29</v>
      </c>
      <c r="F283">
        <v>27</v>
      </c>
      <c r="G283" t="s">
        <v>90</v>
      </c>
      <c r="H283" t="s">
        <v>31</v>
      </c>
      <c r="I283" t="s">
        <v>90</v>
      </c>
      <c r="J283" t="s">
        <v>53</v>
      </c>
      <c r="K283">
        <v>2</v>
      </c>
      <c r="L283">
        <v>13526</v>
      </c>
      <c r="M283">
        <v>0</v>
      </c>
      <c r="N283">
        <v>0</v>
      </c>
      <c r="O283">
        <v>4869.3599999999997</v>
      </c>
      <c r="P283">
        <v>286</v>
      </c>
      <c r="Q283">
        <v>32207.360000000001</v>
      </c>
      <c r="R283" t="s">
        <v>45</v>
      </c>
      <c r="S283" t="s">
        <v>63</v>
      </c>
      <c r="T283" t="s">
        <v>95</v>
      </c>
      <c r="U283" t="s">
        <v>96</v>
      </c>
      <c r="V283" t="s">
        <v>57</v>
      </c>
      <c r="W283">
        <v>8</v>
      </c>
      <c r="X283" t="s">
        <v>38</v>
      </c>
      <c r="Y283">
        <v>5</v>
      </c>
      <c r="Z283" t="s">
        <v>39</v>
      </c>
    </row>
    <row r="284" spans="1:26" x14ac:dyDescent="0.3">
      <c r="A284" t="s">
        <v>612</v>
      </c>
      <c r="B284" s="2">
        <v>45908</v>
      </c>
      <c r="C284" t="s">
        <v>203</v>
      </c>
      <c r="D284" t="s">
        <v>73</v>
      </c>
      <c r="E284" t="s">
        <v>29</v>
      </c>
      <c r="F284">
        <v>23</v>
      </c>
      <c r="G284" t="s">
        <v>94</v>
      </c>
      <c r="H284" t="s">
        <v>31</v>
      </c>
      <c r="I284" t="s">
        <v>94</v>
      </c>
      <c r="J284" t="s">
        <v>150</v>
      </c>
      <c r="K284">
        <v>2</v>
      </c>
      <c r="L284">
        <v>24594</v>
      </c>
      <c r="M284">
        <v>15</v>
      </c>
      <c r="N284">
        <v>7378.2</v>
      </c>
      <c r="O284">
        <v>7525.76</v>
      </c>
      <c r="P284">
        <v>423</v>
      </c>
      <c r="Q284">
        <v>49758.559999999998</v>
      </c>
      <c r="R284" t="s">
        <v>33</v>
      </c>
      <c r="S284" t="s">
        <v>34</v>
      </c>
      <c r="T284" t="s">
        <v>95</v>
      </c>
      <c r="U284" t="s">
        <v>96</v>
      </c>
      <c r="V284" t="s">
        <v>57</v>
      </c>
      <c r="W284">
        <v>5</v>
      </c>
      <c r="X284" t="s">
        <v>47</v>
      </c>
      <c r="Y284">
        <v>3</v>
      </c>
      <c r="Z284" t="s">
        <v>58</v>
      </c>
    </row>
    <row r="285" spans="1:26" x14ac:dyDescent="0.3">
      <c r="A285" t="s">
        <v>613</v>
      </c>
      <c r="B285" s="2">
        <v>46093</v>
      </c>
      <c r="C285" t="s">
        <v>614</v>
      </c>
      <c r="D285" t="s">
        <v>66</v>
      </c>
      <c r="E285" t="s">
        <v>43</v>
      </c>
      <c r="F285">
        <v>48</v>
      </c>
      <c r="G285" t="s">
        <v>74</v>
      </c>
      <c r="H285" t="s">
        <v>31</v>
      </c>
      <c r="I285" t="s">
        <v>74</v>
      </c>
      <c r="J285" t="s">
        <v>53</v>
      </c>
      <c r="K285">
        <v>1</v>
      </c>
      <c r="L285">
        <v>8792</v>
      </c>
      <c r="M285">
        <v>20</v>
      </c>
      <c r="N285">
        <v>1758.4</v>
      </c>
      <c r="O285">
        <v>1266.05</v>
      </c>
      <c r="P285">
        <v>83</v>
      </c>
      <c r="Q285">
        <v>8382.65</v>
      </c>
      <c r="R285" t="s">
        <v>33</v>
      </c>
      <c r="S285" t="s">
        <v>34</v>
      </c>
      <c r="T285" t="s">
        <v>46</v>
      </c>
      <c r="U285" t="s">
        <v>36</v>
      </c>
      <c r="V285" t="s">
        <v>37</v>
      </c>
      <c r="W285">
        <v>3</v>
      </c>
      <c r="X285" t="s">
        <v>47</v>
      </c>
      <c r="Y285">
        <v>2</v>
      </c>
      <c r="Z285" t="s">
        <v>58</v>
      </c>
    </row>
    <row r="286" spans="1:26" x14ac:dyDescent="0.3">
      <c r="A286" t="s">
        <v>615</v>
      </c>
      <c r="B286" s="2">
        <v>45830</v>
      </c>
      <c r="C286" t="s">
        <v>342</v>
      </c>
      <c r="D286" t="s">
        <v>80</v>
      </c>
      <c r="E286" t="s">
        <v>29</v>
      </c>
      <c r="F286">
        <v>44</v>
      </c>
      <c r="G286" t="s">
        <v>94</v>
      </c>
      <c r="H286" t="s">
        <v>31</v>
      </c>
      <c r="I286" t="s">
        <v>94</v>
      </c>
      <c r="J286" t="s">
        <v>75</v>
      </c>
      <c r="K286">
        <v>2</v>
      </c>
      <c r="L286">
        <v>39070</v>
      </c>
      <c r="M286">
        <v>0</v>
      </c>
      <c r="N286">
        <v>0</v>
      </c>
      <c r="O286">
        <v>14065.2</v>
      </c>
      <c r="P286">
        <v>255</v>
      </c>
      <c r="Q286">
        <v>92460.2</v>
      </c>
      <c r="R286" t="s">
        <v>33</v>
      </c>
      <c r="S286" t="s">
        <v>63</v>
      </c>
      <c r="T286" t="s">
        <v>35</v>
      </c>
      <c r="U286" t="s">
        <v>36</v>
      </c>
      <c r="V286" t="s">
        <v>37</v>
      </c>
      <c r="W286">
        <v>9</v>
      </c>
      <c r="X286" t="s">
        <v>47</v>
      </c>
      <c r="Y286">
        <v>5</v>
      </c>
      <c r="Z286" t="s">
        <v>58</v>
      </c>
    </row>
    <row r="287" spans="1:26" x14ac:dyDescent="0.3">
      <c r="A287" t="s">
        <v>616</v>
      </c>
      <c r="B287" s="2">
        <v>46091</v>
      </c>
      <c r="C287" t="s">
        <v>617</v>
      </c>
      <c r="D287" t="s">
        <v>42</v>
      </c>
      <c r="E287" t="s">
        <v>43</v>
      </c>
      <c r="F287">
        <v>29</v>
      </c>
      <c r="G287" t="s">
        <v>74</v>
      </c>
      <c r="H287" t="s">
        <v>31</v>
      </c>
      <c r="I287" t="s">
        <v>74</v>
      </c>
      <c r="J287" t="s">
        <v>32</v>
      </c>
      <c r="K287">
        <v>2</v>
      </c>
      <c r="L287">
        <v>4186</v>
      </c>
      <c r="M287">
        <v>15</v>
      </c>
      <c r="N287">
        <v>1255.8</v>
      </c>
      <c r="O287">
        <v>1280.92</v>
      </c>
      <c r="P287">
        <v>320</v>
      </c>
      <c r="Q287">
        <v>8717.1200000000008</v>
      </c>
      <c r="R287" t="s">
        <v>83</v>
      </c>
      <c r="S287" t="s">
        <v>63</v>
      </c>
      <c r="T287" t="s">
        <v>103</v>
      </c>
      <c r="U287" t="s">
        <v>103</v>
      </c>
      <c r="V287" t="s">
        <v>57</v>
      </c>
      <c r="W287">
        <v>2</v>
      </c>
      <c r="X287" t="s">
        <v>47</v>
      </c>
      <c r="Y287">
        <v>4</v>
      </c>
      <c r="Z287" t="s">
        <v>39</v>
      </c>
    </row>
    <row r="288" spans="1:26" x14ac:dyDescent="0.3">
      <c r="A288" t="s">
        <v>618</v>
      </c>
      <c r="B288" s="2">
        <v>45852</v>
      </c>
      <c r="C288" t="s">
        <v>619</v>
      </c>
      <c r="D288" t="s">
        <v>80</v>
      </c>
      <c r="E288" t="s">
        <v>43</v>
      </c>
      <c r="F288">
        <v>39</v>
      </c>
      <c r="G288" t="s">
        <v>134</v>
      </c>
      <c r="H288" t="s">
        <v>31</v>
      </c>
      <c r="I288" t="s">
        <v>134</v>
      </c>
      <c r="J288" t="s">
        <v>125</v>
      </c>
      <c r="K288">
        <v>3</v>
      </c>
      <c r="L288">
        <v>27724</v>
      </c>
      <c r="M288">
        <v>0</v>
      </c>
      <c r="N288">
        <v>0</v>
      </c>
      <c r="O288">
        <v>14970.96</v>
      </c>
      <c r="P288">
        <v>412</v>
      </c>
      <c r="Q288">
        <v>98554.96</v>
      </c>
      <c r="R288" t="s">
        <v>45</v>
      </c>
      <c r="S288" t="s">
        <v>63</v>
      </c>
      <c r="T288" t="s">
        <v>103</v>
      </c>
      <c r="U288" t="s">
        <v>103</v>
      </c>
      <c r="V288" t="s">
        <v>57</v>
      </c>
      <c r="W288">
        <v>7</v>
      </c>
      <c r="X288" t="s">
        <v>38</v>
      </c>
      <c r="Y288">
        <v>4</v>
      </c>
      <c r="Z288" t="s">
        <v>58</v>
      </c>
    </row>
    <row r="289" spans="1:26" x14ac:dyDescent="0.3">
      <c r="A289" t="s">
        <v>620</v>
      </c>
      <c r="B289" s="2">
        <v>45816</v>
      </c>
      <c r="C289" t="s">
        <v>621</v>
      </c>
      <c r="D289" t="s">
        <v>50</v>
      </c>
      <c r="E289" t="s">
        <v>43</v>
      </c>
      <c r="F289">
        <v>22</v>
      </c>
      <c r="G289" t="s">
        <v>51</v>
      </c>
      <c r="H289" t="s">
        <v>52</v>
      </c>
      <c r="I289" t="s">
        <v>51</v>
      </c>
      <c r="J289" t="s">
        <v>62</v>
      </c>
      <c r="K289">
        <v>2</v>
      </c>
      <c r="L289">
        <v>25863</v>
      </c>
      <c r="M289">
        <v>15</v>
      </c>
      <c r="N289">
        <v>7758.9</v>
      </c>
      <c r="O289">
        <v>7914.08</v>
      </c>
      <c r="P289">
        <v>282</v>
      </c>
      <c r="Q289">
        <v>52163.18</v>
      </c>
      <c r="R289" t="s">
        <v>45</v>
      </c>
      <c r="S289" t="s">
        <v>34</v>
      </c>
      <c r="T289" t="s">
        <v>70</v>
      </c>
      <c r="U289" t="s">
        <v>56</v>
      </c>
      <c r="V289" t="s">
        <v>57</v>
      </c>
      <c r="W289">
        <v>7</v>
      </c>
      <c r="X289" t="s">
        <v>38</v>
      </c>
      <c r="Y289">
        <v>4</v>
      </c>
      <c r="Z289" t="s">
        <v>47</v>
      </c>
    </row>
    <row r="290" spans="1:26" x14ac:dyDescent="0.3">
      <c r="A290" t="s">
        <v>622</v>
      </c>
      <c r="B290" s="2">
        <v>46103</v>
      </c>
      <c r="C290" t="s">
        <v>623</v>
      </c>
      <c r="D290" t="s">
        <v>50</v>
      </c>
      <c r="E290" t="s">
        <v>43</v>
      </c>
      <c r="F290">
        <v>45</v>
      </c>
      <c r="G290" t="s">
        <v>74</v>
      </c>
      <c r="H290" t="s">
        <v>31</v>
      </c>
      <c r="I290" t="s">
        <v>74</v>
      </c>
      <c r="J290" t="s">
        <v>75</v>
      </c>
      <c r="K290">
        <v>3</v>
      </c>
      <c r="L290">
        <v>5942</v>
      </c>
      <c r="M290">
        <v>5</v>
      </c>
      <c r="N290">
        <v>891.3</v>
      </c>
      <c r="O290">
        <v>3048.25</v>
      </c>
      <c r="P290">
        <v>248</v>
      </c>
      <c r="Q290">
        <v>20230.95</v>
      </c>
      <c r="R290" t="s">
        <v>83</v>
      </c>
      <c r="S290" t="s">
        <v>34</v>
      </c>
      <c r="T290" t="s">
        <v>70</v>
      </c>
      <c r="U290" t="s">
        <v>56</v>
      </c>
      <c r="V290" t="s">
        <v>57</v>
      </c>
      <c r="W290">
        <v>8</v>
      </c>
      <c r="X290" t="s">
        <v>47</v>
      </c>
      <c r="Y290">
        <v>2</v>
      </c>
      <c r="Z290" t="s">
        <v>58</v>
      </c>
    </row>
    <row r="291" spans="1:26" x14ac:dyDescent="0.3">
      <c r="A291" t="s">
        <v>624</v>
      </c>
      <c r="B291" s="2">
        <v>45787</v>
      </c>
      <c r="C291" t="s">
        <v>625</v>
      </c>
      <c r="D291" t="s">
        <v>108</v>
      </c>
      <c r="E291" t="s">
        <v>43</v>
      </c>
      <c r="F291">
        <v>54</v>
      </c>
      <c r="G291" t="s">
        <v>44</v>
      </c>
      <c r="H291" t="s">
        <v>31</v>
      </c>
      <c r="I291" t="s">
        <v>44</v>
      </c>
      <c r="J291" t="s">
        <v>53</v>
      </c>
      <c r="K291">
        <v>2</v>
      </c>
      <c r="L291">
        <v>5637</v>
      </c>
      <c r="M291">
        <v>20</v>
      </c>
      <c r="N291">
        <v>2254.8000000000002</v>
      </c>
      <c r="O291">
        <v>1623.46</v>
      </c>
      <c r="P291">
        <v>105</v>
      </c>
      <c r="Q291">
        <v>10747.66</v>
      </c>
      <c r="R291" t="s">
        <v>45</v>
      </c>
      <c r="S291" t="s">
        <v>34</v>
      </c>
      <c r="T291" t="s">
        <v>103</v>
      </c>
      <c r="U291" t="s">
        <v>103</v>
      </c>
      <c r="V291" t="s">
        <v>57</v>
      </c>
      <c r="W291">
        <v>7</v>
      </c>
      <c r="X291" t="s">
        <v>38</v>
      </c>
      <c r="Y291">
        <v>5</v>
      </c>
      <c r="Z291" t="s">
        <v>91</v>
      </c>
    </row>
    <row r="292" spans="1:26" x14ac:dyDescent="0.3">
      <c r="A292" t="s">
        <v>626</v>
      </c>
      <c r="B292" s="2">
        <v>45759</v>
      </c>
      <c r="C292" t="s">
        <v>627</v>
      </c>
      <c r="D292" t="s">
        <v>42</v>
      </c>
      <c r="E292" t="s">
        <v>43</v>
      </c>
      <c r="F292">
        <v>48</v>
      </c>
      <c r="G292" t="s">
        <v>90</v>
      </c>
      <c r="H292" t="s">
        <v>31</v>
      </c>
      <c r="I292" t="s">
        <v>90</v>
      </c>
      <c r="J292" t="s">
        <v>125</v>
      </c>
      <c r="K292">
        <v>3</v>
      </c>
      <c r="L292">
        <v>11265</v>
      </c>
      <c r="M292">
        <v>15</v>
      </c>
      <c r="N292">
        <v>5069.25</v>
      </c>
      <c r="O292">
        <v>5170.6400000000003</v>
      </c>
      <c r="P292">
        <v>234</v>
      </c>
      <c r="Q292">
        <v>34130.39</v>
      </c>
      <c r="R292" t="s">
        <v>54</v>
      </c>
      <c r="S292" t="s">
        <v>63</v>
      </c>
      <c r="T292" t="s">
        <v>46</v>
      </c>
      <c r="U292" t="s">
        <v>36</v>
      </c>
      <c r="V292" t="s">
        <v>37</v>
      </c>
      <c r="W292">
        <v>6</v>
      </c>
      <c r="X292" t="s">
        <v>38</v>
      </c>
      <c r="Y292">
        <v>1</v>
      </c>
      <c r="Z292" t="s">
        <v>91</v>
      </c>
    </row>
    <row r="293" spans="1:26" x14ac:dyDescent="0.3">
      <c r="A293" t="s">
        <v>628</v>
      </c>
      <c r="B293" s="2">
        <v>45849</v>
      </c>
      <c r="C293" t="s">
        <v>629</v>
      </c>
      <c r="D293" t="s">
        <v>61</v>
      </c>
      <c r="E293" t="s">
        <v>43</v>
      </c>
      <c r="F293">
        <v>31</v>
      </c>
      <c r="G293" t="s">
        <v>44</v>
      </c>
      <c r="H293" t="s">
        <v>31</v>
      </c>
      <c r="I293" t="s">
        <v>44</v>
      </c>
      <c r="J293" t="s">
        <v>102</v>
      </c>
      <c r="K293">
        <v>3</v>
      </c>
      <c r="L293">
        <v>1419</v>
      </c>
      <c r="M293">
        <v>10</v>
      </c>
      <c r="N293">
        <v>425.7</v>
      </c>
      <c r="O293">
        <v>689.63</v>
      </c>
      <c r="P293">
        <v>407</v>
      </c>
      <c r="Q293">
        <v>4927.93</v>
      </c>
      <c r="R293" t="s">
        <v>54</v>
      </c>
      <c r="S293" t="s">
        <v>63</v>
      </c>
      <c r="T293" t="s">
        <v>76</v>
      </c>
      <c r="U293" t="s">
        <v>77</v>
      </c>
      <c r="V293" t="s">
        <v>57</v>
      </c>
      <c r="W293">
        <v>8</v>
      </c>
      <c r="X293" t="s">
        <v>38</v>
      </c>
      <c r="Y293">
        <v>5</v>
      </c>
      <c r="Z293" t="s">
        <v>58</v>
      </c>
    </row>
    <row r="294" spans="1:26" x14ac:dyDescent="0.3">
      <c r="A294" t="s">
        <v>630</v>
      </c>
      <c r="B294" s="2">
        <v>46036</v>
      </c>
      <c r="C294" t="s">
        <v>631</v>
      </c>
      <c r="D294" t="s">
        <v>50</v>
      </c>
      <c r="E294" t="s">
        <v>43</v>
      </c>
      <c r="F294">
        <v>48</v>
      </c>
      <c r="G294" t="s">
        <v>51</v>
      </c>
      <c r="H294" t="s">
        <v>52</v>
      </c>
      <c r="I294" t="s">
        <v>51</v>
      </c>
      <c r="J294" t="s">
        <v>32</v>
      </c>
      <c r="K294">
        <v>4</v>
      </c>
      <c r="L294">
        <v>14676</v>
      </c>
      <c r="M294">
        <v>5</v>
      </c>
      <c r="N294">
        <v>2935.2</v>
      </c>
      <c r="O294">
        <v>10038.379999999999</v>
      </c>
      <c r="P294">
        <v>318</v>
      </c>
      <c r="Q294">
        <v>66125.179999999993</v>
      </c>
      <c r="R294" t="s">
        <v>54</v>
      </c>
      <c r="S294" t="s">
        <v>63</v>
      </c>
      <c r="T294" t="s">
        <v>95</v>
      </c>
      <c r="U294" t="s">
        <v>96</v>
      </c>
      <c r="V294" t="s">
        <v>57</v>
      </c>
      <c r="W294">
        <v>10</v>
      </c>
      <c r="X294" t="s">
        <v>38</v>
      </c>
      <c r="Y294">
        <v>4</v>
      </c>
      <c r="Z294" t="s">
        <v>39</v>
      </c>
    </row>
    <row r="295" spans="1:26" x14ac:dyDescent="0.3">
      <c r="A295" t="s">
        <v>632</v>
      </c>
      <c r="B295" s="2">
        <v>46007</v>
      </c>
      <c r="C295" t="s">
        <v>633</v>
      </c>
      <c r="D295" t="s">
        <v>50</v>
      </c>
      <c r="E295" t="s">
        <v>29</v>
      </c>
      <c r="F295">
        <v>48</v>
      </c>
      <c r="G295" t="s">
        <v>51</v>
      </c>
      <c r="H295" t="s">
        <v>52</v>
      </c>
      <c r="I295" t="s">
        <v>51</v>
      </c>
      <c r="J295" t="s">
        <v>201</v>
      </c>
      <c r="K295">
        <v>1</v>
      </c>
      <c r="L295">
        <v>31678</v>
      </c>
      <c r="M295">
        <v>10</v>
      </c>
      <c r="N295">
        <v>3167.8</v>
      </c>
      <c r="O295">
        <v>5131.84</v>
      </c>
      <c r="P295">
        <v>175</v>
      </c>
      <c r="Q295">
        <v>33817.040000000001</v>
      </c>
      <c r="R295" t="s">
        <v>54</v>
      </c>
      <c r="S295" t="s">
        <v>34</v>
      </c>
      <c r="T295" t="s">
        <v>70</v>
      </c>
      <c r="U295" t="s">
        <v>56</v>
      </c>
      <c r="V295" t="s">
        <v>57</v>
      </c>
      <c r="W295">
        <v>2</v>
      </c>
      <c r="X295" t="s">
        <v>47</v>
      </c>
      <c r="Y295">
        <v>5</v>
      </c>
      <c r="Z295" t="s">
        <v>91</v>
      </c>
    </row>
    <row r="296" spans="1:26" x14ac:dyDescent="0.3">
      <c r="A296" t="s">
        <v>634</v>
      </c>
      <c r="B296" s="2">
        <v>46022</v>
      </c>
      <c r="C296" t="s">
        <v>635</v>
      </c>
      <c r="D296" t="s">
        <v>89</v>
      </c>
      <c r="E296" t="s">
        <v>43</v>
      </c>
      <c r="F296">
        <v>32</v>
      </c>
      <c r="G296" t="s">
        <v>51</v>
      </c>
      <c r="H296" t="s">
        <v>52</v>
      </c>
      <c r="I296" t="s">
        <v>51</v>
      </c>
      <c r="J296" t="s">
        <v>150</v>
      </c>
      <c r="K296">
        <v>4</v>
      </c>
      <c r="L296">
        <v>11363</v>
      </c>
      <c r="M296">
        <v>10</v>
      </c>
      <c r="N296">
        <v>4545.2</v>
      </c>
      <c r="O296">
        <v>7363.22</v>
      </c>
      <c r="P296">
        <v>249</v>
      </c>
      <c r="Q296">
        <v>48519.02</v>
      </c>
      <c r="R296" t="s">
        <v>33</v>
      </c>
      <c r="S296" t="s">
        <v>63</v>
      </c>
      <c r="T296" t="s">
        <v>95</v>
      </c>
      <c r="U296" t="s">
        <v>96</v>
      </c>
      <c r="V296" t="s">
        <v>57</v>
      </c>
      <c r="W296">
        <v>9</v>
      </c>
      <c r="X296" t="s">
        <v>38</v>
      </c>
      <c r="Y296">
        <v>2</v>
      </c>
      <c r="Z296" t="s">
        <v>47</v>
      </c>
    </row>
    <row r="297" spans="1:26" x14ac:dyDescent="0.3">
      <c r="A297" t="s">
        <v>636</v>
      </c>
      <c r="B297" s="2">
        <v>45899</v>
      </c>
      <c r="C297" t="s">
        <v>637</v>
      </c>
      <c r="D297" t="s">
        <v>66</v>
      </c>
      <c r="E297" t="s">
        <v>43</v>
      </c>
      <c r="F297">
        <v>40</v>
      </c>
      <c r="G297" t="s">
        <v>51</v>
      </c>
      <c r="H297" t="s">
        <v>52</v>
      </c>
      <c r="I297" t="s">
        <v>51</v>
      </c>
      <c r="J297" t="s">
        <v>150</v>
      </c>
      <c r="K297">
        <v>5</v>
      </c>
      <c r="L297">
        <v>27019</v>
      </c>
      <c r="M297">
        <v>0</v>
      </c>
      <c r="N297">
        <v>0</v>
      </c>
      <c r="O297">
        <v>24317.1</v>
      </c>
      <c r="P297">
        <v>462</v>
      </c>
      <c r="Q297">
        <v>159874.1</v>
      </c>
      <c r="R297" t="s">
        <v>45</v>
      </c>
      <c r="S297" t="s">
        <v>34</v>
      </c>
      <c r="T297" t="s">
        <v>103</v>
      </c>
      <c r="U297" t="s">
        <v>103</v>
      </c>
      <c r="V297" t="s">
        <v>57</v>
      </c>
      <c r="W297">
        <v>6</v>
      </c>
      <c r="X297" t="s">
        <v>47</v>
      </c>
      <c r="Y297">
        <v>4</v>
      </c>
      <c r="Z297" t="s">
        <v>47</v>
      </c>
    </row>
    <row r="298" spans="1:26" x14ac:dyDescent="0.3">
      <c r="A298" t="s">
        <v>638</v>
      </c>
      <c r="B298" s="2">
        <v>46024</v>
      </c>
      <c r="C298" t="s">
        <v>247</v>
      </c>
      <c r="D298" t="s">
        <v>66</v>
      </c>
      <c r="E298" t="s">
        <v>43</v>
      </c>
      <c r="F298">
        <v>22</v>
      </c>
      <c r="G298" t="s">
        <v>44</v>
      </c>
      <c r="H298" t="s">
        <v>31</v>
      </c>
      <c r="I298" t="s">
        <v>44</v>
      </c>
      <c r="J298" t="s">
        <v>62</v>
      </c>
      <c r="K298">
        <v>3</v>
      </c>
      <c r="L298">
        <v>20219</v>
      </c>
      <c r="M298">
        <v>15</v>
      </c>
      <c r="N298">
        <v>9098.5499999999993</v>
      </c>
      <c r="O298">
        <v>9280.52</v>
      </c>
      <c r="P298">
        <v>212</v>
      </c>
      <c r="Q298">
        <v>61050.97</v>
      </c>
      <c r="R298" t="s">
        <v>83</v>
      </c>
      <c r="S298" t="s">
        <v>63</v>
      </c>
      <c r="T298" t="s">
        <v>84</v>
      </c>
      <c r="U298" t="s">
        <v>85</v>
      </c>
      <c r="V298" t="s">
        <v>86</v>
      </c>
      <c r="W298">
        <v>6</v>
      </c>
      <c r="X298" t="s">
        <v>38</v>
      </c>
      <c r="Y298">
        <v>4</v>
      </c>
      <c r="Z298" t="s">
        <v>91</v>
      </c>
    </row>
    <row r="299" spans="1:26" x14ac:dyDescent="0.3">
      <c r="A299" t="s">
        <v>639</v>
      </c>
      <c r="B299" s="2">
        <v>45771</v>
      </c>
      <c r="C299" t="s">
        <v>640</v>
      </c>
      <c r="D299" t="s">
        <v>108</v>
      </c>
      <c r="E299" t="s">
        <v>43</v>
      </c>
      <c r="F299">
        <v>49</v>
      </c>
      <c r="G299" t="s">
        <v>139</v>
      </c>
      <c r="H299" t="s">
        <v>31</v>
      </c>
      <c r="I299" t="s">
        <v>139</v>
      </c>
      <c r="J299" t="s">
        <v>75</v>
      </c>
      <c r="K299">
        <v>4</v>
      </c>
      <c r="L299">
        <v>17648</v>
      </c>
      <c r="M299">
        <v>20</v>
      </c>
      <c r="N299">
        <v>14118.4</v>
      </c>
      <c r="O299">
        <v>10165.25</v>
      </c>
      <c r="P299">
        <v>6</v>
      </c>
      <c r="Q299">
        <v>66644.850000000006</v>
      </c>
      <c r="R299" t="s">
        <v>54</v>
      </c>
      <c r="S299" t="s">
        <v>63</v>
      </c>
      <c r="T299" t="s">
        <v>76</v>
      </c>
      <c r="U299" t="s">
        <v>77</v>
      </c>
      <c r="V299" t="s">
        <v>57</v>
      </c>
      <c r="W299">
        <v>3</v>
      </c>
      <c r="X299" t="s">
        <v>47</v>
      </c>
      <c r="Y299">
        <v>3</v>
      </c>
      <c r="Z299" t="s">
        <v>91</v>
      </c>
    </row>
    <row r="300" spans="1:26" x14ac:dyDescent="0.3">
      <c r="A300" t="s">
        <v>641</v>
      </c>
      <c r="B300" s="2">
        <v>46026</v>
      </c>
      <c r="C300" t="s">
        <v>421</v>
      </c>
      <c r="D300" t="s">
        <v>80</v>
      </c>
      <c r="E300" t="s">
        <v>29</v>
      </c>
      <c r="F300">
        <v>54</v>
      </c>
      <c r="G300" t="s">
        <v>134</v>
      </c>
      <c r="H300" t="s">
        <v>31</v>
      </c>
      <c r="I300" t="s">
        <v>134</v>
      </c>
      <c r="J300" t="s">
        <v>125</v>
      </c>
      <c r="K300">
        <v>5</v>
      </c>
      <c r="L300">
        <v>2574</v>
      </c>
      <c r="M300">
        <v>10</v>
      </c>
      <c r="N300">
        <v>1287</v>
      </c>
      <c r="O300">
        <v>2084.94</v>
      </c>
      <c r="P300">
        <v>263</v>
      </c>
      <c r="Q300">
        <v>13930.94</v>
      </c>
      <c r="R300" t="s">
        <v>83</v>
      </c>
      <c r="S300" t="s">
        <v>63</v>
      </c>
      <c r="T300" t="s">
        <v>76</v>
      </c>
      <c r="U300" t="s">
        <v>77</v>
      </c>
      <c r="V300" t="s">
        <v>57</v>
      </c>
      <c r="W300">
        <v>9</v>
      </c>
      <c r="X300" t="s">
        <v>38</v>
      </c>
      <c r="Y300">
        <v>5</v>
      </c>
      <c r="Z300" t="s">
        <v>91</v>
      </c>
    </row>
    <row r="301" spans="1:26" x14ac:dyDescent="0.3">
      <c r="A301" t="s">
        <v>642</v>
      </c>
      <c r="B301" s="2">
        <v>45824</v>
      </c>
      <c r="C301" t="s">
        <v>643</v>
      </c>
      <c r="D301" t="s">
        <v>111</v>
      </c>
      <c r="E301" t="s">
        <v>43</v>
      </c>
      <c r="F301">
        <v>51</v>
      </c>
      <c r="G301" t="s">
        <v>99</v>
      </c>
      <c r="H301" t="s">
        <v>52</v>
      </c>
      <c r="I301" t="s">
        <v>99</v>
      </c>
      <c r="J301" t="s">
        <v>150</v>
      </c>
      <c r="K301">
        <v>1</v>
      </c>
      <c r="L301">
        <v>41491</v>
      </c>
      <c r="M301">
        <v>5</v>
      </c>
      <c r="N301">
        <v>2074.5500000000002</v>
      </c>
      <c r="O301">
        <v>7094.96</v>
      </c>
      <c r="P301">
        <v>267</v>
      </c>
      <c r="Q301">
        <v>46778.41</v>
      </c>
      <c r="R301" t="s">
        <v>83</v>
      </c>
      <c r="S301" t="s">
        <v>34</v>
      </c>
      <c r="T301" t="s">
        <v>84</v>
      </c>
      <c r="U301" t="s">
        <v>85</v>
      </c>
      <c r="V301" t="s">
        <v>86</v>
      </c>
      <c r="W301">
        <v>9</v>
      </c>
      <c r="X301" t="s">
        <v>47</v>
      </c>
      <c r="Y301">
        <v>1</v>
      </c>
      <c r="Z301" t="s">
        <v>91</v>
      </c>
    </row>
    <row r="302" spans="1:26" x14ac:dyDescent="0.3">
      <c r="A302" t="s">
        <v>644</v>
      </c>
      <c r="B302" s="2">
        <v>46049</v>
      </c>
      <c r="C302" t="s">
        <v>645</v>
      </c>
      <c r="D302" t="s">
        <v>66</v>
      </c>
      <c r="E302" t="s">
        <v>29</v>
      </c>
      <c r="F302">
        <v>50</v>
      </c>
      <c r="G302" t="s">
        <v>44</v>
      </c>
      <c r="H302" t="s">
        <v>31</v>
      </c>
      <c r="I302" t="s">
        <v>44</v>
      </c>
      <c r="J302" t="s">
        <v>32</v>
      </c>
      <c r="K302">
        <v>1</v>
      </c>
      <c r="L302">
        <v>34811</v>
      </c>
      <c r="M302">
        <v>0</v>
      </c>
      <c r="N302">
        <v>0</v>
      </c>
      <c r="O302">
        <v>6265.98</v>
      </c>
      <c r="P302">
        <v>256</v>
      </c>
      <c r="Q302">
        <v>41332.980000000003</v>
      </c>
      <c r="R302" t="s">
        <v>45</v>
      </c>
      <c r="S302" t="s">
        <v>34</v>
      </c>
      <c r="T302" t="s">
        <v>70</v>
      </c>
      <c r="U302" t="s">
        <v>56</v>
      </c>
      <c r="V302" t="s">
        <v>57</v>
      </c>
      <c r="W302">
        <v>2</v>
      </c>
      <c r="X302" t="s">
        <v>47</v>
      </c>
      <c r="Y302">
        <v>2</v>
      </c>
      <c r="Z302" t="s">
        <v>47</v>
      </c>
    </row>
    <row r="303" spans="1:26" x14ac:dyDescent="0.3">
      <c r="A303" t="s">
        <v>646</v>
      </c>
      <c r="B303" s="2">
        <v>46104</v>
      </c>
      <c r="C303" t="s">
        <v>647</v>
      </c>
      <c r="D303" t="s">
        <v>50</v>
      </c>
      <c r="E303" t="s">
        <v>43</v>
      </c>
      <c r="F303">
        <v>46</v>
      </c>
      <c r="G303" t="s">
        <v>30</v>
      </c>
      <c r="H303" t="s">
        <v>31</v>
      </c>
      <c r="I303" t="s">
        <v>30</v>
      </c>
      <c r="J303" t="s">
        <v>102</v>
      </c>
      <c r="K303">
        <v>2</v>
      </c>
      <c r="L303">
        <v>42244</v>
      </c>
      <c r="M303">
        <v>10</v>
      </c>
      <c r="N303">
        <v>8448.7999999999993</v>
      </c>
      <c r="O303">
        <v>13687.06</v>
      </c>
      <c r="P303">
        <v>25</v>
      </c>
      <c r="Q303">
        <v>89751.26</v>
      </c>
      <c r="R303" t="s">
        <v>54</v>
      </c>
      <c r="S303" t="s">
        <v>34</v>
      </c>
      <c r="T303" t="s">
        <v>103</v>
      </c>
      <c r="U303" t="s">
        <v>103</v>
      </c>
      <c r="V303" t="s">
        <v>57</v>
      </c>
      <c r="W303">
        <v>8</v>
      </c>
      <c r="X303" t="s">
        <v>47</v>
      </c>
      <c r="Y303">
        <v>1</v>
      </c>
      <c r="Z303" t="s">
        <v>47</v>
      </c>
    </row>
    <row r="304" spans="1:26" x14ac:dyDescent="0.3">
      <c r="A304" t="s">
        <v>648</v>
      </c>
      <c r="B304" s="2">
        <v>45872</v>
      </c>
      <c r="C304" t="s">
        <v>410</v>
      </c>
      <c r="D304" t="s">
        <v>108</v>
      </c>
      <c r="E304" t="s">
        <v>43</v>
      </c>
      <c r="F304">
        <v>34</v>
      </c>
      <c r="G304" t="s">
        <v>74</v>
      </c>
      <c r="H304" t="s">
        <v>31</v>
      </c>
      <c r="I304" t="s">
        <v>74</v>
      </c>
      <c r="J304" t="s">
        <v>102</v>
      </c>
      <c r="K304">
        <v>3</v>
      </c>
      <c r="L304">
        <v>27252</v>
      </c>
      <c r="M304">
        <v>20</v>
      </c>
      <c r="N304">
        <v>16351.2</v>
      </c>
      <c r="O304">
        <v>11772.86</v>
      </c>
      <c r="P304">
        <v>470</v>
      </c>
      <c r="Q304">
        <v>77647.66</v>
      </c>
      <c r="R304" t="s">
        <v>45</v>
      </c>
      <c r="S304" t="s">
        <v>34</v>
      </c>
      <c r="T304" t="s">
        <v>35</v>
      </c>
      <c r="U304" t="s">
        <v>36</v>
      </c>
      <c r="V304" t="s">
        <v>37</v>
      </c>
      <c r="W304">
        <v>4</v>
      </c>
      <c r="X304" t="s">
        <v>47</v>
      </c>
      <c r="Y304">
        <v>4</v>
      </c>
      <c r="Z304" t="s">
        <v>58</v>
      </c>
    </row>
    <row r="305" spans="1:26" x14ac:dyDescent="0.3">
      <c r="A305" t="s">
        <v>649</v>
      </c>
      <c r="B305" s="2">
        <v>45874</v>
      </c>
      <c r="C305" t="s">
        <v>650</v>
      </c>
      <c r="D305" t="s">
        <v>66</v>
      </c>
      <c r="E305" t="s">
        <v>43</v>
      </c>
      <c r="F305">
        <v>42</v>
      </c>
      <c r="G305" t="s">
        <v>94</v>
      </c>
      <c r="H305" t="s">
        <v>31</v>
      </c>
      <c r="I305" t="s">
        <v>94</v>
      </c>
      <c r="J305" t="s">
        <v>102</v>
      </c>
      <c r="K305">
        <v>5</v>
      </c>
      <c r="L305">
        <v>33762</v>
      </c>
      <c r="M305">
        <v>0</v>
      </c>
      <c r="N305">
        <v>0</v>
      </c>
      <c r="O305">
        <v>30385.8</v>
      </c>
      <c r="P305">
        <v>363</v>
      </c>
      <c r="Q305">
        <v>199558.8</v>
      </c>
      <c r="R305" t="s">
        <v>33</v>
      </c>
      <c r="S305" t="s">
        <v>63</v>
      </c>
      <c r="T305" t="s">
        <v>35</v>
      </c>
      <c r="U305" t="s">
        <v>36</v>
      </c>
      <c r="V305" t="s">
        <v>37</v>
      </c>
      <c r="W305">
        <v>9</v>
      </c>
      <c r="X305" t="s">
        <v>38</v>
      </c>
      <c r="Y305">
        <v>1</v>
      </c>
      <c r="Z305" t="s">
        <v>58</v>
      </c>
    </row>
    <row r="306" spans="1:26" x14ac:dyDescent="0.3">
      <c r="A306" t="s">
        <v>651</v>
      </c>
      <c r="B306" s="2">
        <v>45811</v>
      </c>
      <c r="C306" t="s">
        <v>652</v>
      </c>
      <c r="D306" t="s">
        <v>108</v>
      </c>
      <c r="E306" t="s">
        <v>43</v>
      </c>
      <c r="F306">
        <v>42</v>
      </c>
      <c r="G306" t="s">
        <v>90</v>
      </c>
      <c r="H306" t="s">
        <v>31</v>
      </c>
      <c r="I306" t="s">
        <v>90</v>
      </c>
      <c r="J306" t="s">
        <v>125</v>
      </c>
      <c r="K306">
        <v>2</v>
      </c>
      <c r="L306">
        <v>22031</v>
      </c>
      <c r="M306">
        <v>0</v>
      </c>
      <c r="N306">
        <v>0</v>
      </c>
      <c r="O306">
        <v>7931.16</v>
      </c>
      <c r="P306">
        <v>84</v>
      </c>
      <c r="Q306">
        <v>52077.16</v>
      </c>
      <c r="R306" t="s">
        <v>33</v>
      </c>
      <c r="S306" t="s">
        <v>34</v>
      </c>
      <c r="T306" t="s">
        <v>84</v>
      </c>
      <c r="U306" t="s">
        <v>85</v>
      </c>
      <c r="V306" t="s">
        <v>86</v>
      </c>
      <c r="W306">
        <v>1</v>
      </c>
      <c r="X306" t="s">
        <v>38</v>
      </c>
      <c r="Y306">
        <v>4</v>
      </c>
      <c r="Z306" t="s">
        <v>47</v>
      </c>
    </row>
    <row r="307" spans="1:26" x14ac:dyDescent="0.3">
      <c r="A307" t="s">
        <v>653</v>
      </c>
      <c r="B307" s="2">
        <v>45835</v>
      </c>
      <c r="C307" t="s">
        <v>654</v>
      </c>
      <c r="D307" t="s">
        <v>50</v>
      </c>
      <c r="E307" t="s">
        <v>43</v>
      </c>
      <c r="F307">
        <v>50</v>
      </c>
      <c r="G307" t="s">
        <v>51</v>
      </c>
      <c r="H307" t="s">
        <v>52</v>
      </c>
      <c r="I307" t="s">
        <v>51</v>
      </c>
      <c r="J307" t="s">
        <v>125</v>
      </c>
      <c r="K307">
        <v>2</v>
      </c>
      <c r="L307">
        <v>19288</v>
      </c>
      <c r="M307">
        <v>5</v>
      </c>
      <c r="N307">
        <v>1928.8</v>
      </c>
      <c r="O307">
        <v>6596.5</v>
      </c>
      <c r="P307">
        <v>389</v>
      </c>
      <c r="Q307">
        <v>43632.7</v>
      </c>
      <c r="R307" t="s">
        <v>45</v>
      </c>
      <c r="S307" t="s">
        <v>63</v>
      </c>
      <c r="T307" t="s">
        <v>95</v>
      </c>
      <c r="U307" t="s">
        <v>96</v>
      </c>
      <c r="V307" t="s">
        <v>57</v>
      </c>
      <c r="W307">
        <v>1</v>
      </c>
      <c r="X307" t="s">
        <v>38</v>
      </c>
      <c r="Y307">
        <v>2</v>
      </c>
      <c r="Z307" t="s">
        <v>58</v>
      </c>
    </row>
    <row r="308" spans="1:26" x14ac:dyDescent="0.3">
      <c r="A308" t="s">
        <v>655</v>
      </c>
      <c r="B308" s="2">
        <v>45896</v>
      </c>
      <c r="C308" t="s">
        <v>656</v>
      </c>
      <c r="D308" t="s">
        <v>108</v>
      </c>
      <c r="E308" t="s">
        <v>43</v>
      </c>
      <c r="F308">
        <v>41</v>
      </c>
      <c r="G308" t="s">
        <v>74</v>
      </c>
      <c r="H308" t="s">
        <v>31</v>
      </c>
      <c r="I308" t="s">
        <v>74</v>
      </c>
      <c r="J308" t="s">
        <v>53</v>
      </c>
      <c r="K308">
        <v>3</v>
      </c>
      <c r="L308">
        <v>4554</v>
      </c>
      <c r="M308">
        <v>0</v>
      </c>
      <c r="N308">
        <v>0</v>
      </c>
      <c r="O308">
        <v>2459.16</v>
      </c>
      <c r="P308">
        <v>402</v>
      </c>
      <c r="Q308">
        <v>16523.16</v>
      </c>
      <c r="R308" t="s">
        <v>54</v>
      </c>
      <c r="S308" t="s">
        <v>34</v>
      </c>
      <c r="T308" t="s">
        <v>76</v>
      </c>
      <c r="U308" t="s">
        <v>77</v>
      </c>
      <c r="V308" t="s">
        <v>57</v>
      </c>
      <c r="W308">
        <v>3</v>
      </c>
      <c r="X308" t="s">
        <v>38</v>
      </c>
      <c r="Y308">
        <v>3</v>
      </c>
      <c r="Z308" t="s">
        <v>91</v>
      </c>
    </row>
    <row r="309" spans="1:26" x14ac:dyDescent="0.3">
      <c r="A309" t="s">
        <v>657</v>
      </c>
      <c r="B309" s="2">
        <v>46084</v>
      </c>
      <c r="C309" t="s">
        <v>658</v>
      </c>
      <c r="D309" t="s">
        <v>73</v>
      </c>
      <c r="E309" t="s">
        <v>29</v>
      </c>
      <c r="F309">
        <v>40</v>
      </c>
      <c r="G309" t="s">
        <v>139</v>
      </c>
      <c r="H309" t="s">
        <v>31</v>
      </c>
      <c r="I309" t="s">
        <v>139</v>
      </c>
      <c r="J309" t="s">
        <v>201</v>
      </c>
      <c r="K309">
        <v>1</v>
      </c>
      <c r="L309">
        <v>15911</v>
      </c>
      <c r="M309">
        <v>0</v>
      </c>
      <c r="N309">
        <v>0</v>
      </c>
      <c r="O309">
        <v>2863.98</v>
      </c>
      <c r="P309">
        <v>246</v>
      </c>
      <c r="Q309">
        <v>19020.98</v>
      </c>
      <c r="R309" t="s">
        <v>83</v>
      </c>
      <c r="S309" t="s">
        <v>34</v>
      </c>
      <c r="T309" t="s">
        <v>103</v>
      </c>
      <c r="U309" t="s">
        <v>103</v>
      </c>
      <c r="V309" t="s">
        <v>57</v>
      </c>
      <c r="W309">
        <v>7</v>
      </c>
      <c r="X309" t="s">
        <v>47</v>
      </c>
      <c r="Y309">
        <v>3</v>
      </c>
      <c r="Z309" t="s">
        <v>39</v>
      </c>
    </row>
    <row r="310" spans="1:26" x14ac:dyDescent="0.3">
      <c r="A310" t="s">
        <v>659</v>
      </c>
      <c r="B310" s="2">
        <v>46107</v>
      </c>
      <c r="C310" t="s">
        <v>660</v>
      </c>
      <c r="D310" t="s">
        <v>42</v>
      </c>
      <c r="E310" t="s">
        <v>29</v>
      </c>
      <c r="F310">
        <v>48</v>
      </c>
      <c r="G310" t="s">
        <v>30</v>
      </c>
      <c r="H310" t="s">
        <v>31</v>
      </c>
      <c r="I310" t="s">
        <v>30</v>
      </c>
      <c r="J310" t="s">
        <v>62</v>
      </c>
      <c r="K310">
        <v>4</v>
      </c>
      <c r="L310">
        <v>43550</v>
      </c>
      <c r="M310">
        <v>10</v>
      </c>
      <c r="N310">
        <v>17420</v>
      </c>
      <c r="O310">
        <v>28220.400000000001</v>
      </c>
      <c r="P310">
        <v>291</v>
      </c>
      <c r="Q310">
        <v>185291.4</v>
      </c>
      <c r="R310" t="s">
        <v>54</v>
      </c>
      <c r="S310" t="s">
        <v>63</v>
      </c>
      <c r="T310" t="s">
        <v>103</v>
      </c>
      <c r="U310" t="s">
        <v>103</v>
      </c>
      <c r="V310" t="s">
        <v>57</v>
      </c>
      <c r="W310">
        <v>5</v>
      </c>
      <c r="X310" t="s">
        <v>38</v>
      </c>
      <c r="Y310">
        <v>2</v>
      </c>
      <c r="Z310" t="s">
        <v>39</v>
      </c>
    </row>
    <row r="311" spans="1:26" x14ac:dyDescent="0.3">
      <c r="A311" t="s">
        <v>661</v>
      </c>
      <c r="B311" s="2">
        <v>45954</v>
      </c>
      <c r="C311" t="s">
        <v>231</v>
      </c>
      <c r="D311" t="s">
        <v>61</v>
      </c>
      <c r="E311" t="s">
        <v>43</v>
      </c>
      <c r="F311">
        <v>60</v>
      </c>
      <c r="G311" t="s">
        <v>134</v>
      </c>
      <c r="H311" t="s">
        <v>31</v>
      </c>
      <c r="I311" t="s">
        <v>134</v>
      </c>
      <c r="J311" t="s">
        <v>75</v>
      </c>
      <c r="K311">
        <v>3</v>
      </c>
      <c r="L311">
        <v>22416</v>
      </c>
      <c r="M311">
        <v>0</v>
      </c>
      <c r="N311">
        <v>0</v>
      </c>
      <c r="O311">
        <v>12104.64</v>
      </c>
      <c r="P311">
        <v>410</v>
      </c>
      <c r="Q311">
        <v>79762.64</v>
      </c>
      <c r="R311" t="s">
        <v>54</v>
      </c>
      <c r="S311" t="s">
        <v>34</v>
      </c>
      <c r="T311" t="s">
        <v>55</v>
      </c>
      <c r="U311" t="s">
        <v>56</v>
      </c>
      <c r="V311" t="s">
        <v>57</v>
      </c>
      <c r="W311">
        <v>9</v>
      </c>
      <c r="X311" t="s">
        <v>47</v>
      </c>
      <c r="Y311">
        <v>3</v>
      </c>
      <c r="Z311" t="s">
        <v>47</v>
      </c>
    </row>
    <row r="312" spans="1:26" x14ac:dyDescent="0.3">
      <c r="A312" t="s">
        <v>662</v>
      </c>
      <c r="B312" s="2">
        <v>45781</v>
      </c>
      <c r="C312" t="s">
        <v>377</v>
      </c>
      <c r="D312" t="s">
        <v>28</v>
      </c>
      <c r="E312" t="s">
        <v>29</v>
      </c>
      <c r="F312">
        <v>23</v>
      </c>
      <c r="G312" t="s">
        <v>51</v>
      </c>
      <c r="H312" t="s">
        <v>52</v>
      </c>
      <c r="I312" t="s">
        <v>51</v>
      </c>
      <c r="J312" t="s">
        <v>201</v>
      </c>
      <c r="K312">
        <v>4</v>
      </c>
      <c r="L312">
        <v>29172</v>
      </c>
      <c r="M312">
        <v>15</v>
      </c>
      <c r="N312">
        <v>17503.2</v>
      </c>
      <c r="O312">
        <v>17853.259999999998</v>
      </c>
      <c r="P312">
        <v>97</v>
      </c>
      <c r="Q312">
        <v>117135.06</v>
      </c>
      <c r="R312" t="s">
        <v>54</v>
      </c>
      <c r="S312" t="s">
        <v>63</v>
      </c>
      <c r="T312" t="s">
        <v>46</v>
      </c>
      <c r="U312" t="s">
        <v>36</v>
      </c>
      <c r="V312" t="s">
        <v>37</v>
      </c>
      <c r="W312">
        <v>4</v>
      </c>
      <c r="X312" t="s">
        <v>47</v>
      </c>
      <c r="Y312">
        <v>2</v>
      </c>
      <c r="Z312" t="s">
        <v>91</v>
      </c>
    </row>
    <row r="313" spans="1:26" x14ac:dyDescent="0.3">
      <c r="A313" t="s">
        <v>663</v>
      </c>
      <c r="B313" s="2">
        <v>45863</v>
      </c>
      <c r="C313" t="s">
        <v>625</v>
      </c>
      <c r="D313" t="s">
        <v>80</v>
      </c>
      <c r="E313" t="s">
        <v>29</v>
      </c>
      <c r="F313">
        <v>35</v>
      </c>
      <c r="G313" t="s">
        <v>134</v>
      </c>
      <c r="H313" t="s">
        <v>31</v>
      </c>
      <c r="I313" t="s">
        <v>134</v>
      </c>
      <c r="J313" t="s">
        <v>32</v>
      </c>
      <c r="K313">
        <v>5</v>
      </c>
      <c r="L313">
        <v>44748</v>
      </c>
      <c r="M313">
        <v>15</v>
      </c>
      <c r="N313">
        <v>33561</v>
      </c>
      <c r="O313">
        <v>34232.22</v>
      </c>
      <c r="P313">
        <v>34</v>
      </c>
      <c r="Q313">
        <v>224445.22</v>
      </c>
      <c r="R313" t="s">
        <v>45</v>
      </c>
      <c r="S313" t="s">
        <v>63</v>
      </c>
      <c r="T313" t="s">
        <v>35</v>
      </c>
      <c r="U313" t="s">
        <v>36</v>
      </c>
      <c r="V313" t="s">
        <v>37</v>
      </c>
      <c r="W313">
        <v>1</v>
      </c>
      <c r="X313" t="s">
        <v>38</v>
      </c>
      <c r="Y313">
        <v>2</v>
      </c>
      <c r="Z313" t="s">
        <v>91</v>
      </c>
    </row>
    <row r="314" spans="1:26" x14ac:dyDescent="0.3">
      <c r="A314" t="s">
        <v>664</v>
      </c>
      <c r="B314" s="2">
        <v>45963</v>
      </c>
      <c r="C314" t="s">
        <v>665</v>
      </c>
      <c r="D314" t="s">
        <v>108</v>
      </c>
      <c r="E314" t="s">
        <v>43</v>
      </c>
      <c r="F314">
        <v>42</v>
      </c>
      <c r="G314" t="s">
        <v>99</v>
      </c>
      <c r="H314" t="s">
        <v>52</v>
      </c>
      <c r="I314" t="s">
        <v>99</v>
      </c>
      <c r="J314" t="s">
        <v>62</v>
      </c>
      <c r="K314">
        <v>5</v>
      </c>
      <c r="L314">
        <v>23381</v>
      </c>
      <c r="M314">
        <v>5</v>
      </c>
      <c r="N314">
        <v>5845.25</v>
      </c>
      <c r="O314">
        <v>19990.759999999998</v>
      </c>
      <c r="P314">
        <v>214</v>
      </c>
      <c r="Q314">
        <v>131264.51</v>
      </c>
      <c r="R314" t="s">
        <v>54</v>
      </c>
      <c r="S314" t="s">
        <v>34</v>
      </c>
      <c r="T314" t="s">
        <v>76</v>
      </c>
      <c r="U314" t="s">
        <v>77</v>
      </c>
      <c r="V314" t="s">
        <v>57</v>
      </c>
      <c r="W314">
        <v>3</v>
      </c>
      <c r="X314" t="s">
        <v>47</v>
      </c>
      <c r="Y314">
        <v>4</v>
      </c>
      <c r="Z314" t="s">
        <v>58</v>
      </c>
    </row>
    <row r="315" spans="1:26" x14ac:dyDescent="0.3">
      <c r="A315" t="s">
        <v>666</v>
      </c>
      <c r="B315" s="2">
        <v>45868</v>
      </c>
      <c r="C315" t="s">
        <v>667</v>
      </c>
      <c r="D315" t="s">
        <v>80</v>
      </c>
      <c r="E315" t="s">
        <v>29</v>
      </c>
      <c r="F315">
        <v>44</v>
      </c>
      <c r="G315" t="s">
        <v>51</v>
      </c>
      <c r="H315" t="s">
        <v>52</v>
      </c>
      <c r="I315" t="s">
        <v>51</v>
      </c>
      <c r="J315" t="s">
        <v>102</v>
      </c>
      <c r="K315">
        <v>3</v>
      </c>
      <c r="L315">
        <v>21630</v>
      </c>
      <c r="M315">
        <v>15</v>
      </c>
      <c r="N315">
        <v>9733.5</v>
      </c>
      <c r="O315">
        <v>9928.17</v>
      </c>
      <c r="P315">
        <v>379</v>
      </c>
      <c r="Q315">
        <v>65463.67</v>
      </c>
      <c r="R315" t="s">
        <v>54</v>
      </c>
      <c r="S315" t="s">
        <v>63</v>
      </c>
      <c r="T315" t="s">
        <v>46</v>
      </c>
      <c r="U315" t="s">
        <v>36</v>
      </c>
      <c r="V315" t="s">
        <v>37</v>
      </c>
      <c r="W315">
        <v>3</v>
      </c>
      <c r="X315" t="s">
        <v>47</v>
      </c>
      <c r="Y315">
        <v>2</v>
      </c>
      <c r="Z315" t="s">
        <v>91</v>
      </c>
    </row>
    <row r="316" spans="1:26" x14ac:dyDescent="0.3">
      <c r="A316" t="s">
        <v>668</v>
      </c>
      <c r="B316" s="2">
        <v>45930</v>
      </c>
      <c r="C316" t="s">
        <v>669</v>
      </c>
      <c r="D316" t="s">
        <v>50</v>
      </c>
      <c r="E316" t="s">
        <v>43</v>
      </c>
      <c r="F316">
        <v>40</v>
      </c>
      <c r="G316" t="s">
        <v>90</v>
      </c>
      <c r="H316" t="s">
        <v>31</v>
      </c>
      <c r="I316" t="s">
        <v>90</v>
      </c>
      <c r="J316" t="s">
        <v>201</v>
      </c>
      <c r="K316">
        <v>2</v>
      </c>
      <c r="L316">
        <v>41791</v>
      </c>
      <c r="M316">
        <v>20</v>
      </c>
      <c r="N316">
        <v>16716.400000000001</v>
      </c>
      <c r="O316">
        <v>12035.81</v>
      </c>
      <c r="P316">
        <v>371</v>
      </c>
      <c r="Q316">
        <v>79272.41</v>
      </c>
      <c r="R316" t="s">
        <v>45</v>
      </c>
      <c r="S316" t="s">
        <v>34</v>
      </c>
      <c r="T316" t="s">
        <v>55</v>
      </c>
      <c r="U316" t="s">
        <v>56</v>
      </c>
      <c r="V316" t="s">
        <v>57</v>
      </c>
      <c r="W316">
        <v>7</v>
      </c>
      <c r="X316" t="s">
        <v>47</v>
      </c>
      <c r="Y316">
        <v>2</v>
      </c>
      <c r="Z316" t="s">
        <v>47</v>
      </c>
    </row>
    <row r="317" spans="1:26" x14ac:dyDescent="0.3">
      <c r="A317" t="s">
        <v>670</v>
      </c>
      <c r="B317" s="2">
        <v>45794</v>
      </c>
      <c r="C317" t="s">
        <v>671</v>
      </c>
      <c r="D317" t="s">
        <v>108</v>
      </c>
      <c r="E317" t="s">
        <v>43</v>
      </c>
      <c r="F317">
        <v>40</v>
      </c>
      <c r="G317" t="s">
        <v>90</v>
      </c>
      <c r="H317" t="s">
        <v>31</v>
      </c>
      <c r="I317" t="s">
        <v>90</v>
      </c>
      <c r="J317" t="s">
        <v>150</v>
      </c>
      <c r="K317">
        <v>2</v>
      </c>
      <c r="L317">
        <v>5799</v>
      </c>
      <c r="M317">
        <v>5</v>
      </c>
      <c r="N317">
        <v>579.9</v>
      </c>
      <c r="O317">
        <v>1983.26</v>
      </c>
      <c r="P317">
        <v>221</v>
      </c>
      <c r="Q317">
        <v>13222.36</v>
      </c>
      <c r="R317" t="s">
        <v>54</v>
      </c>
      <c r="S317" t="s">
        <v>34</v>
      </c>
      <c r="T317" t="s">
        <v>55</v>
      </c>
      <c r="U317" t="s">
        <v>56</v>
      </c>
      <c r="V317" t="s">
        <v>57</v>
      </c>
      <c r="W317">
        <v>5</v>
      </c>
      <c r="X317" t="s">
        <v>38</v>
      </c>
      <c r="Y317">
        <v>1</v>
      </c>
      <c r="Z317" t="s">
        <v>47</v>
      </c>
    </row>
    <row r="318" spans="1:26" x14ac:dyDescent="0.3">
      <c r="A318" t="s">
        <v>672</v>
      </c>
      <c r="B318" s="2">
        <v>45900</v>
      </c>
      <c r="C318" t="s">
        <v>477</v>
      </c>
      <c r="D318" t="s">
        <v>61</v>
      </c>
      <c r="E318" t="s">
        <v>29</v>
      </c>
      <c r="F318">
        <v>26</v>
      </c>
      <c r="G318" t="s">
        <v>51</v>
      </c>
      <c r="H318" t="s">
        <v>52</v>
      </c>
      <c r="I318" t="s">
        <v>51</v>
      </c>
      <c r="J318" t="s">
        <v>150</v>
      </c>
      <c r="K318">
        <v>2</v>
      </c>
      <c r="L318">
        <v>23634</v>
      </c>
      <c r="M318">
        <v>5</v>
      </c>
      <c r="N318">
        <v>2363.4</v>
      </c>
      <c r="O318">
        <v>8082.83</v>
      </c>
      <c r="P318">
        <v>450</v>
      </c>
      <c r="Q318">
        <v>53437.43</v>
      </c>
      <c r="R318" t="s">
        <v>54</v>
      </c>
      <c r="S318" t="s">
        <v>63</v>
      </c>
      <c r="T318" t="s">
        <v>84</v>
      </c>
      <c r="U318" t="s">
        <v>85</v>
      </c>
      <c r="V318" t="s">
        <v>86</v>
      </c>
      <c r="W318">
        <v>9</v>
      </c>
      <c r="X318" t="s">
        <v>47</v>
      </c>
      <c r="Y318">
        <v>2</v>
      </c>
      <c r="Z318" t="s">
        <v>47</v>
      </c>
    </row>
    <row r="319" spans="1:26" x14ac:dyDescent="0.3">
      <c r="A319" t="s">
        <v>673</v>
      </c>
      <c r="B319" s="2">
        <v>45963</v>
      </c>
      <c r="C319" t="s">
        <v>674</v>
      </c>
      <c r="D319" t="s">
        <v>80</v>
      </c>
      <c r="E319" t="s">
        <v>43</v>
      </c>
      <c r="F319">
        <v>51</v>
      </c>
      <c r="G319" t="s">
        <v>139</v>
      </c>
      <c r="H319" t="s">
        <v>31</v>
      </c>
      <c r="I319" t="s">
        <v>139</v>
      </c>
      <c r="J319" t="s">
        <v>102</v>
      </c>
      <c r="K319">
        <v>3</v>
      </c>
      <c r="L319">
        <v>21565</v>
      </c>
      <c r="M319">
        <v>15</v>
      </c>
      <c r="N319">
        <v>9704.25</v>
      </c>
      <c r="O319">
        <v>9898.33</v>
      </c>
      <c r="P319">
        <v>46</v>
      </c>
      <c r="Q319">
        <v>64935.08</v>
      </c>
      <c r="R319" t="s">
        <v>83</v>
      </c>
      <c r="S319" t="s">
        <v>34</v>
      </c>
      <c r="T319" t="s">
        <v>84</v>
      </c>
      <c r="U319" t="s">
        <v>85</v>
      </c>
      <c r="V319" t="s">
        <v>86</v>
      </c>
      <c r="W319">
        <v>10</v>
      </c>
      <c r="X319" t="s">
        <v>38</v>
      </c>
      <c r="Y319">
        <v>2</v>
      </c>
      <c r="Z319" t="s">
        <v>39</v>
      </c>
    </row>
    <row r="320" spans="1:26" x14ac:dyDescent="0.3">
      <c r="A320" t="s">
        <v>675</v>
      </c>
      <c r="B320" s="2">
        <v>45870</v>
      </c>
      <c r="C320" t="s">
        <v>676</v>
      </c>
      <c r="D320" t="s">
        <v>108</v>
      </c>
      <c r="E320" t="s">
        <v>29</v>
      </c>
      <c r="F320">
        <v>49</v>
      </c>
      <c r="G320" t="s">
        <v>30</v>
      </c>
      <c r="H320" t="s">
        <v>31</v>
      </c>
      <c r="I320" t="s">
        <v>30</v>
      </c>
      <c r="J320" t="s">
        <v>32</v>
      </c>
      <c r="K320">
        <v>5</v>
      </c>
      <c r="L320">
        <v>41024</v>
      </c>
      <c r="M320">
        <v>20</v>
      </c>
      <c r="N320">
        <v>41024</v>
      </c>
      <c r="O320">
        <v>29537.279999999999</v>
      </c>
      <c r="P320">
        <v>262</v>
      </c>
      <c r="Q320">
        <v>193895.28</v>
      </c>
      <c r="R320" t="s">
        <v>33</v>
      </c>
      <c r="S320" t="s">
        <v>63</v>
      </c>
      <c r="T320" t="s">
        <v>84</v>
      </c>
      <c r="U320" t="s">
        <v>85</v>
      </c>
      <c r="V320" t="s">
        <v>86</v>
      </c>
      <c r="W320">
        <v>5</v>
      </c>
      <c r="X320" t="s">
        <v>47</v>
      </c>
      <c r="Y320">
        <v>4</v>
      </c>
      <c r="Z320" t="s">
        <v>91</v>
      </c>
    </row>
    <row r="321" spans="1:26" x14ac:dyDescent="0.3">
      <c r="A321" t="s">
        <v>677</v>
      </c>
      <c r="B321" s="2">
        <v>45881</v>
      </c>
      <c r="C321" t="s">
        <v>678</v>
      </c>
      <c r="D321" t="s">
        <v>50</v>
      </c>
      <c r="E321" t="s">
        <v>43</v>
      </c>
      <c r="F321">
        <v>37</v>
      </c>
      <c r="G321" t="s">
        <v>134</v>
      </c>
      <c r="H321" t="s">
        <v>31</v>
      </c>
      <c r="I321" t="s">
        <v>134</v>
      </c>
      <c r="J321" t="s">
        <v>32</v>
      </c>
      <c r="K321">
        <v>2</v>
      </c>
      <c r="L321">
        <v>49704</v>
      </c>
      <c r="M321">
        <v>20</v>
      </c>
      <c r="N321">
        <v>19881.599999999999</v>
      </c>
      <c r="O321">
        <v>14314.75</v>
      </c>
      <c r="P321">
        <v>174</v>
      </c>
      <c r="Q321">
        <v>94015.15</v>
      </c>
      <c r="R321" t="s">
        <v>45</v>
      </c>
      <c r="S321" t="s">
        <v>34</v>
      </c>
      <c r="T321" t="s">
        <v>84</v>
      </c>
      <c r="U321" t="s">
        <v>85</v>
      </c>
      <c r="V321" t="s">
        <v>86</v>
      </c>
      <c r="W321">
        <v>8</v>
      </c>
      <c r="X321" t="s">
        <v>47</v>
      </c>
      <c r="Y321">
        <v>3</v>
      </c>
      <c r="Z321" t="s">
        <v>91</v>
      </c>
    </row>
    <row r="322" spans="1:26" x14ac:dyDescent="0.3">
      <c r="A322" t="s">
        <v>679</v>
      </c>
      <c r="B322" s="2">
        <v>45892</v>
      </c>
      <c r="C322" t="s">
        <v>680</v>
      </c>
      <c r="D322" t="s">
        <v>108</v>
      </c>
      <c r="E322" t="s">
        <v>29</v>
      </c>
      <c r="F322">
        <v>38</v>
      </c>
      <c r="G322" t="s">
        <v>74</v>
      </c>
      <c r="H322" t="s">
        <v>31</v>
      </c>
      <c r="I322" t="s">
        <v>74</v>
      </c>
      <c r="J322" t="s">
        <v>125</v>
      </c>
      <c r="K322">
        <v>1</v>
      </c>
      <c r="L322">
        <v>7179</v>
      </c>
      <c r="M322">
        <v>15</v>
      </c>
      <c r="N322">
        <v>1076.8499999999999</v>
      </c>
      <c r="O322">
        <v>1098.3900000000001</v>
      </c>
      <c r="P322">
        <v>459</v>
      </c>
      <c r="Q322">
        <v>7659.54</v>
      </c>
      <c r="R322" t="s">
        <v>33</v>
      </c>
      <c r="S322" t="s">
        <v>34</v>
      </c>
      <c r="T322" t="s">
        <v>35</v>
      </c>
      <c r="U322" t="s">
        <v>36</v>
      </c>
      <c r="V322" t="s">
        <v>37</v>
      </c>
      <c r="W322">
        <v>7</v>
      </c>
      <c r="X322" t="s">
        <v>38</v>
      </c>
      <c r="Y322">
        <v>5</v>
      </c>
      <c r="Z322" t="s">
        <v>91</v>
      </c>
    </row>
    <row r="323" spans="1:26" x14ac:dyDescent="0.3">
      <c r="A323" t="s">
        <v>681</v>
      </c>
      <c r="B323" s="2">
        <v>45796</v>
      </c>
      <c r="C323" t="s">
        <v>682</v>
      </c>
      <c r="D323" t="s">
        <v>61</v>
      </c>
      <c r="E323" t="s">
        <v>43</v>
      </c>
      <c r="F323">
        <v>55</v>
      </c>
      <c r="G323" t="s">
        <v>90</v>
      </c>
      <c r="H323" t="s">
        <v>31</v>
      </c>
      <c r="I323" t="s">
        <v>90</v>
      </c>
      <c r="J323" t="s">
        <v>53</v>
      </c>
      <c r="K323">
        <v>1</v>
      </c>
      <c r="L323">
        <v>48043</v>
      </c>
      <c r="M323">
        <v>5</v>
      </c>
      <c r="N323">
        <v>2402.15</v>
      </c>
      <c r="O323">
        <v>8215.35</v>
      </c>
      <c r="P323">
        <v>151</v>
      </c>
      <c r="Q323">
        <v>54007.199999999997</v>
      </c>
      <c r="R323" t="s">
        <v>54</v>
      </c>
      <c r="S323" t="s">
        <v>63</v>
      </c>
      <c r="T323" t="s">
        <v>95</v>
      </c>
      <c r="U323" t="s">
        <v>96</v>
      </c>
      <c r="V323" t="s">
        <v>57</v>
      </c>
      <c r="W323">
        <v>3</v>
      </c>
      <c r="X323" t="s">
        <v>38</v>
      </c>
      <c r="Y323">
        <v>3</v>
      </c>
      <c r="Z323" t="s">
        <v>91</v>
      </c>
    </row>
    <row r="324" spans="1:26" x14ac:dyDescent="0.3">
      <c r="A324" t="s">
        <v>683</v>
      </c>
      <c r="B324" s="2">
        <v>45922</v>
      </c>
      <c r="C324" t="s">
        <v>684</v>
      </c>
      <c r="D324" t="s">
        <v>50</v>
      </c>
      <c r="E324" t="s">
        <v>43</v>
      </c>
      <c r="F324">
        <v>49</v>
      </c>
      <c r="G324" t="s">
        <v>51</v>
      </c>
      <c r="H324" t="s">
        <v>52</v>
      </c>
      <c r="I324" t="s">
        <v>51</v>
      </c>
      <c r="J324" t="s">
        <v>150</v>
      </c>
      <c r="K324">
        <v>5</v>
      </c>
      <c r="L324">
        <v>49415</v>
      </c>
      <c r="M324">
        <v>0</v>
      </c>
      <c r="N324">
        <v>0</v>
      </c>
      <c r="O324">
        <v>44473.5</v>
      </c>
      <c r="P324">
        <v>97</v>
      </c>
      <c r="Q324">
        <v>291645.5</v>
      </c>
      <c r="R324" t="s">
        <v>83</v>
      </c>
      <c r="S324" t="s">
        <v>34</v>
      </c>
      <c r="T324" t="s">
        <v>70</v>
      </c>
      <c r="U324" t="s">
        <v>56</v>
      </c>
      <c r="V324" t="s">
        <v>57</v>
      </c>
      <c r="W324">
        <v>3</v>
      </c>
      <c r="X324" t="s">
        <v>47</v>
      </c>
      <c r="Y324">
        <v>2</v>
      </c>
      <c r="Z324" t="s">
        <v>58</v>
      </c>
    </row>
    <row r="325" spans="1:26" x14ac:dyDescent="0.3">
      <c r="A325" t="s">
        <v>685</v>
      </c>
      <c r="B325" s="2">
        <v>46018</v>
      </c>
      <c r="C325" t="s">
        <v>686</v>
      </c>
      <c r="D325" t="s">
        <v>66</v>
      </c>
      <c r="E325" t="s">
        <v>43</v>
      </c>
      <c r="F325">
        <v>34</v>
      </c>
      <c r="G325" t="s">
        <v>94</v>
      </c>
      <c r="H325" t="s">
        <v>31</v>
      </c>
      <c r="I325" t="s">
        <v>94</v>
      </c>
      <c r="J325" t="s">
        <v>201</v>
      </c>
      <c r="K325">
        <v>3</v>
      </c>
      <c r="L325">
        <v>19786</v>
      </c>
      <c r="M325">
        <v>10</v>
      </c>
      <c r="N325">
        <v>5935.8</v>
      </c>
      <c r="O325">
        <v>9616</v>
      </c>
      <c r="P325">
        <v>78</v>
      </c>
      <c r="Q325">
        <v>63116.2</v>
      </c>
      <c r="R325" t="s">
        <v>33</v>
      </c>
      <c r="S325" t="s">
        <v>34</v>
      </c>
      <c r="T325" t="s">
        <v>35</v>
      </c>
      <c r="U325" t="s">
        <v>36</v>
      </c>
      <c r="V325" t="s">
        <v>37</v>
      </c>
      <c r="W325">
        <v>1</v>
      </c>
      <c r="X325" t="s">
        <v>38</v>
      </c>
      <c r="Y325">
        <v>4</v>
      </c>
      <c r="Z325" t="s">
        <v>39</v>
      </c>
    </row>
    <row r="326" spans="1:26" x14ac:dyDescent="0.3">
      <c r="A326" t="s">
        <v>687</v>
      </c>
      <c r="B326" s="2">
        <v>45970</v>
      </c>
      <c r="C326" t="s">
        <v>330</v>
      </c>
      <c r="D326" t="s">
        <v>89</v>
      </c>
      <c r="E326" t="s">
        <v>29</v>
      </c>
      <c r="F326">
        <v>26</v>
      </c>
      <c r="G326" t="s">
        <v>44</v>
      </c>
      <c r="H326" t="s">
        <v>31</v>
      </c>
      <c r="I326" t="s">
        <v>44</v>
      </c>
      <c r="J326" t="s">
        <v>53</v>
      </c>
      <c r="K326">
        <v>5</v>
      </c>
      <c r="L326">
        <v>30964</v>
      </c>
      <c r="M326">
        <v>20</v>
      </c>
      <c r="N326">
        <v>30964</v>
      </c>
      <c r="O326">
        <v>22294.080000000002</v>
      </c>
      <c r="P326">
        <v>420</v>
      </c>
      <c r="Q326">
        <v>146570.07999999999</v>
      </c>
      <c r="R326" t="s">
        <v>33</v>
      </c>
      <c r="S326" t="s">
        <v>34</v>
      </c>
      <c r="T326" t="s">
        <v>55</v>
      </c>
      <c r="U326" t="s">
        <v>56</v>
      </c>
      <c r="V326" t="s">
        <v>57</v>
      </c>
      <c r="W326">
        <v>7</v>
      </c>
      <c r="X326" t="s">
        <v>38</v>
      </c>
      <c r="Y326">
        <v>4</v>
      </c>
      <c r="Z326" t="s">
        <v>47</v>
      </c>
    </row>
    <row r="327" spans="1:26" x14ac:dyDescent="0.3">
      <c r="A327" t="s">
        <v>688</v>
      </c>
      <c r="B327" s="2">
        <v>46103</v>
      </c>
      <c r="C327" t="s">
        <v>182</v>
      </c>
      <c r="D327" t="s">
        <v>89</v>
      </c>
      <c r="E327" t="s">
        <v>29</v>
      </c>
      <c r="F327">
        <v>58</v>
      </c>
      <c r="G327" t="s">
        <v>30</v>
      </c>
      <c r="H327" t="s">
        <v>31</v>
      </c>
      <c r="I327" t="s">
        <v>30</v>
      </c>
      <c r="J327" t="s">
        <v>112</v>
      </c>
      <c r="K327">
        <v>4</v>
      </c>
      <c r="L327">
        <v>49969</v>
      </c>
      <c r="M327">
        <v>5</v>
      </c>
      <c r="N327">
        <v>9993.7999999999993</v>
      </c>
      <c r="O327">
        <v>34178.800000000003</v>
      </c>
      <c r="P327">
        <v>218</v>
      </c>
      <c r="Q327">
        <v>224279</v>
      </c>
      <c r="R327" t="s">
        <v>83</v>
      </c>
      <c r="S327" t="s">
        <v>34</v>
      </c>
      <c r="T327" t="s">
        <v>46</v>
      </c>
      <c r="U327" t="s">
        <v>36</v>
      </c>
      <c r="V327" t="s">
        <v>37</v>
      </c>
      <c r="W327">
        <v>9</v>
      </c>
      <c r="X327" t="s">
        <v>47</v>
      </c>
      <c r="Y327">
        <v>1</v>
      </c>
      <c r="Z327" t="s">
        <v>39</v>
      </c>
    </row>
    <row r="328" spans="1:26" x14ac:dyDescent="0.3">
      <c r="A328" t="s">
        <v>689</v>
      </c>
      <c r="B328" s="2">
        <v>46101</v>
      </c>
      <c r="C328" t="s">
        <v>690</v>
      </c>
      <c r="D328" t="s">
        <v>42</v>
      </c>
      <c r="E328" t="s">
        <v>43</v>
      </c>
      <c r="F328">
        <v>33</v>
      </c>
      <c r="G328" t="s">
        <v>99</v>
      </c>
      <c r="H328" t="s">
        <v>52</v>
      </c>
      <c r="I328" t="s">
        <v>99</v>
      </c>
      <c r="J328" t="s">
        <v>32</v>
      </c>
      <c r="K328">
        <v>2</v>
      </c>
      <c r="L328">
        <v>42028</v>
      </c>
      <c r="M328">
        <v>15</v>
      </c>
      <c r="N328">
        <v>12608.4</v>
      </c>
      <c r="O328">
        <v>12860.57</v>
      </c>
      <c r="P328">
        <v>190</v>
      </c>
      <c r="Q328">
        <v>84498.17</v>
      </c>
      <c r="R328" t="s">
        <v>54</v>
      </c>
      <c r="S328" t="s">
        <v>34</v>
      </c>
      <c r="T328" t="s">
        <v>55</v>
      </c>
      <c r="U328" t="s">
        <v>56</v>
      </c>
      <c r="V328" t="s">
        <v>57</v>
      </c>
      <c r="W328">
        <v>7</v>
      </c>
      <c r="X328" t="s">
        <v>47</v>
      </c>
      <c r="Y328">
        <v>2</v>
      </c>
      <c r="Z328" t="s">
        <v>58</v>
      </c>
    </row>
    <row r="329" spans="1:26" x14ac:dyDescent="0.3">
      <c r="A329" t="s">
        <v>691</v>
      </c>
      <c r="B329" s="2">
        <v>45869</v>
      </c>
      <c r="C329" t="s">
        <v>627</v>
      </c>
      <c r="D329" t="s">
        <v>28</v>
      </c>
      <c r="E329" t="s">
        <v>29</v>
      </c>
      <c r="F329">
        <v>59</v>
      </c>
      <c r="G329" t="s">
        <v>30</v>
      </c>
      <c r="H329" t="s">
        <v>31</v>
      </c>
      <c r="I329" t="s">
        <v>30</v>
      </c>
      <c r="J329" t="s">
        <v>112</v>
      </c>
      <c r="K329">
        <v>3</v>
      </c>
      <c r="L329">
        <v>40430</v>
      </c>
      <c r="M329">
        <v>20</v>
      </c>
      <c r="N329">
        <v>24258</v>
      </c>
      <c r="O329">
        <v>17465.759999999998</v>
      </c>
      <c r="P329">
        <v>15</v>
      </c>
      <c r="Q329">
        <v>114512.76</v>
      </c>
      <c r="R329" t="s">
        <v>33</v>
      </c>
      <c r="S329" t="s">
        <v>34</v>
      </c>
      <c r="T329" t="s">
        <v>84</v>
      </c>
      <c r="U329" t="s">
        <v>85</v>
      </c>
      <c r="V329" t="s">
        <v>86</v>
      </c>
      <c r="W329">
        <v>6</v>
      </c>
      <c r="X329" t="s">
        <v>38</v>
      </c>
      <c r="Y329">
        <v>4</v>
      </c>
      <c r="Z329" t="s">
        <v>91</v>
      </c>
    </row>
    <row r="330" spans="1:26" x14ac:dyDescent="0.3">
      <c r="A330" t="s">
        <v>692</v>
      </c>
      <c r="B330" s="2">
        <v>46006</v>
      </c>
      <c r="C330" t="s">
        <v>693</v>
      </c>
      <c r="D330" t="s">
        <v>61</v>
      </c>
      <c r="E330" t="s">
        <v>29</v>
      </c>
      <c r="F330">
        <v>60</v>
      </c>
      <c r="G330" t="s">
        <v>44</v>
      </c>
      <c r="H330" t="s">
        <v>31</v>
      </c>
      <c r="I330" t="s">
        <v>44</v>
      </c>
      <c r="J330" t="s">
        <v>150</v>
      </c>
      <c r="K330">
        <v>5</v>
      </c>
      <c r="L330">
        <v>34114</v>
      </c>
      <c r="M330">
        <v>0</v>
      </c>
      <c r="N330">
        <v>0</v>
      </c>
      <c r="O330">
        <v>30702.6</v>
      </c>
      <c r="P330">
        <v>3</v>
      </c>
      <c r="Q330">
        <v>201275.6</v>
      </c>
      <c r="R330" t="s">
        <v>45</v>
      </c>
      <c r="S330" t="s">
        <v>63</v>
      </c>
      <c r="T330" t="s">
        <v>84</v>
      </c>
      <c r="U330" t="s">
        <v>85</v>
      </c>
      <c r="V330" t="s">
        <v>86</v>
      </c>
      <c r="W330">
        <v>7</v>
      </c>
      <c r="X330" t="s">
        <v>47</v>
      </c>
      <c r="Y330">
        <v>1</v>
      </c>
      <c r="Z330" t="s">
        <v>47</v>
      </c>
    </row>
    <row r="331" spans="1:26" x14ac:dyDescent="0.3">
      <c r="A331" t="s">
        <v>694</v>
      </c>
      <c r="B331" s="2">
        <v>46044</v>
      </c>
      <c r="C331" t="s">
        <v>695</v>
      </c>
      <c r="D331" t="s">
        <v>73</v>
      </c>
      <c r="E331" t="s">
        <v>43</v>
      </c>
      <c r="F331">
        <v>20</v>
      </c>
      <c r="G331" t="s">
        <v>67</v>
      </c>
      <c r="H331" t="s">
        <v>68</v>
      </c>
      <c r="I331" t="s">
        <v>67</v>
      </c>
      <c r="J331" t="s">
        <v>75</v>
      </c>
      <c r="K331">
        <v>2</v>
      </c>
      <c r="L331">
        <v>23052</v>
      </c>
      <c r="M331">
        <v>20</v>
      </c>
      <c r="N331">
        <v>9220.7999999999993</v>
      </c>
      <c r="O331">
        <v>6638.98</v>
      </c>
      <c r="P331">
        <v>141</v>
      </c>
      <c r="Q331">
        <v>43663.18</v>
      </c>
      <c r="R331" t="s">
        <v>54</v>
      </c>
      <c r="S331" t="s">
        <v>34</v>
      </c>
      <c r="T331" t="s">
        <v>35</v>
      </c>
      <c r="U331" t="s">
        <v>36</v>
      </c>
      <c r="V331" t="s">
        <v>37</v>
      </c>
      <c r="W331">
        <v>2</v>
      </c>
      <c r="X331" t="s">
        <v>38</v>
      </c>
      <c r="Y331">
        <v>4</v>
      </c>
      <c r="Z331" t="s">
        <v>39</v>
      </c>
    </row>
    <row r="332" spans="1:26" x14ac:dyDescent="0.3">
      <c r="A332" t="s">
        <v>696</v>
      </c>
      <c r="B332" s="2">
        <v>45831</v>
      </c>
      <c r="C332" t="s">
        <v>697</v>
      </c>
      <c r="D332" t="s">
        <v>42</v>
      </c>
      <c r="E332" t="s">
        <v>43</v>
      </c>
      <c r="F332">
        <v>30</v>
      </c>
      <c r="G332" t="s">
        <v>94</v>
      </c>
      <c r="H332" t="s">
        <v>31</v>
      </c>
      <c r="I332" t="s">
        <v>94</v>
      </c>
      <c r="J332" t="s">
        <v>62</v>
      </c>
      <c r="K332">
        <v>5</v>
      </c>
      <c r="L332">
        <v>26141</v>
      </c>
      <c r="M332">
        <v>0</v>
      </c>
      <c r="N332">
        <v>0</v>
      </c>
      <c r="O332">
        <v>23526.9</v>
      </c>
      <c r="P332">
        <v>51</v>
      </c>
      <c r="Q332">
        <v>154282.9</v>
      </c>
      <c r="R332" t="s">
        <v>83</v>
      </c>
      <c r="S332" t="s">
        <v>63</v>
      </c>
      <c r="T332" t="s">
        <v>103</v>
      </c>
      <c r="U332" t="s">
        <v>103</v>
      </c>
      <c r="V332" t="s">
        <v>57</v>
      </c>
      <c r="W332">
        <v>10</v>
      </c>
      <c r="X332" t="s">
        <v>38</v>
      </c>
      <c r="Y332">
        <v>1</v>
      </c>
      <c r="Z332" t="s">
        <v>39</v>
      </c>
    </row>
    <row r="333" spans="1:26" x14ac:dyDescent="0.3">
      <c r="A333" t="s">
        <v>698</v>
      </c>
      <c r="B333" s="2">
        <v>46027</v>
      </c>
      <c r="C333" t="s">
        <v>342</v>
      </c>
      <c r="D333" t="s">
        <v>111</v>
      </c>
      <c r="E333" t="s">
        <v>43</v>
      </c>
      <c r="F333">
        <v>23</v>
      </c>
      <c r="G333" t="s">
        <v>90</v>
      </c>
      <c r="H333" t="s">
        <v>31</v>
      </c>
      <c r="I333" t="s">
        <v>90</v>
      </c>
      <c r="J333" t="s">
        <v>32</v>
      </c>
      <c r="K333">
        <v>3</v>
      </c>
      <c r="L333">
        <v>3051</v>
      </c>
      <c r="M333">
        <v>15</v>
      </c>
      <c r="N333">
        <v>1372.95</v>
      </c>
      <c r="O333">
        <v>1400.41</v>
      </c>
      <c r="P333">
        <v>107</v>
      </c>
      <c r="Q333">
        <v>9287.4599999999991</v>
      </c>
      <c r="R333" t="s">
        <v>45</v>
      </c>
      <c r="S333" t="s">
        <v>63</v>
      </c>
      <c r="T333" t="s">
        <v>95</v>
      </c>
      <c r="U333" t="s">
        <v>96</v>
      </c>
      <c r="V333" t="s">
        <v>57</v>
      </c>
      <c r="W333">
        <v>7</v>
      </c>
      <c r="X333" t="s">
        <v>38</v>
      </c>
      <c r="Y333">
        <v>5</v>
      </c>
      <c r="Z333" t="s">
        <v>91</v>
      </c>
    </row>
    <row r="334" spans="1:26" x14ac:dyDescent="0.3">
      <c r="A334" t="s">
        <v>699</v>
      </c>
      <c r="B334" s="2">
        <v>45925</v>
      </c>
      <c r="C334" t="s">
        <v>700</v>
      </c>
      <c r="D334" t="s">
        <v>28</v>
      </c>
      <c r="E334" t="s">
        <v>29</v>
      </c>
      <c r="F334">
        <v>27</v>
      </c>
      <c r="G334" t="s">
        <v>94</v>
      </c>
      <c r="H334" t="s">
        <v>31</v>
      </c>
      <c r="I334" t="s">
        <v>94</v>
      </c>
      <c r="J334" t="s">
        <v>32</v>
      </c>
      <c r="K334">
        <v>1</v>
      </c>
      <c r="L334">
        <v>48655</v>
      </c>
      <c r="M334">
        <v>0</v>
      </c>
      <c r="N334">
        <v>0</v>
      </c>
      <c r="O334">
        <v>8757.9</v>
      </c>
      <c r="P334">
        <v>391</v>
      </c>
      <c r="Q334">
        <v>57803.9</v>
      </c>
      <c r="R334" t="s">
        <v>83</v>
      </c>
      <c r="S334" t="s">
        <v>63</v>
      </c>
      <c r="T334" t="s">
        <v>70</v>
      </c>
      <c r="U334" t="s">
        <v>56</v>
      </c>
      <c r="V334" t="s">
        <v>57</v>
      </c>
      <c r="W334">
        <v>1</v>
      </c>
      <c r="X334" t="s">
        <v>38</v>
      </c>
      <c r="Y334">
        <v>3</v>
      </c>
      <c r="Z334" t="s">
        <v>58</v>
      </c>
    </row>
    <row r="335" spans="1:26" x14ac:dyDescent="0.3">
      <c r="A335" t="s">
        <v>701</v>
      </c>
      <c r="B335" s="2">
        <v>45834</v>
      </c>
      <c r="C335" t="s">
        <v>702</v>
      </c>
      <c r="D335" t="s">
        <v>111</v>
      </c>
      <c r="E335" t="s">
        <v>29</v>
      </c>
      <c r="F335">
        <v>57</v>
      </c>
      <c r="G335" t="s">
        <v>90</v>
      </c>
      <c r="H335" t="s">
        <v>31</v>
      </c>
      <c r="I335" t="s">
        <v>90</v>
      </c>
      <c r="J335" t="s">
        <v>150</v>
      </c>
      <c r="K335">
        <v>4</v>
      </c>
      <c r="L335">
        <v>1414</v>
      </c>
      <c r="M335">
        <v>20</v>
      </c>
      <c r="N335">
        <v>1131.2</v>
      </c>
      <c r="O335">
        <v>814.46</v>
      </c>
      <c r="P335">
        <v>128</v>
      </c>
      <c r="Q335">
        <v>5467.26</v>
      </c>
      <c r="R335" t="s">
        <v>54</v>
      </c>
      <c r="S335" t="s">
        <v>34</v>
      </c>
      <c r="T335" t="s">
        <v>46</v>
      </c>
      <c r="U335" t="s">
        <v>36</v>
      </c>
      <c r="V335" t="s">
        <v>37</v>
      </c>
      <c r="W335">
        <v>10</v>
      </c>
      <c r="X335" t="s">
        <v>38</v>
      </c>
      <c r="Y335">
        <v>3</v>
      </c>
      <c r="Z335" t="s">
        <v>47</v>
      </c>
    </row>
    <row r="336" spans="1:26" x14ac:dyDescent="0.3">
      <c r="A336" t="s">
        <v>703</v>
      </c>
      <c r="B336" s="2">
        <v>45763</v>
      </c>
      <c r="C336" t="s">
        <v>187</v>
      </c>
      <c r="D336" t="s">
        <v>50</v>
      </c>
      <c r="E336" t="s">
        <v>29</v>
      </c>
      <c r="F336">
        <v>53</v>
      </c>
      <c r="G336" t="s">
        <v>44</v>
      </c>
      <c r="H336" t="s">
        <v>31</v>
      </c>
      <c r="I336" t="s">
        <v>44</v>
      </c>
      <c r="J336" t="s">
        <v>62</v>
      </c>
      <c r="K336">
        <v>2</v>
      </c>
      <c r="L336">
        <v>48474</v>
      </c>
      <c r="M336">
        <v>10</v>
      </c>
      <c r="N336">
        <v>9694.7999999999993</v>
      </c>
      <c r="O336">
        <v>15705.58</v>
      </c>
      <c r="P336">
        <v>419</v>
      </c>
      <c r="Q336">
        <v>103377.78</v>
      </c>
      <c r="R336" t="s">
        <v>45</v>
      </c>
      <c r="S336" t="s">
        <v>63</v>
      </c>
      <c r="T336" t="s">
        <v>84</v>
      </c>
      <c r="U336" t="s">
        <v>85</v>
      </c>
      <c r="V336" t="s">
        <v>86</v>
      </c>
      <c r="W336">
        <v>6</v>
      </c>
      <c r="X336" t="s">
        <v>47</v>
      </c>
      <c r="Y336">
        <v>3</v>
      </c>
      <c r="Z336" t="s">
        <v>39</v>
      </c>
    </row>
    <row r="337" spans="1:26" x14ac:dyDescent="0.3">
      <c r="A337" t="s">
        <v>704</v>
      </c>
      <c r="B337" s="2">
        <v>46111</v>
      </c>
      <c r="C337" t="s">
        <v>279</v>
      </c>
      <c r="D337" t="s">
        <v>73</v>
      </c>
      <c r="E337" t="s">
        <v>29</v>
      </c>
      <c r="F337">
        <v>60</v>
      </c>
      <c r="G337" t="s">
        <v>94</v>
      </c>
      <c r="H337" t="s">
        <v>31</v>
      </c>
      <c r="I337" t="s">
        <v>94</v>
      </c>
      <c r="J337" t="s">
        <v>62</v>
      </c>
      <c r="K337">
        <v>2</v>
      </c>
      <c r="L337">
        <v>4505</v>
      </c>
      <c r="M337">
        <v>15</v>
      </c>
      <c r="N337">
        <v>1351.5</v>
      </c>
      <c r="O337">
        <v>1378.53</v>
      </c>
      <c r="P337">
        <v>135</v>
      </c>
      <c r="Q337">
        <v>9172.0300000000007</v>
      </c>
      <c r="R337" t="s">
        <v>45</v>
      </c>
      <c r="S337" t="s">
        <v>63</v>
      </c>
      <c r="T337" t="s">
        <v>55</v>
      </c>
      <c r="U337" t="s">
        <v>56</v>
      </c>
      <c r="V337" t="s">
        <v>57</v>
      </c>
      <c r="W337">
        <v>8</v>
      </c>
      <c r="X337" t="s">
        <v>38</v>
      </c>
      <c r="Y337">
        <v>1</v>
      </c>
      <c r="Z337" t="s">
        <v>47</v>
      </c>
    </row>
    <row r="338" spans="1:26" x14ac:dyDescent="0.3">
      <c r="A338" t="s">
        <v>705</v>
      </c>
      <c r="B338" s="2">
        <v>46020</v>
      </c>
      <c r="C338" t="s">
        <v>706</v>
      </c>
      <c r="D338" t="s">
        <v>42</v>
      </c>
      <c r="E338" t="s">
        <v>43</v>
      </c>
      <c r="F338">
        <v>35</v>
      </c>
      <c r="G338" t="s">
        <v>90</v>
      </c>
      <c r="H338" t="s">
        <v>31</v>
      </c>
      <c r="I338" t="s">
        <v>90</v>
      </c>
      <c r="J338" t="s">
        <v>32</v>
      </c>
      <c r="K338">
        <v>2</v>
      </c>
      <c r="L338">
        <v>24276</v>
      </c>
      <c r="M338">
        <v>0</v>
      </c>
      <c r="N338">
        <v>0</v>
      </c>
      <c r="O338">
        <v>8739.36</v>
      </c>
      <c r="P338">
        <v>242</v>
      </c>
      <c r="Q338">
        <v>57533.36</v>
      </c>
      <c r="R338" t="s">
        <v>83</v>
      </c>
      <c r="S338" t="s">
        <v>34</v>
      </c>
      <c r="T338" t="s">
        <v>35</v>
      </c>
      <c r="U338" t="s">
        <v>36</v>
      </c>
      <c r="V338" t="s">
        <v>37</v>
      </c>
      <c r="W338">
        <v>5</v>
      </c>
      <c r="X338" t="s">
        <v>47</v>
      </c>
      <c r="Y338">
        <v>3</v>
      </c>
      <c r="Z338" t="s">
        <v>91</v>
      </c>
    </row>
    <row r="339" spans="1:26" x14ac:dyDescent="0.3">
      <c r="A339" t="s">
        <v>707</v>
      </c>
      <c r="B339" s="2">
        <v>45886</v>
      </c>
      <c r="C339" t="s">
        <v>568</v>
      </c>
      <c r="D339" t="s">
        <v>89</v>
      </c>
      <c r="E339" t="s">
        <v>43</v>
      </c>
      <c r="F339">
        <v>60</v>
      </c>
      <c r="G339" t="s">
        <v>51</v>
      </c>
      <c r="H339" t="s">
        <v>52</v>
      </c>
      <c r="I339" t="s">
        <v>51</v>
      </c>
      <c r="J339" t="s">
        <v>32</v>
      </c>
      <c r="K339">
        <v>3</v>
      </c>
      <c r="L339">
        <v>2724</v>
      </c>
      <c r="M339">
        <v>15</v>
      </c>
      <c r="N339">
        <v>1225.8</v>
      </c>
      <c r="O339">
        <v>1250.32</v>
      </c>
      <c r="P339">
        <v>21</v>
      </c>
      <c r="Q339">
        <v>8217.52</v>
      </c>
      <c r="R339" t="s">
        <v>45</v>
      </c>
      <c r="S339" t="s">
        <v>34</v>
      </c>
      <c r="T339" t="s">
        <v>84</v>
      </c>
      <c r="U339" t="s">
        <v>85</v>
      </c>
      <c r="V339" t="s">
        <v>86</v>
      </c>
      <c r="W339">
        <v>2</v>
      </c>
      <c r="X339" t="s">
        <v>47</v>
      </c>
      <c r="Y339">
        <v>2</v>
      </c>
      <c r="Z339" t="s">
        <v>39</v>
      </c>
    </row>
    <row r="340" spans="1:26" x14ac:dyDescent="0.3">
      <c r="A340" t="s">
        <v>708</v>
      </c>
      <c r="B340" s="2">
        <v>46019</v>
      </c>
      <c r="C340" t="s">
        <v>709</v>
      </c>
      <c r="D340" t="s">
        <v>66</v>
      </c>
      <c r="E340" t="s">
        <v>29</v>
      </c>
      <c r="F340">
        <v>36</v>
      </c>
      <c r="G340" t="s">
        <v>30</v>
      </c>
      <c r="H340" t="s">
        <v>31</v>
      </c>
      <c r="I340" t="s">
        <v>30</v>
      </c>
      <c r="J340" t="s">
        <v>125</v>
      </c>
      <c r="K340">
        <v>4</v>
      </c>
      <c r="L340">
        <v>37327</v>
      </c>
      <c r="M340">
        <v>15</v>
      </c>
      <c r="N340">
        <v>22396.2</v>
      </c>
      <c r="O340">
        <v>22844.12</v>
      </c>
      <c r="P340">
        <v>36</v>
      </c>
      <c r="Q340">
        <v>149791.92000000001</v>
      </c>
      <c r="R340" t="s">
        <v>83</v>
      </c>
      <c r="S340" t="s">
        <v>63</v>
      </c>
      <c r="T340" t="s">
        <v>95</v>
      </c>
      <c r="U340" t="s">
        <v>96</v>
      </c>
      <c r="V340" t="s">
        <v>57</v>
      </c>
      <c r="W340">
        <v>10</v>
      </c>
      <c r="X340" t="s">
        <v>38</v>
      </c>
      <c r="Y340">
        <v>4</v>
      </c>
      <c r="Z340" t="s">
        <v>47</v>
      </c>
    </row>
    <row r="341" spans="1:26" x14ac:dyDescent="0.3">
      <c r="A341" t="s">
        <v>710</v>
      </c>
      <c r="B341" s="2">
        <v>46072</v>
      </c>
      <c r="C341" t="s">
        <v>711</v>
      </c>
      <c r="D341" t="s">
        <v>108</v>
      </c>
      <c r="E341" t="s">
        <v>29</v>
      </c>
      <c r="F341">
        <v>28</v>
      </c>
      <c r="G341" t="s">
        <v>90</v>
      </c>
      <c r="H341" t="s">
        <v>31</v>
      </c>
      <c r="I341" t="s">
        <v>90</v>
      </c>
      <c r="J341" t="s">
        <v>112</v>
      </c>
      <c r="K341">
        <v>5</v>
      </c>
      <c r="L341">
        <v>26465</v>
      </c>
      <c r="M341">
        <v>5</v>
      </c>
      <c r="N341">
        <v>6616.25</v>
      </c>
      <c r="O341">
        <v>22627.58</v>
      </c>
      <c r="P341">
        <v>473</v>
      </c>
      <c r="Q341">
        <v>148809.32999999999</v>
      </c>
      <c r="R341" t="s">
        <v>33</v>
      </c>
      <c r="S341" t="s">
        <v>63</v>
      </c>
      <c r="T341" t="s">
        <v>35</v>
      </c>
      <c r="U341" t="s">
        <v>36</v>
      </c>
      <c r="V341" t="s">
        <v>37</v>
      </c>
      <c r="W341">
        <v>1</v>
      </c>
      <c r="X341" t="s">
        <v>38</v>
      </c>
      <c r="Y341">
        <v>5</v>
      </c>
      <c r="Z341" t="s">
        <v>58</v>
      </c>
    </row>
    <row r="342" spans="1:26" x14ac:dyDescent="0.3">
      <c r="A342" t="s">
        <v>712</v>
      </c>
      <c r="B342" s="2">
        <v>46104</v>
      </c>
      <c r="C342" t="s">
        <v>713</v>
      </c>
      <c r="D342" t="s">
        <v>50</v>
      </c>
      <c r="E342" t="s">
        <v>43</v>
      </c>
      <c r="F342">
        <v>37</v>
      </c>
      <c r="G342" t="s">
        <v>67</v>
      </c>
      <c r="H342" t="s">
        <v>68</v>
      </c>
      <c r="I342" t="s">
        <v>67</v>
      </c>
      <c r="J342" t="s">
        <v>69</v>
      </c>
      <c r="K342">
        <v>2</v>
      </c>
      <c r="L342">
        <v>27129</v>
      </c>
      <c r="M342">
        <v>15</v>
      </c>
      <c r="N342">
        <v>8138.7</v>
      </c>
      <c r="O342">
        <v>8301.4699999999993</v>
      </c>
      <c r="P342">
        <v>47</v>
      </c>
      <c r="Q342">
        <v>54467.77</v>
      </c>
      <c r="R342" t="s">
        <v>83</v>
      </c>
      <c r="S342" t="s">
        <v>34</v>
      </c>
      <c r="T342" t="s">
        <v>95</v>
      </c>
      <c r="U342" t="s">
        <v>96</v>
      </c>
      <c r="V342" t="s">
        <v>57</v>
      </c>
      <c r="W342">
        <v>3</v>
      </c>
      <c r="X342" t="s">
        <v>38</v>
      </c>
      <c r="Y342">
        <v>4</v>
      </c>
      <c r="Z342" t="s">
        <v>58</v>
      </c>
    </row>
    <row r="343" spans="1:26" x14ac:dyDescent="0.3">
      <c r="A343" t="s">
        <v>714</v>
      </c>
      <c r="B343" s="2">
        <v>45848</v>
      </c>
      <c r="C343" t="s">
        <v>715</v>
      </c>
      <c r="D343" t="s">
        <v>111</v>
      </c>
      <c r="E343" t="s">
        <v>43</v>
      </c>
      <c r="F343">
        <v>44</v>
      </c>
      <c r="G343" t="s">
        <v>134</v>
      </c>
      <c r="H343" t="s">
        <v>31</v>
      </c>
      <c r="I343" t="s">
        <v>134</v>
      </c>
      <c r="J343" t="s">
        <v>69</v>
      </c>
      <c r="K343">
        <v>2</v>
      </c>
      <c r="L343">
        <v>37005</v>
      </c>
      <c r="M343">
        <v>0</v>
      </c>
      <c r="N343">
        <v>0</v>
      </c>
      <c r="O343">
        <v>13321.8</v>
      </c>
      <c r="P343">
        <v>458</v>
      </c>
      <c r="Q343">
        <v>87789.8</v>
      </c>
      <c r="R343" t="s">
        <v>33</v>
      </c>
      <c r="S343" t="s">
        <v>34</v>
      </c>
      <c r="T343" t="s">
        <v>35</v>
      </c>
      <c r="U343" t="s">
        <v>36</v>
      </c>
      <c r="V343" t="s">
        <v>37</v>
      </c>
      <c r="W343">
        <v>8</v>
      </c>
      <c r="X343" t="s">
        <v>47</v>
      </c>
      <c r="Y343">
        <v>4</v>
      </c>
      <c r="Z343" t="s">
        <v>47</v>
      </c>
    </row>
    <row r="344" spans="1:26" x14ac:dyDescent="0.3">
      <c r="A344" t="s">
        <v>716</v>
      </c>
      <c r="B344" s="2">
        <v>45820</v>
      </c>
      <c r="C344" t="s">
        <v>342</v>
      </c>
      <c r="D344" t="s">
        <v>61</v>
      </c>
      <c r="E344" t="s">
        <v>29</v>
      </c>
      <c r="F344">
        <v>36</v>
      </c>
      <c r="G344" t="s">
        <v>30</v>
      </c>
      <c r="H344" t="s">
        <v>31</v>
      </c>
      <c r="I344" t="s">
        <v>30</v>
      </c>
      <c r="J344" t="s">
        <v>75</v>
      </c>
      <c r="K344">
        <v>1</v>
      </c>
      <c r="L344">
        <v>42523</v>
      </c>
      <c r="M344">
        <v>10</v>
      </c>
      <c r="N344">
        <v>4252.3</v>
      </c>
      <c r="O344">
        <v>6888.73</v>
      </c>
      <c r="P344">
        <v>150</v>
      </c>
      <c r="Q344">
        <v>45309.43</v>
      </c>
      <c r="R344" t="s">
        <v>33</v>
      </c>
      <c r="S344" t="s">
        <v>34</v>
      </c>
      <c r="T344" t="s">
        <v>76</v>
      </c>
      <c r="U344" t="s">
        <v>77</v>
      </c>
      <c r="V344" t="s">
        <v>57</v>
      </c>
      <c r="W344">
        <v>9</v>
      </c>
      <c r="X344" t="s">
        <v>47</v>
      </c>
      <c r="Y344">
        <v>2</v>
      </c>
      <c r="Z344" t="s">
        <v>58</v>
      </c>
    </row>
    <row r="345" spans="1:26" x14ac:dyDescent="0.3">
      <c r="A345" t="s">
        <v>717</v>
      </c>
      <c r="B345" s="2">
        <v>46118</v>
      </c>
      <c r="C345" t="s">
        <v>101</v>
      </c>
      <c r="D345" t="s">
        <v>28</v>
      </c>
      <c r="E345" t="s">
        <v>43</v>
      </c>
      <c r="F345">
        <v>45</v>
      </c>
      <c r="G345" t="s">
        <v>44</v>
      </c>
      <c r="H345" t="s">
        <v>31</v>
      </c>
      <c r="I345" t="s">
        <v>44</v>
      </c>
      <c r="J345" t="s">
        <v>62</v>
      </c>
      <c r="K345">
        <v>4</v>
      </c>
      <c r="L345">
        <v>20804</v>
      </c>
      <c r="M345">
        <v>0</v>
      </c>
      <c r="N345">
        <v>0</v>
      </c>
      <c r="O345">
        <v>14978.88</v>
      </c>
      <c r="P345">
        <v>308</v>
      </c>
      <c r="Q345">
        <v>98502.88</v>
      </c>
      <c r="R345" t="s">
        <v>54</v>
      </c>
      <c r="S345" t="s">
        <v>34</v>
      </c>
      <c r="T345" t="s">
        <v>70</v>
      </c>
      <c r="U345" t="s">
        <v>56</v>
      </c>
      <c r="V345" t="s">
        <v>57</v>
      </c>
      <c r="W345">
        <v>4</v>
      </c>
      <c r="X345" t="s">
        <v>38</v>
      </c>
      <c r="Y345">
        <v>1</v>
      </c>
      <c r="Z345" t="s">
        <v>47</v>
      </c>
    </row>
    <row r="346" spans="1:26" x14ac:dyDescent="0.3">
      <c r="A346" t="s">
        <v>718</v>
      </c>
      <c r="B346" s="2">
        <v>46038</v>
      </c>
      <c r="C346" t="s">
        <v>719</v>
      </c>
      <c r="D346" t="s">
        <v>73</v>
      </c>
      <c r="E346" t="s">
        <v>43</v>
      </c>
      <c r="F346">
        <v>28</v>
      </c>
      <c r="G346" t="s">
        <v>90</v>
      </c>
      <c r="H346" t="s">
        <v>31</v>
      </c>
      <c r="I346" t="s">
        <v>90</v>
      </c>
      <c r="J346" t="s">
        <v>53</v>
      </c>
      <c r="K346">
        <v>1</v>
      </c>
      <c r="L346">
        <v>15992</v>
      </c>
      <c r="M346">
        <v>5</v>
      </c>
      <c r="N346">
        <v>799.6</v>
      </c>
      <c r="O346">
        <v>2734.63</v>
      </c>
      <c r="P346">
        <v>229</v>
      </c>
      <c r="Q346">
        <v>18156.03</v>
      </c>
      <c r="R346" t="s">
        <v>83</v>
      </c>
      <c r="S346" t="s">
        <v>63</v>
      </c>
      <c r="T346" t="s">
        <v>46</v>
      </c>
      <c r="U346" t="s">
        <v>36</v>
      </c>
      <c r="V346" t="s">
        <v>37</v>
      </c>
      <c r="W346">
        <v>9</v>
      </c>
      <c r="X346" t="s">
        <v>38</v>
      </c>
      <c r="Y346">
        <v>5</v>
      </c>
      <c r="Z346" t="s">
        <v>58</v>
      </c>
    </row>
    <row r="347" spans="1:26" x14ac:dyDescent="0.3">
      <c r="A347" t="s">
        <v>720</v>
      </c>
      <c r="B347" s="2">
        <v>46045</v>
      </c>
      <c r="C347" t="s">
        <v>82</v>
      </c>
      <c r="D347" t="s">
        <v>89</v>
      </c>
      <c r="E347" t="s">
        <v>43</v>
      </c>
      <c r="F347">
        <v>25</v>
      </c>
      <c r="G347" t="s">
        <v>51</v>
      </c>
      <c r="H347" t="s">
        <v>52</v>
      </c>
      <c r="I347" t="s">
        <v>51</v>
      </c>
      <c r="J347" t="s">
        <v>53</v>
      </c>
      <c r="K347">
        <v>5</v>
      </c>
      <c r="L347">
        <v>11797</v>
      </c>
      <c r="M347">
        <v>0</v>
      </c>
      <c r="N347">
        <v>0</v>
      </c>
      <c r="O347">
        <v>10617.3</v>
      </c>
      <c r="P347">
        <v>45</v>
      </c>
      <c r="Q347">
        <v>69647.3</v>
      </c>
      <c r="R347" t="s">
        <v>54</v>
      </c>
      <c r="S347" t="s">
        <v>63</v>
      </c>
      <c r="T347" t="s">
        <v>35</v>
      </c>
      <c r="U347" t="s">
        <v>36</v>
      </c>
      <c r="V347" t="s">
        <v>37</v>
      </c>
      <c r="W347">
        <v>3</v>
      </c>
      <c r="X347" t="s">
        <v>38</v>
      </c>
      <c r="Y347">
        <v>4</v>
      </c>
      <c r="Z347" t="s">
        <v>39</v>
      </c>
    </row>
    <row r="348" spans="1:26" x14ac:dyDescent="0.3">
      <c r="A348" t="s">
        <v>721</v>
      </c>
      <c r="B348" s="2">
        <v>45766</v>
      </c>
      <c r="C348" t="s">
        <v>722</v>
      </c>
      <c r="D348" t="s">
        <v>111</v>
      </c>
      <c r="E348" t="s">
        <v>43</v>
      </c>
      <c r="F348">
        <v>27</v>
      </c>
      <c r="G348" t="s">
        <v>67</v>
      </c>
      <c r="H348" t="s">
        <v>68</v>
      </c>
      <c r="I348" t="s">
        <v>67</v>
      </c>
      <c r="J348" t="s">
        <v>201</v>
      </c>
      <c r="K348">
        <v>1</v>
      </c>
      <c r="L348">
        <v>46166</v>
      </c>
      <c r="M348">
        <v>15</v>
      </c>
      <c r="N348">
        <v>6924.9</v>
      </c>
      <c r="O348">
        <v>7063.4</v>
      </c>
      <c r="P348">
        <v>461</v>
      </c>
      <c r="Q348">
        <v>46765.5</v>
      </c>
      <c r="R348" t="s">
        <v>54</v>
      </c>
      <c r="S348" t="s">
        <v>34</v>
      </c>
      <c r="T348" t="s">
        <v>46</v>
      </c>
      <c r="U348" t="s">
        <v>36</v>
      </c>
      <c r="V348" t="s">
        <v>37</v>
      </c>
      <c r="W348">
        <v>10</v>
      </c>
      <c r="X348" t="s">
        <v>47</v>
      </c>
      <c r="Y348">
        <v>5</v>
      </c>
      <c r="Z348" t="s">
        <v>47</v>
      </c>
    </row>
    <row r="349" spans="1:26" x14ac:dyDescent="0.3">
      <c r="A349" t="s">
        <v>723</v>
      </c>
      <c r="B349" s="2">
        <v>45763</v>
      </c>
      <c r="C349" t="s">
        <v>724</v>
      </c>
      <c r="D349" t="s">
        <v>50</v>
      </c>
      <c r="E349" t="s">
        <v>29</v>
      </c>
      <c r="F349">
        <v>37</v>
      </c>
      <c r="G349" t="s">
        <v>90</v>
      </c>
      <c r="H349" t="s">
        <v>31</v>
      </c>
      <c r="I349" t="s">
        <v>90</v>
      </c>
      <c r="J349" t="s">
        <v>53</v>
      </c>
      <c r="K349">
        <v>1</v>
      </c>
      <c r="L349">
        <v>36991</v>
      </c>
      <c r="M349">
        <v>10</v>
      </c>
      <c r="N349">
        <v>3699.1</v>
      </c>
      <c r="O349">
        <v>5992.54</v>
      </c>
      <c r="P349">
        <v>357</v>
      </c>
      <c r="Q349">
        <v>39641.440000000002</v>
      </c>
      <c r="R349" t="s">
        <v>54</v>
      </c>
      <c r="S349" t="s">
        <v>63</v>
      </c>
      <c r="T349" t="s">
        <v>103</v>
      </c>
      <c r="U349" t="s">
        <v>103</v>
      </c>
      <c r="V349" t="s">
        <v>57</v>
      </c>
      <c r="W349">
        <v>1</v>
      </c>
      <c r="X349" t="s">
        <v>38</v>
      </c>
      <c r="Y349">
        <v>3</v>
      </c>
      <c r="Z349" t="s">
        <v>39</v>
      </c>
    </row>
    <row r="350" spans="1:26" x14ac:dyDescent="0.3">
      <c r="A350" t="s">
        <v>725</v>
      </c>
      <c r="B350" s="2">
        <v>45862</v>
      </c>
      <c r="C350" t="s">
        <v>526</v>
      </c>
      <c r="D350" t="s">
        <v>73</v>
      </c>
      <c r="E350" t="s">
        <v>29</v>
      </c>
      <c r="F350">
        <v>30</v>
      </c>
      <c r="G350" t="s">
        <v>51</v>
      </c>
      <c r="H350" t="s">
        <v>52</v>
      </c>
      <c r="I350" t="s">
        <v>51</v>
      </c>
      <c r="J350" t="s">
        <v>150</v>
      </c>
      <c r="K350">
        <v>4</v>
      </c>
      <c r="L350">
        <v>28780</v>
      </c>
      <c r="M350">
        <v>15</v>
      </c>
      <c r="N350">
        <v>17268</v>
      </c>
      <c r="O350">
        <v>17613.36</v>
      </c>
      <c r="P350">
        <v>127</v>
      </c>
      <c r="Q350">
        <v>115592.36</v>
      </c>
      <c r="R350" t="s">
        <v>83</v>
      </c>
      <c r="S350" t="s">
        <v>63</v>
      </c>
      <c r="T350" t="s">
        <v>70</v>
      </c>
      <c r="U350" t="s">
        <v>56</v>
      </c>
      <c r="V350" t="s">
        <v>57</v>
      </c>
      <c r="W350">
        <v>6</v>
      </c>
      <c r="X350" t="s">
        <v>47</v>
      </c>
      <c r="Y350">
        <v>3</v>
      </c>
      <c r="Z350" t="s">
        <v>39</v>
      </c>
    </row>
    <row r="351" spans="1:26" x14ac:dyDescent="0.3">
      <c r="A351" t="s">
        <v>726</v>
      </c>
      <c r="B351" s="2">
        <v>45832</v>
      </c>
      <c r="C351" t="s">
        <v>631</v>
      </c>
      <c r="D351" t="s">
        <v>50</v>
      </c>
      <c r="E351" t="s">
        <v>29</v>
      </c>
      <c r="F351">
        <v>54</v>
      </c>
      <c r="G351" t="s">
        <v>94</v>
      </c>
      <c r="H351" t="s">
        <v>31</v>
      </c>
      <c r="I351" t="s">
        <v>94</v>
      </c>
      <c r="J351" t="s">
        <v>75</v>
      </c>
      <c r="K351">
        <v>4</v>
      </c>
      <c r="L351">
        <v>18388</v>
      </c>
      <c r="M351">
        <v>20</v>
      </c>
      <c r="N351">
        <v>14710.4</v>
      </c>
      <c r="O351">
        <v>10591.49</v>
      </c>
      <c r="P351">
        <v>469</v>
      </c>
      <c r="Q351">
        <v>69902.09</v>
      </c>
      <c r="R351" t="s">
        <v>83</v>
      </c>
      <c r="S351" t="s">
        <v>63</v>
      </c>
      <c r="T351" t="s">
        <v>35</v>
      </c>
      <c r="U351" t="s">
        <v>36</v>
      </c>
      <c r="V351" t="s">
        <v>37</v>
      </c>
      <c r="W351">
        <v>4</v>
      </c>
      <c r="X351" t="s">
        <v>47</v>
      </c>
      <c r="Y351">
        <v>4</v>
      </c>
      <c r="Z351" t="s">
        <v>91</v>
      </c>
    </row>
    <row r="352" spans="1:26" x14ac:dyDescent="0.3">
      <c r="A352" t="s">
        <v>727</v>
      </c>
      <c r="B352" s="2">
        <v>46108</v>
      </c>
      <c r="C352" t="s">
        <v>728</v>
      </c>
      <c r="D352" t="s">
        <v>111</v>
      </c>
      <c r="E352" t="s">
        <v>43</v>
      </c>
      <c r="F352">
        <v>50</v>
      </c>
      <c r="G352" t="s">
        <v>44</v>
      </c>
      <c r="H352" t="s">
        <v>31</v>
      </c>
      <c r="I352" t="s">
        <v>44</v>
      </c>
      <c r="J352" t="s">
        <v>53</v>
      </c>
      <c r="K352">
        <v>4</v>
      </c>
      <c r="L352">
        <v>31950</v>
      </c>
      <c r="M352">
        <v>0</v>
      </c>
      <c r="N352">
        <v>0</v>
      </c>
      <c r="O352">
        <v>23004</v>
      </c>
      <c r="P352">
        <v>50</v>
      </c>
      <c r="Q352">
        <v>150854</v>
      </c>
      <c r="R352" t="s">
        <v>83</v>
      </c>
      <c r="S352" t="s">
        <v>34</v>
      </c>
      <c r="T352" t="s">
        <v>35</v>
      </c>
      <c r="U352" t="s">
        <v>36</v>
      </c>
      <c r="V352" t="s">
        <v>37</v>
      </c>
      <c r="W352">
        <v>6</v>
      </c>
      <c r="X352" t="s">
        <v>38</v>
      </c>
      <c r="Y352">
        <v>4</v>
      </c>
      <c r="Z352" t="s">
        <v>58</v>
      </c>
    </row>
    <row r="353" spans="1:26" x14ac:dyDescent="0.3">
      <c r="A353" t="s">
        <v>729</v>
      </c>
      <c r="B353" s="2">
        <v>46025</v>
      </c>
      <c r="C353" t="s">
        <v>730</v>
      </c>
      <c r="D353" t="s">
        <v>111</v>
      </c>
      <c r="E353" t="s">
        <v>29</v>
      </c>
      <c r="F353">
        <v>38</v>
      </c>
      <c r="G353" t="s">
        <v>44</v>
      </c>
      <c r="H353" t="s">
        <v>31</v>
      </c>
      <c r="I353" t="s">
        <v>44</v>
      </c>
      <c r="J353" t="s">
        <v>75</v>
      </c>
      <c r="K353">
        <v>1</v>
      </c>
      <c r="L353">
        <v>35608</v>
      </c>
      <c r="M353">
        <v>20</v>
      </c>
      <c r="N353">
        <v>7121.6</v>
      </c>
      <c r="O353">
        <v>5127.55</v>
      </c>
      <c r="P353">
        <v>412</v>
      </c>
      <c r="Q353">
        <v>34025.949999999997</v>
      </c>
      <c r="R353" t="s">
        <v>83</v>
      </c>
      <c r="S353" t="s">
        <v>63</v>
      </c>
      <c r="T353" t="s">
        <v>70</v>
      </c>
      <c r="U353" t="s">
        <v>56</v>
      </c>
      <c r="V353" t="s">
        <v>57</v>
      </c>
      <c r="W353">
        <v>10</v>
      </c>
      <c r="X353" t="s">
        <v>47</v>
      </c>
      <c r="Y353">
        <v>2</v>
      </c>
      <c r="Z353" t="s">
        <v>91</v>
      </c>
    </row>
    <row r="354" spans="1:26" x14ac:dyDescent="0.3">
      <c r="A354" t="s">
        <v>731</v>
      </c>
      <c r="B354" s="2">
        <v>45910</v>
      </c>
      <c r="C354" t="s">
        <v>138</v>
      </c>
      <c r="D354" t="s">
        <v>42</v>
      </c>
      <c r="E354" t="s">
        <v>29</v>
      </c>
      <c r="F354">
        <v>56</v>
      </c>
      <c r="G354" t="s">
        <v>30</v>
      </c>
      <c r="H354" t="s">
        <v>31</v>
      </c>
      <c r="I354" t="s">
        <v>30</v>
      </c>
      <c r="J354" t="s">
        <v>102</v>
      </c>
      <c r="K354">
        <v>5</v>
      </c>
      <c r="L354">
        <v>23093</v>
      </c>
      <c r="M354">
        <v>0</v>
      </c>
      <c r="N354">
        <v>0</v>
      </c>
      <c r="O354">
        <v>20783.7</v>
      </c>
      <c r="P354">
        <v>59</v>
      </c>
      <c r="Q354">
        <v>136307.70000000001</v>
      </c>
      <c r="R354" t="s">
        <v>45</v>
      </c>
      <c r="S354" t="s">
        <v>63</v>
      </c>
      <c r="T354" t="s">
        <v>76</v>
      </c>
      <c r="U354" t="s">
        <v>77</v>
      </c>
      <c r="V354" t="s">
        <v>57</v>
      </c>
      <c r="W354">
        <v>6</v>
      </c>
      <c r="X354" t="s">
        <v>38</v>
      </c>
      <c r="Y354">
        <v>2</v>
      </c>
      <c r="Z354" t="s">
        <v>58</v>
      </c>
    </row>
    <row r="355" spans="1:26" x14ac:dyDescent="0.3">
      <c r="A355" t="s">
        <v>732</v>
      </c>
      <c r="B355" s="2">
        <v>45986</v>
      </c>
      <c r="C355" t="s">
        <v>455</v>
      </c>
      <c r="D355" t="s">
        <v>42</v>
      </c>
      <c r="E355" t="s">
        <v>43</v>
      </c>
      <c r="F355">
        <v>54</v>
      </c>
      <c r="G355" t="s">
        <v>90</v>
      </c>
      <c r="H355" t="s">
        <v>31</v>
      </c>
      <c r="I355" t="s">
        <v>90</v>
      </c>
      <c r="J355" t="s">
        <v>102</v>
      </c>
      <c r="K355">
        <v>4</v>
      </c>
      <c r="L355">
        <v>27882</v>
      </c>
      <c r="M355">
        <v>10</v>
      </c>
      <c r="N355">
        <v>11152.8</v>
      </c>
      <c r="O355">
        <v>18067.54</v>
      </c>
      <c r="P355">
        <v>288</v>
      </c>
      <c r="Q355">
        <v>118730.74</v>
      </c>
      <c r="R355" t="s">
        <v>33</v>
      </c>
      <c r="S355" t="s">
        <v>63</v>
      </c>
      <c r="T355" t="s">
        <v>35</v>
      </c>
      <c r="U355" t="s">
        <v>36</v>
      </c>
      <c r="V355" t="s">
        <v>37</v>
      </c>
      <c r="W355">
        <v>7</v>
      </c>
      <c r="X355" t="s">
        <v>47</v>
      </c>
      <c r="Y355">
        <v>1</v>
      </c>
      <c r="Z355" t="s">
        <v>47</v>
      </c>
    </row>
    <row r="356" spans="1:26" x14ac:dyDescent="0.3">
      <c r="A356" t="s">
        <v>733</v>
      </c>
      <c r="B356" s="2">
        <v>46059</v>
      </c>
      <c r="C356" t="s">
        <v>734</v>
      </c>
      <c r="D356" t="s">
        <v>61</v>
      </c>
      <c r="E356" t="s">
        <v>43</v>
      </c>
      <c r="F356">
        <v>39</v>
      </c>
      <c r="G356" t="s">
        <v>134</v>
      </c>
      <c r="H356" t="s">
        <v>31</v>
      </c>
      <c r="I356" t="s">
        <v>134</v>
      </c>
      <c r="J356" t="s">
        <v>150</v>
      </c>
      <c r="K356">
        <v>2</v>
      </c>
      <c r="L356">
        <v>44930</v>
      </c>
      <c r="M356">
        <v>10</v>
      </c>
      <c r="N356">
        <v>8986</v>
      </c>
      <c r="O356">
        <v>14557.32</v>
      </c>
      <c r="P356">
        <v>262</v>
      </c>
      <c r="Q356">
        <v>95693.32</v>
      </c>
      <c r="R356" t="s">
        <v>54</v>
      </c>
      <c r="S356" t="s">
        <v>34</v>
      </c>
      <c r="T356" t="s">
        <v>46</v>
      </c>
      <c r="U356" t="s">
        <v>36</v>
      </c>
      <c r="V356" t="s">
        <v>37</v>
      </c>
      <c r="W356">
        <v>4</v>
      </c>
      <c r="X356" t="s">
        <v>38</v>
      </c>
      <c r="Y356">
        <v>1</v>
      </c>
      <c r="Z356" t="s">
        <v>91</v>
      </c>
    </row>
    <row r="357" spans="1:26" x14ac:dyDescent="0.3">
      <c r="A357" t="s">
        <v>735</v>
      </c>
      <c r="B357" s="2">
        <v>46010</v>
      </c>
      <c r="C357" t="s">
        <v>305</v>
      </c>
      <c r="D357" t="s">
        <v>42</v>
      </c>
      <c r="E357" t="s">
        <v>43</v>
      </c>
      <c r="F357">
        <v>51</v>
      </c>
      <c r="G357" t="s">
        <v>139</v>
      </c>
      <c r="H357" t="s">
        <v>31</v>
      </c>
      <c r="I357" t="s">
        <v>139</v>
      </c>
      <c r="J357" t="s">
        <v>53</v>
      </c>
      <c r="K357">
        <v>2</v>
      </c>
      <c r="L357">
        <v>32991</v>
      </c>
      <c r="M357">
        <v>5</v>
      </c>
      <c r="N357">
        <v>3299.1</v>
      </c>
      <c r="O357">
        <v>11282.92</v>
      </c>
      <c r="P357">
        <v>307</v>
      </c>
      <c r="Q357">
        <v>74272.820000000007</v>
      </c>
      <c r="R357" t="s">
        <v>54</v>
      </c>
      <c r="S357" t="s">
        <v>63</v>
      </c>
      <c r="T357" t="s">
        <v>35</v>
      </c>
      <c r="U357" t="s">
        <v>36</v>
      </c>
      <c r="V357" t="s">
        <v>37</v>
      </c>
      <c r="W357">
        <v>6</v>
      </c>
      <c r="X357" t="s">
        <v>47</v>
      </c>
      <c r="Y357">
        <v>4</v>
      </c>
      <c r="Z357" t="s">
        <v>47</v>
      </c>
    </row>
    <row r="358" spans="1:26" x14ac:dyDescent="0.3">
      <c r="A358" t="s">
        <v>736</v>
      </c>
      <c r="B358" s="2">
        <v>46051</v>
      </c>
      <c r="C358" t="s">
        <v>332</v>
      </c>
      <c r="D358" t="s">
        <v>108</v>
      </c>
      <c r="E358" t="s">
        <v>43</v>
      </c>
      <c r="F358">
        <v>41</v>
      </c>
      <c r="G358" t="s">
        <v>44</v>
      </c>
      <c r="H358" t="s">
        <v>31</v>
      </c>
      <c r="I358" t="s">
        <v>44</v>
      </c>
      <c r="J358" t="s">
        <v>69</v>
      </c>
      <c r="K358">
        <v>5</v>
      </c>
      <c r="L358">
        <v>45961</v>
      </c>
      <c r="M358">
        <v>15</v>
      </c>
      <c r="N358">
        <v>34470.75</v>
      </c>
      <c r="O358">
        <v>35160.17</v>
      </c>
      <c r="P358">
        <v>329</v>
      </c>
      <c r="Q358">
        <v>230823.42</v>
      </c>
      <c r="R358" t="s">
        <v>54</v>
      </c>
      <c r="S358" t="s">
        <v>34</v>
      </c>
      <c r="T358" t="s">
        <v>84</v>
      </c>
      <c r="U358" t="s">
        <v>85</v>
      </c>
      <c r="V358" t="s">
        <v>86</v>
      </c>
      <c r="W358">
        <v>10</v>
      </c>
      <c r="X358" t="s">
        <v>47</v>
      </c>
      <c r="Y358">
        <v>1</v>
      </c>
      <c r="Z358" t="s">
        <v>58</v>
      </c>
    </row>
    <row r="359" spans="1:26" x14ac:dyDescent="0.3">
      <c r="A359" t="s">
        <v>737</v>
      </c>
      <c r="B359" s="2">
        <v>45907</v>
      </c>
      <c r="C359" t="s">
        <v>738</v>
      </c>
      <c r="D359" t="s">
        <v>28</v>
      </c>
      <c r="E359" t="s">
        <v>43</v>
      </c>
      <c r="F359">
        <v>35</v>
      </c>
      <c r="G359" t="s">
        <v>90</v>
      </c>
      <c r="H359" t="s">
        <v>31</v>
      </c>
      <c r="I359" t="s">
        <v>90</v>
      </c>
      <c r="J359" t="s">
        <v>69</v>
      </c>
      <c r="K359">
        <v>1</v>
      </c>
      <c r="L359">
        <v>31904</v>
      </c>
      <c r="M359">
        <v>5</v>
      </c>
      <c r="N359">
        <v>1595.2</v>
      </c>
      <c r="O359">
        <v>5455.58</v>
      </c>
      <c r="P359">
        <v>374</v>
      </c>
      <c r="Q359">
        <v>36138.379999999997</v>
      </c>
      <c r="R359" t="s">
        <v>54</v>
      </c>
      <c r="S359" t="s">
        <v>63</v>
      </c>
      <c r="T359" t="s">
        <v>84</v>
      </c>
      <c r="U359" t="s">
        <v>85</v>
      </c>
      <c r="V359" t="s">
        <v>86</v>
      </c>
      <c r="W359">
        <v>6</v>
      </c>
      <c r="X359" t="s">
        <v>47</v>
      </c>
      <c r="Y359">
        <v>3</v>
      </c>
      <c r="Z359" t="s">
        <v>47</v>
      </c>
    </row>
    <row r="360" spans="1:26" x14ac:dyDescent="0.3">
      <c r="A360" t="s">
        <v>739</v>
      </c>
      <c r="B360" s="2">
        <v>46081</v>
      </c>
      <c r="C360" t="s">
        <v>740</v>
      </c>
      <c r="D360" t="s">
        <v>108</v>
      </c>
      <c r="E360" t="s">
        <v>43</v>
      </c>
      <c r="F360">
        <v>46</v>
      </c>
      <c r="G360" t="s">
        <v>134</v>
      </c>
      <c r="H360" t="s">
        <v>31</v>
      </c>
      <c r="I360" t="s">
        <v>134</v>
      </c>
      <c r="J360" t="s">
        <v>125</v>
      </c>
      <c r="K360">
        <v>1</v>
      </c>
      <c r="L360">
        <v>33120</v>
      </c>
      <c r="M360">
        <v>0</v>
      </c>
      <c r="N360">
        <v>0</v>
      </c>
      <c r="O360">
        <v>5961.6</v>
      </c>
      <c r="P360">
        <v>154</v>
      </c>
      <c r="Q360">
        <v>39235.599999999999</v>
      </c>
      <c r="R360" t="s">
        <v>83</v>
      </c>
      <c r="S360" t="s">
        <v>63</v>
      </c>
      <c r="T360" t="s">
        <v>84</v>
      </c>
      <c r="U360" t="s">
        <v>85</v>
      </c>
      <c r="V360" t="s">
        <v>86</v>
      </c>
      <c r="W360">
        <v>2</v>
      </c>
      <c r="X360" t="s">
        <v>47</v>
      </c>
      <c r="Y360">
        <v>4</v>
      </c>
      <c r="Z360" t="s">
        <v>58</v>
      </c>
    </row>
    <row r="361" spans="1:26" x14ac:dyDescent="0.3">
      <c r="A361" t="s">
        <v>741</v>
      </c>
      <c r="B361" s="2">
        <v>45899</v>
      </c>
      <c r="C361" t="s">
        <v>742</v>
      </c>
      <c r="D361" t="s">
        <v>61</v>
      </c>
      <c r="E361" t="s">
        <v>43</v>
      </c>
      <c r="F361">
        <v>47</v>
      </c>
      <c r="G361" t="s">
        <v>44</v>
      </c>
      <c r="H361" t="s">
        <v>31</v>
      </c>
      <c r="I361" t="s">
        <v>44</v>
      </c>
      <c r="J361" t="s">
        <v>75</v>
      </c>
      <c r="K361">
        <v>2</v>
      </c>
      <c r="L361">
        <v>39261</v>
      </c>
      <c r="M361">
        <v>0</v>
      </c>
      <c r="N361">
        <v>0</v>
      </c>
      <c r="O361">
        <v>14133.96</v>
      </c>
      <c r="P361">
        <v>437</v>
      </c>
      <c r="Q361">
        <v>93092.96</v>
      </c>
      <c r="R361" t="s">
        <v>54</v>
      </c>
      <c r="S361" t="s">
        <v>63</v>
      </c>
      <c r="T361" t="s">
        <v>84</v>
      </c>
      <c r="U361" t="s">
        <v>85</v>
      </c>
      <c r="V361" t="s">
        <v>86</v>
      </c>
      <c r="W361">
        <v>8</v>
      </c>
      <c r="X361" t="s">
        <v>47</v>
      </c>
      <c r="Y361">
        <v>1</v>
      </c>
      <c r="Z361" t="s">
        <v>47</v>
      </c>
    </row>
    <row r="362" spans="1:26" x14ac:dyDescent="0.3">
      <c r="A362" t="s">
        <v>743</v>
      </c>
      <c r="B362" s="2">
        <v>45990</v>
      </c>
      <c r="C362" t="s">
        <v>744</v>
      </c>
      <c r="D362" t="s">
        <v>80</v>
      </c>
      <c r="E362" t="s">
        <v>43</v>
      </c>
      <c r="F362">
        <v>56</v>
      </c>
      <c r="G362" t="s">
        <v>67</v>
      </c>
      <c r="H362" t="s">
        <v>68</v>
      </c>
      <c r="I362" t="s">
        <v>67</v>
      </c>
      <c r="J362" t="s">
        <v>53</v>
      </c>
      <c r="K362">
        <v>4</v>
      </c>
      <c r="L362">
        <v>20027</v>
      </c>
      <c r="M362">
        <v>10</v>
      </c>
      <c r="N362">
        <v>8010.8</v>
      </c>
      <c r="O362">
        <v>12977.5</v>
      </c>
      <c r="P362">
        <v>0</v>
      </c>
      <c r="Q362">
        <v>85074.7</v>
      </c>
      <c r="R362" t="s">
        <v>45</v>
      </c>
      <c r="S362" t="s">
        <v>63</v>
      </c>
      <c r="T362" t="s">
        <v>103</v>
      </c>
      <c r="U362" t="s">
        <v>103</v>
      </c>
      <c r="V362" t="s">
        <v>57</v>
      </c>
      <c r="W362">
        <v>1</v>
      </c>
      <c r="X362" t="s">
        <v>38</v>
      </c>
      <c r="Y362">
        <v>5</v>
      </c>
      <c r="Z362" t="s">
        <v>91</v>
      </c>
    </row>
    <row r="363" spans="1:26" x14ac:dyDescent="0.3">
      <c r="A363" t="s">
        <v>745</v>
      </c>
      <c r="B363" s="2">
        <v>45877</v>
      </c>
      <c r="C363" t="s">
        <v>746</v>
      </c>
      <c r="D363" t="s">
        <v>66</v>
      </c>
      <c r="E363" t="s">
        <v>29</v>
      </c>
      <c r="F363">
        <v>33</v>
      </c>
      <c r="G363" t="s">
        <v>139</v>
      </c>
      <c r="H363" t="s">
        <v>31</v>
      </c>
      <c r="I363" t="s">
        <v>139</v>
      </c>
      <c r="J363" t="s">
        <v>69</v>
      </c>
      <c r="K363">
        <v>2</v>
      </c>
      <c r="L363">
        <v>29124</v>
      </c>
      <c r="M363">
        <v>0</v>
      </c>
      <c r="N363">
        <v>0</v>
      </c>
      <c r="O363">
        <v>10484.64</v>
      </c>
      <c r="P363">
        <v>260</v>
      </c>
      <c r="Q363">
        <v>68992.639999999999</v>
      </c>
      <c r="R363" t="s">
        <v>33</v>
      </c>
      <c r="S363" t="s">
        <v>63</v>
      </c>
      <c r="T363" t="s">
        <v>103</v>
      </c>
      <c r="U363" t="s">
        <v>103</v>
      </c>
      <c r="V363" t="s">
        <v>57</v>
      </c>
      <c r="W363">
        <v>8</v>
      </c>
      <c r="X363" t="s">
        <v>38</v>
      </c>
      <c r="Y363">
        <v>5</v>
      </c>
      <c r="Z363" t="s">
        <v>58</v>
      </c>
    </row>
    <row r="364" spans="1:26" x14ac:dyDescent="0.3">
      <c r="A364" t="s">
        <v>747</v>
      </c>
      <c r="B364" s="2">
        <v>46029</v>
      </c>
      <c r="C364" t="s">
        <v>748</v>
      </c>
      <c r="D364" t="s">
        <v>89</v>
      </c>
      <c r="E364" t="s">
        <v>29</v>
      </c>
      <c r="F364">
        <v>24</v>
      </c>
      <c r="G364" t="s">
        <v>67</v>
      </c>
      <c r="H364" t="s">
        <v>68</v>
      </c>
      <c r="I364" t="s">
        <v>67</v>
      </c>
      <c r="J364" t="s">
        <v>150</v>
      </c>
      <c r="K364">
        <v>3</v>
      </c>
      <c r="L364">
        <v>34423</v>
      </c>
      <c r="M364">
        <v>10</v>
      </c>
      <c r="N364">
        <v>10326.9</v>
      </c>
      <c r="O364">
        <v>16729.580000000002</v>
      </c>
      <c r="P364">
        <v>223</v>
      </c>
      <c r="Q364">
        <v>109894.68</v>
      </c>
      <c r="R364" t="s">
        <v>83</v>
      </c>
      <c r="S364" t="s">
        <v>34</v>
      </c>
      <c r="T364" t="s">
        <v>95</v>
      </c>
      <c r="U364" t="s">
        <v>96</v>
      </c>
      <c r="V364" t="s">
        <v>57</v>
      </c>
      <c r="W364">
        <v>7</v>
      </c>
      <c r="X364" t="s">
        <v>47</v>
      </c>
      <c r="Y364">
        <v>4</v>
      </c>
      <c r="Z364" t="s">
        <v>91</v>
      </c>
    </row>
    <row r="365" spans="1:26" x14ac:dyDescent="0.3">
      <c r="A365" t="s">
        <v>749</v>
      </c>
      <c r="B365" s="2">
        <v>46027</v>
      </c>
      <c r="C365" t="s">
        <v>279</v>
      </c>
      <c r="D365" t="s">
        <v>108</v>
      </c>
      <c r="E365" t="s">
        <v>43</v>
      </c>
      <c r="F365">
        <v>36</v>
      </c>
      <c r="G365" t="s">
        <v>74</v>
      </c>
      <c r="H365" t="s">
        <v>31</v>
      </c>
      <c r="I365" t="s">
        <v>74</v>
      </c>
      <c r="J365" t="s">
        <v>201</v>
      </c>
      <c r="K365">
        <v>4</v>
      </c>
      <c r="L365">
        <v>33019</v>
      </c>
      <c r="M365">
        <v>20</v>
      </c>
      <c r="N365">
        <v>26415.200000000001</v>
      </c>
      <c r="O365">
        <v>19018.939999999999</v>
      </c>
      <c r="P365">
        <v>47</v>
      </c>
      <c r="Q365">
        <v>124726.74</v>
      </c>
      <c r="R365" t="s">
        <v>54</v>
      </c>
      <c r="S365" t="s">
        <v>63</v>
      </c>
      <c r="T365" t="s">
        <v>35</v>
      </c>
      <c r="U365" t="s">
        <v>36</v>
      </c>
      <c r="V365" t="s">
        <v>37</v>
      </c>
      <c r="W365">
        <v>4</v>
      </c>
      <c r="X365" t="s">
        <v>38</v>
      </c>
      <c r="Y365">
        <v>2</v>
      </c>
      <c r="Z365" t="s">
        <v>91</v>
      </c>
    </row>
    <row r="366" spans="1:26" x14ac:dyDescent="0.3">
      <c r="A366" t="s">
        <v>750</v>
      </c>
      <c r="B366" s="2">
        <v>45957</v>
      </c>
      <c r="C366" t="s">
        <v>751</v>
      </c>
      <c r="D366" t="s">
        <v>108</v>
      </c>
      <c r="E366" t="s">
        <v>43</v>
      </c>
      <c r="F366">
        <v>40</v>
      </c>
      <c r="G366" t="s">
        <v>44</v>
      </c>
      <c r="H366" t="s">
        <v>31</v>
      </c>
      <c r="I366" t="s">
        <v>44</v>
      </c>
      <c r="J366" t="s">
        <v>75</v>
      </c>
      <c r="K366">
        <v>3</v>
      </c>
      <c r="L366">
        <v>42953</v>
      </c>
      <c r="M366">
        <v>5</v>
      </c>
      <c r="N366">
        <v>6442.95</v>
      </c>
      <c r="O366">
        <v>22034.89</v>
      </c>
      <c r="P366">
        <v>312</v>
      </c>
      <c r="Q366">
        <v>144762.94</v>
      </c>
      <c r="R366" t="s">
        <v>33</v>
      </c>
      <c r="S366" t="s">
        <v>63</v>
      </c>
      <c r="T366" t="s">
        <v>103</v>
      </c>
      <c r="U366" t="s">
        <v>103</v>
      </c>
      <c r="V366" t="s">
        <v>57</v>
      </c>
      <c r="W366">
        <v>10</v>
      </c>
      <c r="X366" t="s">
        <v>47</v>
      </c>
      <c r="Y366">
        <v>1</v>
      </c>
      <c r="Z366" t="s">
        <v>91</v>
      </c>
    </row>
    <row r="367" spans="1:26" x14ac:dyDescent="0.3">
      <c r="A367" t="s">
        <v>752</v>
      </c>
      <c r="B367" s="2">
        <v>45862</v>
      </c>
      <c r="C367" t="s">
        <v>753</v>
      </c>
      <c r="D367" t="s">
        <v>111</v>
      </c>
      <c r="E367" t="s">
        <v>29</v>
      </c>
      <c r="F367">
        <v>34</v>
      </c>
      <c r="G367" t="s">
        <v>99</v>
      </c>
      <c r="H367" t="s">
        <v>52</v>
      </c>
      <c r="I367" t="s">
        <v>99</v>
      </c>
      <c r="J367" t="s">
        <v>32</v>
      </c>
      <c r="K367">
        <v>4</v>
      </c>
      <c r="L367">
        <v>20988</v>
      </c>
      <c r="M367">
        <v>10</v>
      </c>
      <c r="N367">
        <v>8395.2000000000007</v>
      </c>
      <c r="O367">
        <v>13600.22</v>
      </c>
      <c r="P367">
        <v>300</v>
      </c>
      <c r="Q367">
        <v>89457.02</v>
      </c>
      <c r="R367" t="s">
        <v>45</v>
      </c>
      <c r="S367" t="s">
        <v>63</v>
      </c>
      <c r="T367" t="s">
        <v>95</v>
      </c>
      <c r="U367" t="s">
        <v>96</v>
      </c>
      <c r="V367" t="s">
        <v>57</v>
      </c>
      <c r="W367">
        <v>8</v>
      </c>
      <c r="X367" t="s">
        <v>38</v>
      </c>
      <c r="Y367">
        <v>3</v>
      </c>
      <c r="Z367" t="s">
        <v>91</v>
      </c>
    </row>
    <row r="368" spans="1:26" x14ac:dyDescent="0.3">
      <c r="A368" t="s">
        <v>754</v>
      </c>
      <c r="B368" s="2">
        <v>45909</v>
      </c>
      <c r="C368" t="s">
        <v>755</v>
      </c>
      <c r="D368" t="s">
        <v>66</v>
      </c>
      <c r="E368" t="s">
        <v>29</v>
      </c>
      <c r="F368">
        <v>40</v>
      </c>
      <c r="G368" t="s">
        <v>44</v>
      </c>
      <c r="H368" t="s">
        <v>31</v>
      </c>
      <c r="I368" t="s">
        <v>44</v>
      </c>
      <c r="J368" t="s">
        <v>32</v>
      </c>
      <c r="K368">
        <v>5</v>
      </c>
      <c r="L368">
        <v>29902</v>
      </c>
      <c r="M368">
        <v>0</v>
      </c>
      <c r="N368">
        <v>0</v>
      </c>
      <c r="O368">
        <v>26911.8</v>
      </c>
      <c r="P368">
        <v>252</v>
      </c>
      <c r="Q368">
        <v>176673.8</v>
      </c>
      <c r="R368" t="s">
        <v>45</v>
      </c>
      <c r="S368" t="s">
        <v>34</v>
      </c>
      <c r="T368" t="s">
        <v>95</v>
      </c>
      <c r="U368" t="s">
        <v>96</v>
      </c>
      <c r="V368" t="s">
        <v>57</v>
      </c>
      <c r="W368">
        <v>4</v>
      </c>
      <c r="X368" t="s">
        <v>38</v>
      </c>
      <c r="Y368">
        <v>2</v>
      </c>
      <c r="Z368" t="s">
        <v>91</v>
      </c>
    </row>
    <row r="369" spans="1:26" x14ac:dyDescent="0.3">
      <c r="A369" t="s">
        <v>756</v>
      </c>
      <c r="B369" s="2">
        <v>46010</v>
      </c>
      <c r="C369" t="s">
        <v>757</v>
      </c>
      <c r="D369" t="s">
        <v>66</v>
      </c>
      <c r="E369" t="s">
        <v>43</v>
      </c>
      <c r="F369">
        <v>35</v>
      </c>
      <c r="G369" t="s">
        <v>90</v>
      </c>
      <c r="H369" t="s">
        <v>31</v>
      </c>
      <c r="I369" t="s">
        <v>90</v>
      </c>
      <c r="J369" t="s">
        <v>32</v>
      </c>
      <c r="K369">
        <v>5</v>
      </c>
      <c r="L369">
        <v>8265</v>
      </c>
      <c r="M369">
        <v>20</v>
      </c>
      <c r="N369">
        <v>8265</v>
      </c>
      <c r="O369">
        <v>5950.8</v>
      </c>
      <c r="P369">
        <v>487</v>
      </c>
      <c r="Q369">
        <v>39497.800000000003</v>
      </c>
      <c r="R369" t="s">
        <v>83</v>
      </c>
      <c r="S369" t="s">
        <v>63</v>
      </c>
      <c r="T369" t="s">
        <v>76</v>
      </c>
      <c r="U369" t="s">
        <v>77</v>
      </c>
      <c r="V369" t="s">
        <v>57</v>
      </c>
      <c r="W369">
        <v>7</v>
      </c>
      <c r="X369" t="s">
        <v>47</v>
      </c>
      <c r="Y369">
        <v>2</v>
      </c>
      <c r="Z369" t="s">
        <v>39</v>
      </c>
    </row>
    <row r="370" spans="1:26" x14ac:dyDescent="0.3">
      <c r="A370" t="s">
        <v>758</v>
      </c>
      <c r="B370" s="2">
        <v>46118</v>
      </c>
      <c r="C370" t="s">
        <v>349</v>
      </c>
      <c r="D370" t="s">
        <v>28</v>
      </c>
      <c r="E370" t="s">
        <v>29</v>
      </c>
      <c r="F370">
        <v>31</v>
      </c>
      <c r="G370" t="s">
        <v>139</v>
      </c>
      <c r="H370" t="s">
        <v>31</v>
      </c>
      <c r="I370" t="s">
        <v>139</v>
      </c>
      <c r="J370" t="s">
        <v>53</v>
      </c>
      <c r="K370">
        <v>1</v>
      </c>
      <c r="L370">
        <v>44313</v>
      </c>
      <c r="M370">
        <v>10</v>
      </c>
      <c r="N370">
        <v>4431.3</v>
      </c>
      <c r="O370">
        <v>7178.71</v>
      </c>
      <c r="P370">
        <v>103</v>
      </c>
      <c r="Q370">
        <v>47163.41</v>
      </c>
      <c r="R370" t="s">
        <v>45</v>
      </c>
      <c r="S370" t="s">
        <v>34</v>
      </c>
      <c r="T370" t="s">
        <v>84</v>
      </c>
      <c r="U370" t="s">
        <v>85</v>
      </c>
      <c r="V370" t="s">
        <v>86</v>
      </c>
      <c r="W370">
        <v>1</v>
      </c>
      <c r="X370" t="s">
        <v>47</v>
      </c>
      <c r="Y370">
        <v>5</v>
      </c>
      <c r="Z370" t="s">
        <v>91</v>
      </c>
    </row>
    <row r="371" spans="1:26" x14ac:dyDescent="0.3">
      <c r="A371" t="s">
        <v>759</v>
      </c>
      <c r="B371" s="2">
        <v>45886</v>
      </c>
      <c r="C371" t="s">
        <v>760</v>
      </c>
      <c r="D371" t="s">
        <v>89</v>
      </c>
      <c r="E371" t="s">
        <v>43</v>
      </c>
      <c r="F371">
        <v>35</v>
      </c>
      <c r="G371" t="s">
        <v>90</v>
      </c>
      <c r="H371" t="s">
        <v>31</v>
      </c>
      <c r="I371" t="s">
        <v>90</v>
      </c>
      <c r="J371" t="s">
        <v>150</v>
      </c>
      <c r="K371">
        <v>5</v>
      </c>
      <c r="L371">
        <v>30235</v>
      </c>
      <c r="M371">
        <v>20</v>
      </c>
      <c r="N371">
        <v>30235</v>
      </c>
      <c r="O371">
        <v>21769.200000000001</v>
      </c>
      <c r="P371">
        <v>120</v>
      </c>
      <c r="Q371">
        <v>142829.20000000001</v>
      </c>
      <c r="R371" t="s">
        <v>54</v>
      </c>
      <c r="S371" t="s">
        <v>34</v>
      </c>
      <c r="T371" t="s">
        <v>95</v>
      </c>
      <c r="U371" t="s">
        <v>96</v>
      </c>
      <c r="V371" t="s">
        <v>57</v>
      </c>
      <c r="W371">
        <v>4</v>
      </c>
      <c r="X371" t="s">
        <v>38</v>
      </c>
      <c r="Y371">
        <v>1</v>
      </c>
      <c r="Z371" t="s">
        <v>58</v>
      </c>
    </row>
    <row r="372" spans="1:26" x14ac:dyDescent="0.3">
      <c r="A372" t="s">
        <v>761</v>
      </c>
      <c r="B372" s="2">
        <v>45789</v>
      </c>
      <c r="C372" t="s">
        <v>762</v>
      </c>
      <c r="D372" t="s">
        <v>61</v>
      </c>
      <c r="E372" t="s">
        <v>43</v>
      </c>
      <c r="F372">
        <v>40</v>
      </c>
      <c r="G372" t="s">
        <v>94</v>
      </c>
      <c r="H372" t="s">
        <v>31</v>
      </c>
      <c r="I372" t="s">
        <v>94</v>
      </c>
      <c r="J372" t="s">
        <v>112</v>
      </c>
      <c r="K372">
        <v>1</v>
      </c>
      <c r="L372">
        <v>47817</v>
      </c>
      <c r="M372">
        <v>20</v>
      </c>
      <c r="N372">
        <v>9563.4</v>
      </c>
      <c r="O372">
        <v>6885.65</v>
      </c>
      <c r="P372">
        <v>434</v>
      </c>
      <c r="Q372">
        <v>45573.25</v>
      </c>
      <c r="R372" t="s">
        <v>54</v>
      </c>
      <c r="S372" t="s">
        <v>34</v>
      </c>
      <c r="T372" t="s">
        <v>35</v>
      </c>
      <c r="U372" t="s">
        <v>36</v>
      </c>
      <c r="V372" t="s">
        <v>37</v>
      </c>
      <c r="W372">
        <v>1</v>
      </c>
      <c r="X372" t="s">
        <v>38</v>
      </c>
      <c r="Y372">
        <v>2</v>
      </c>
      <c r="Z372" t="s">
        <v>39</v>
      </c>
    </row>
    <row r="373" spans="1:26" x14ac:dyDescent="0.3">
      <c r="A373" t="s">
        <v>763</v>
      </c>
      <c r="B373" s="2">
        <v>45974</v>
      </c>
      <c r="C373" t="s">
        <v>764</v>
      </c>
      <c r="D373" t="s">
        <v>111</v>
      </c>
      <c r="E373" t="s">
        <v>43</v>
      </c>
      <c r="F373">
        <v>18</v>
      </c>
      <c r="G373" t="s">
        <v>51</v>
      </c>
      <c r="H373" t="s">
        <v>52</v>
      </c>
      <c r="I373" t="s">
        <v>51</v>
      </c>
      <c r="J373" t="s">
        <v>102</v>
      </c>
      <c r="K373">
        <v>3</v>
      </c>
      <c r="L373">
        <v>3210</v>
      </c>
      <c r="M373">
        <v>0</v>
      </c>
      <c r="N373">
        <v>0</v>
      </c>
      <c r="O373">
        <v>1733.4</v>
      </c>
      <c r="P373">
        <v>177</v>
      </c>
      <c r="Q373">
        <v>11540.4</v>
      </c>
      <c r="R373" t="s">
        <v>33</v>
      </c>
      <c r="S373" t="s">
        <v>34</v>
      </c>
      <c r="T373" t="s">
        <v>70</v>
      </c>
      <c r="U373" t="s">
        <v>56</v>
      </c>
      <c r="V373" t="s">
        <v>57</v>
      </c>
      <c r="W373">
        <v>7</v>
      </c>
      <c r="X373" t="s">
        <v>38</v>
      </c>
      <c r="Y373">
        <v>1</v>
      </c>
      <c r="Z373" t="s">
        <v>47</v>
      </c>
    </row>
    <row r="374" spans="1:26" x14ac:dyDescent="0.3">
      <c r="A374" t="s">
        <v>765</v>
      </c>
      <c r="B374" s="2">
        <v>45880</v>
      </c>
      <c r="C374" t="s">
        <v>475</v>
      </c>
      <c r="D374" t="s">
        <v>89</v>
      </c>
      <c r="E374" t="s">
        <v>29</v>
      </c>
      <c r="F374">
        <v>37</v>
      </c>
      <c r="G374" t="s">
        <v>67</v>
      </c>
      <c r="H374" t="s">
        <v>68</v>
      </c>
      <c r="I374" t="s">
        <v>67</v>
      </c>
      <c r="J374" t="s">
        <v>125</v>
      </c>
      <c r="K374">
        <v>3</v>
      </c>
      <c r="L374">
        <v>9055</v>
      </c>
      <c r="M374">
        <v>0</v>
      </c>
      <c r="N374">
        <v>0</v>
      </c>
      <c r="O374">
        <v>4889.7</v>
      </c>
      <c r="P374">
        <v>444</v>
      </c>
      <c r="Q374">
        <v>32498.7</v>
      </c>
      <c r="R374" t="s">
        <v>33</v>
      </c>
      <c r="S374" t="s">
        <v>34</v>
      </c>
      <c r="T374" t="s">
        <v>95</v>
      </c>
      <c r="U374" t="s">
        <v>96</v>
      </c>
      <c r="V374" t="s">
        <v>57</v>
      </c>
      <c r="W374">
        <v>4</v>
      </c>
      <c r="X374" t="s">
        <v>38</v>
      </c>
      <c r="Y374">
        <v>2</v>
      </c>
      <c r="Z374" t="s">
        <v>91</v>
      </c>
    </row>
    <row r="375" spans="1:26" x14ac:dyDescent="0.3">
      <c r="A375" t="s">
        <v>766</v>
      </c>
      <c r="B375" s="2">
        <v>45878</v>
      </c>
      <c r="C375" t="s">
        <v>767</v>
      </c>
      <c r="D375" t="s">
        <v>42</v>
      </c>
      <c r="E375" t="s">
        <v>29</v>
      </c>
      <c r="F375">
        <v>48</v>
      </c>
      <c r="G375" t="s">
        <v>139</v>
      </c>
      <c r="H375" t="s">
        <v>31</v>
      </c>
      <c r="I375" t="s">
        <v>139</v>
      </c>
      <c r="J375" t="s">
        <v>125</v>
      </c>
      <c r="K375">
        <v>5</v>
      </c>
      <c r="L375">
        <v>28376</v>
      </c>
      <c r="M375">
        <v>10</v>
      </c>
      <c r="N375">
        <v>14188</v>
      </c>
      <c r="O375">
        <v>22984.560000000001</v>
      </c>
      <c r="P375">
        <v>491</v>
      </c>
      <c r="Q375">
        <v>151167.56</v>
      </c>
      <c r="R375" t="s">
        <v>54</v>
      </c>
      <c r="S375" t="s">
        <v>34</v>
      </c>
      <c r="T375" t="s">
        <v>95</v>
      </c>
      <c r="U375" t="s">
        <v>96</v>
      </c>
      <c r="V375" t="s">
        <v>57</v>
      </c>
      <c r="W375">
        <v>2</v>
      </c>
      <c r="X375" t="s">
        <v>47</v>
      </c>
      <c r="Y375">
        <v>4</v>
      </c>
      <c r="Z375" t="s">
        <v>91</v>
      </c>
    </row>
    <row r="376" spans="1:26" x14ac:dyDescent="0.3">
      <c r="A376" t="s">
        <v>768</v>
      </c>
      <c r="B376" s="2">
        <v>45917</v>
      </c>
      <c r="C376" t="s">
        <v>769</v>
      </c>
      <c r="D376" t="s">
        <v>42</v>
      </c>
      <c r="E376" t="s">
        <v>43</v>
      </c>
      <c r="F376">
        <v>59</v>
      </c>
      <c r="G376" t="s">
        <v>67</v>
      </c>
      <c r="H376" t="s">
        <v>68</v>
      </c>
      <c r="I376" t="s">
        <v>67</v>
      </c>
      <c r="J376" t="s">
        <v>125</v>
      </c>
      <c r="K376">
        <v>1</v>
      </c>
      <c r="L376">
        <v>32505</v>
      </c>
      <c r="M376">
        <v>20</v>
      </c>
      <c r="N376">
        <v>6501</v>
      </c>
      <c r="O376">
        <v>4680.72</v>
      </c>
      <c r="P376">
        <v>395</v>
      </c>
      <c r="Q376">
        <v>31079.72</v>
      </c>
      <c r="R376" t="s">
        <v>45</v>
      </c>
      <c r="S376" t="s">
        <v>34</v>
      </c>
      <c r="T376" t="s">
        <v>103</v>
      </c>
      <c r="U376" t="s">
        <v>103</v>
      </c>
      <c r="V376" t="s">
        <v>57</v>
      </c>
      <c r="W376">
        <v>3</v>
      </c>
      <c r="X376" t="s">
        <v>38</v>
      </c>
      <c r="Y376">
        <v>1</v>
      </c>
      <c r="Z376" t="s">
        <v>47</v>
      </c>
    </row>
    <row r="377" spans="1:26" x14ac:dyDescent="0.3">
      <c r="A377" t="s">
        <v>770</v>
      </c>
      <c r="B377" s="2">
        <v>45959</v>
      </c>
      <c r="C377" t="s">
        <v>771</v>
      </c>
      <c r="D377" t="s">
        <v>61</v>
      </c>
      <c r="E377" t="s">
        <v>29</v>
      </c>
      <c r="F377">
        <v>37</v>
      </c>
      <c r="G377" t="s">
        <v>139</v>
      </c>
      <c r="H377" t="s">
        <v>31</v>
      </c>
      <c r="I377" t="s">
        <v>139</v>
      </c>
      <c r="J377" t="s">
        <v>62</v>
      </c>
      <c r="K377">
        <v>4</v>
      </c>
      <c r="L377">
        <v>38052</v>
      </c>
      <c r="M377">
        <v>15</v>
      </c>
      <c r="N377">
        <v>22831.200000000001</v>
      </c>
      <c r="O377">
        <v>23287.82</v>
      </c>
      <c r="P377">
        <v>488</v>
      </c>
      <c r="Q377">
        <v>153152.62</v>
      </c>
      <c r="R377" t="s">
        <v>83</v>
      </c>
      <c r="S377" t="s">
        <v>63</v>
      </c>
      <c r="T377" t="s">
        <v>103</v>
      </c>
      <c r="U377" t="s">
        <v>103</v>
      </c>
      <c r="V377" t="s">
        <v>57</v>
      </c>
      <c r="W377">
        <v>7</v>
      </c>
      <c r="X377" t="s">
        <v>47</v>
      </c>
      <c r="Y377">
        <v>2</v>
      </c>
      <c r="Z377" t="s">
        <v>39</v>
      </c>
    </row>
    <row r="378" spans="1:26" x14ac:dyDescent="0.3">
      <c r="A378" t="s">
        <v>772</v>
      </c>
      <c r="B378" s="2">
        <v>45805</v>
      </c>
      <c r="C378" t="s">
        <v>740</v>
      </c>
      <c r="D378" t="s">
        <v>108</v>
      </c>
      <c r="E378" t="s">
        <v>29</v>
      </c>
      <c r="F378">
        <v>50</v>
      </c>
      <c r="G378" t="s">
        <v>94</v>
      </c>
      <c r="H378" t="s">
        <v>31</v>
      </c>
      <c r="I378" t="s">
        <v>94</v>
      </c>
      <c r="J378" t="s">
        <v>201</v>
      </c>
      <c r="K378">
        <v>1</v>
      </c>
      <c r="L378">
        <v>44961</v>
      </c>
      <c r="M378">
        <v>5</v>
      </c>
      <c r="N378">
        <v>2248.0500000000002</v>
      </c>
      <c r="O378">
        <v>7688.33</v>
      </c>
      <c r="P378">
        <v>362</v>
      </c>
      <c r="Q378">
        <v>50763.28</v>
      </c>
      <c r="R378" t="s">
        <v>45</v>
      </c>
      <c r="S378" t="s">
        <v>63</v>
      </c>
      <c r="T378" t="s">
        <v>95</v>
      </c>
      <c r="U378" t="s">
        <v>96</v>
      </c>
      <c r="V378" t="s">
        <v>57</v>
      </c>
      <c r="W378">
        <v>9</v>
      </c>
      <c r="X378" t="s">
        <v>38</v>
      </c>
      <c r="Y378">
        <v>3</v>
      </c>
      <c r="Z378" t="s">
        <v>91</v>
      </c>
    </row>
    <row r="379" spans="1:26" x14ac:dyDescent="0.3">
      <c r="A379" t="s">
        <v>773</v>
      </c>
      <c r="B379" s="2">
        <v>46015</v>
      </c>
      <c r="C379" t="s">
        <v>774</v>
      </c>
      <c r="D379" t="s">
        <v>73</v>
      </c>
      <c r="E379" t="s">
        <v>29</v>
      </c>
      <c r="F379">
        <v>30</v>
      </c>
      <c r="G379" t="s">
        <v>94</v>
      </c>
      <c r="H379" t="s">
        <v>31</v>
      </c>
      <c r="I379" t="s">
        <v>94</v>
      </c>
      <c r="J379" t="s">
        <v>150</v>
      </c>
      <c r="K379">
        <v>2</v>
      </c>
      <c r="L379">
        <v>33846</v>
      </c>
      <c r="M379">
        <v>0</v>
      </c>
      <c r="N379">
        <v>0</v>
      </c>
      <c r="O379">
        <v>12184.56</v>
      </c>
      <c r="P379">
        <v>189</v>
      </c>
      <c r="Q379">
        <v>80065.56</v>
      </c>
      <c r="R379" t="s">
        <v>83</v>
      </c>
      <c r="S379" t="s">
        <v>34</v>
      </c>
      <c r="T379" t="s">
        <v>95</v>
      </c>
      <c r="U379" t="s">
        <v>96</v>
      </c>
      <c r="V379" t="s">
        <v>57</v>
      </c>
      <c r="W379">
        <v>2</v>
      </c>
      <c r="X379" t="s">
        <v>47</v>
      </c>
      <c r="Y379">
        <v>3</v>
      </c>
      <c r="Z379" t="s">
        <v>39</v>
      </c>
    </row>
    <row r="380" spans="1:26" x14ac:dyDescent="0.3">
      <c r="A380" t="s">
        <v>775</v>
      </c>
      <c r="B380" s="2">
        <v>46057</v>
      </c>
      <c r="C380" t="s">
        <v>724</v>
      </c>
      <c r="D380" t="s">
        <v>73</v>
      </c>
      <c r="E380" t="s">
        <v>43</v>
      </c>
      <c r="F380">
        <v>43</v>
      </c>
      <c r="G380" t="s">
        <v>90</v>
      </c>
      <c r="H380" t="s">
        <v>31</v>
      </c>
      <c r="I380" t="s">
        <v>90</v>
      </c>
      <c r="J380" t="s">
        <v>125</v>
      </c>
      <c r="K380">
        <v>4</v>
      </c>
      <c r="L380">
        <v>10257</v>
      </c>
      <c r="M380">
        <v>15</v>
      </c>
      <c r="N380">
        <v>6154.2</v>
      </c>
      <c r="O380">
        <v>6277.28</v>
      </c>
      <c r="P380">
        <v>295</v>
      </c>
      <c r="Q380">
        <v>41446.080000000002</v>
      </c>
      <c r="R380" t="s">
        <v>33</v>
      </c>
      <c r="S380" t="s">
        <v>63</v>
      </c>
      <c r="T380" t="s">
        <v>55</v>
      </c>
      <c r="U380" t="s">
        <v>56</v>
      </c>
      <c r="V380" t="s">
        <v>57</v>
      </c>
      <c r="W380">
        <v>7</v>
      </c>
      <c r="X380" t="s">
        <v>38</v>
      </c>
      <c r="Y380">
        <v>3</v>
      </c>
      <c r="Z380" t="s">
        <v>47</v>
      </c>
    </row>
    <row r="381" spans="1:26" x14ac:dyDescent="0.3">
      <c r="A381" t="s">
        <v>776</v>
      </c>
      <c r="B381" s="2">
        <v>46036</v>
      </c>
      <c r="C381" t="s">
        <v>777</v>
      </c>
      <c r="D381" t="s">
        <v>111</v>
      </c>
      <c r="E381" t="s">
        <v>29</v>
      </c>
      <c r="F381">
        <v>26</v>
      </c>
      <c r="G381" t="s">
        <v>139</v>
      </c>
      <c r="H381" t="s">
        <v>31</v>
      </c>
      <c r="I381" t="s">
        <v>139</v>
      </c>
      <c r="J381" t="s">
        <v>62</v>
      </c>
      <c r="K381">
        <v>5</v>
      </c>
      <c r="L381">
        <v>35399</v>
      </c>
      <c r="M381">
        <v>0</v>
      </c>
      <c r="N381">
        <v>0</v>
      </c>
      <c r="O381">
        <v>31859.1</v>
      </c>
      <c r="P381">
        <v>222</v>
      </c>
      <c r="Q381">
        <v>209076.1</v>
      </c>
      <c r="R381" t="s">
        <v>45</v>
      </c>
      <c r="S381" t="s">
        <v>63</v>
      </c>
      <c r="T381" t="s">
        <v>84</v>
      </c>
      <c r="U381" t="s">
        <v>85</v>
      </c>
      <c r="V381" t="s">
        <v>86</v>
      </c>
      <c r="W381">
        <v>2</v>
      </c>
      <c r="X381" t="s">
        <v>47</v>
      </c>
      <c r="Y381">
        <v>4</v>
      </c>
      <c r="Z381" t="s">
        <v>91</v>
      </c>
    </row>
    <row r="382" spans="1:26" x14ac:dyDescent="0.3">
      <c r="A382" t="s">
        <v>778</v>
      </c>
      <c r="B382" s="2">
        <v>46018</v>
      </c>
      <c r="C382" t="s">
        <v>779</v>
      </c>
      <c r="D382" t="s">
        <v>111</v>
      </c>
      <c r="E382" t="s">
        <v>29</v>
      </c>
      <c r="F382">
        <v>48</v>
      </c>
      <c r="G382" t="s">
        <v>67</v>
      </c>
      <c r="H382" t="s">
        <v>68</v>
      </c>
      <c r="I382" t="s">
        <v>67</v>
      </c>
      <c r="J382" t="s">
        <v>125</v>
      </c>
      <c r="K382">
        <v>3</v>
      </c>
      <c r="L382">
        <v>38354</v>
      </c>
      <c r="M382">
        <v>5</v>
      </c>
      <c r="N382">
        <v>5753.1</v>
      </c>
      <c r="O382">
        <v>19675.599999999999</v>
      </c>
      <c r="P382">
        <v>229</v>
      </c>
      <c r="Q382">
        <v>129213.5</v>
      </c>
      <c r="R382" t="s">
        <v>33</v>
      </c>
      <c r="S382" t="s">
        <v>34</v>
      </c>
      <c r="T382" t="s">
        <v>46</v>
      </c>
      <c r="U382" t="s">
        <v>36</v>
      </c>
      <c r="V382" t="s">
        <v>37</v>
      </c>
      <c r="W382">
        <v>3</v>
      </c>
      <c r="X382" t="s">
        <v>47</v>
      </c>
      <c r="Y382">
        <v>2</v>
      </c>
      <c r="Z382" t="s">
        <v>47</v>
      </c>
    </row>
    <row r="383" spans="1:26" x14ac:dyDescent="0.3">
      <c r="A383" t="s">
        <v>780</v>
      </c>
      <c r="B383" s="2">
        <v>46008</v>
      </c>
      <c r="C383" t="s">
        <v>781</v>
      </c>
      <c r="D383" t="s">
        <v>28</v>
      </c>
      <c r="E383" t="s">
        <v>29</v>
      </c>
      <c r="F383">
        <v>25</v>
      </c>
      <c r="G383" t="s">
        <v>90</v>
      </c>
      <c r="H383" t="s">
        <v>31</v>
      </c>
      <c r="I383" t="s">
        <v>90</v>
      </c>
      <c r="J383" t="s">
        <v>112</v>
      </c>
      <c r="K383">
        <v>3</v>
      </c>
      <c r="L383">
        <v>41789</v>
      </c>
      <c r="M383">
        <v>10</v>
      </c>
      <c r="N383">
        <v>12536.7</v>
      </c>
      <c r="O383">
        <v>20309.45</v>
      </c>
      <c r="P383">
        <v>460</v>
      </c>
      <c r="Q383">
        <v>133599.75</v>
      </c>
      <c r="R383" t="s">
        <v>33</v>
      </c>
      <c r="S383" t="s">
        <v>63</v>
      </c>
      <c r="T383" t="s">
        <v>46</v>
      </c>
      <c r="U383" t="s">
        <v>36</v>
      </c>
      <c r="V383" t="s">
        <v>37</v>
      </c>
      <c r="W383">
        <v>1</v>
      </c>
      <c r="X383" t="s">
        <v>47</v>
      </c>
      <c r="Y383">
        <v>4</v>
      </c>
      <c r="Z383" t="s">
        <v>91</v>
      </c>
    </row>
    <row r="384" spans="1:26" x14ac:dyDescent="0.3">
      <c r="A384" t="s">
        <v>782</v>
      </c>
      <c r="B384" s="2">
        <v>45802</v>
      </c>
      <c r="C384" t="s">
        <v>79</v>
      </c>
      <c r="D384" t="s">
        <v>89</v>
      </c>
      <c r="E384" t="s">
        <v>43</v>
      </c>
      <c r="F384">
        <v>50</v>
      </c>
      <c r="G384" t="s">
        <v>99</v>
      </c>
      <c r="H384" t="s">
        <v>52</v>
      </c>
      <c r="I384" t="s">
        <v>99</v>
      </c>
      <c r="J384" t="s">
        <v>32</v>
      </c>
      <c r="K384">
        <v>5</v>
      </c>
      <c r="L384">
        <v>40354</v>
      </c>
      <c r="M384">
        <v>15</v>
      </c>
      <c r="N384">
        <v>30265.5</v>
      </c>
      <c r="O384">
        <v>30870.81</v>
      </c>
      <c r="P384">
        <v>5</v>
      </c>
      <c r="Q384">
        <v>202380.31</v>
      </c>
      <c r="R384" t="s">
        <v>33</v>
      </c>
      <c r="S384" t="s">
        <v>34</v>
      </c>
      <c r="T384" t="s">
        <v>70</v>
      </c>
      <c r="U384" t="s">
        <v>56</v>
      </c>
      <c r="V384" t="s">
        <v>57</v>
      </c>
      <c r="W384">
        <v>9</v>
      </c>
      <c r="X384" t="s">
        <v>38</v>
      </c>
      <c r="Y384">
        <v>5</v>
      </c>
      <c r="Z384" t="s">
        <v>91</v>
      </c>
    </row>
    <row r="385" spans="1:26" x14ac:dyDescent="0.3">
      <c r="A385" t="s">
        <v>783</v>
      </c>
      <c r="B385" s="2">
        <v>46007</v>
      </c>
      <c r="C385" t="s">
        <v>784</v>
      </c>
      <c r="D385" t="s">
        <v>108</v>
      </c>
      <c r="E385" t="s">
        <v>29</v>
      </c>
      <c r="F385">
        <v>57</v>
      </c>
      <c r="G385" t="s">
        <v>90</v>
      </c>
      <c r="H385" t="s">
        <v>31</v>
      </c>
      <c r="I385" t="s">
        <v>90</v>
      </c>
      <c r="J385" t="s">
        <v>112</v>
      </c>
      <c r="K385">
        <v>3</v>
      </c>
      <c r="L385">
        <v>44552</v>
      </c>
      <c r="M385">
        <v>20</v>
      </c>
      <c r="N385">
        <v>26731.200000000001</v>
      </c>
      <c r="O385">
        <v>19246.46</v>
      </c>
      <c r="P385">
        <v>222</v>
      </c>
      <c r="Q385">
        <v>126393.26</v>
      </c>
      <c r="R385" t="s">
        <v>45</v>
      </c>
      <c r="S385" t="s">
        <v>34</v>
      </c>
      <c r="T385" t="s">
        <v>70</v>
      </c>
      <c r="U385" t="s">
        <v>56</v>
      </c>
      <c r="V385" t="s">
        <v>57</v>
      </c>
      <c r="W385">
        <v>2</v>
      </c>
      <c r="X385" t="s">
        <v>47</v>
      </c>
      <c r="Y385">
        <v>1</v>
      </c>
      <c r="Z385" t="s">
        <v>39</v>
      </c>
    </row>
    <row r="386" spans="1:26" x14ac:dyDescent="0.3">
      <c r="A386" t="s">
        <v>785</v>
      </c>
      <c r="B386" s="2">
        <v>45803</v>
      </c>
      <c r="C386" t="s">
        <v>786</v>
      </c>
      <c r="D386" t="s">
        <v>42</v>
      </c>
      <c r="E386" t="s">
        <v>43</v>
      </c>
      <c r="F386">
        <v>57</v>
      </c>
      <c r="G386" t="s">
        <v>74</v>
      </c>
      <c r="H386" t="s">
        <v>31</v>
      </c>
      <c r="I386" t="s">
        <v>74</v>
      </c>
      <c r="J386" t="s">
        <v>69</v>
      </c>
      <c r="K386">
        <v>4</v>
      </c>
      <c r="L386">
        <v>6838</v>
      </c>
      <c r="M386">
        <v>5</v>
      </c>
      <c r="N386">
        <v>1367.6</v>
      </c>
      <c r="O386">
        <v>4677.1899999999996</v>
      </c>
      <c r="P386">
        <v>1</v>
      </c>
      <c r="Q386">
        <v>30662.59</v>
      </c>
      <c r="R386" t="s">
        <v>54</v>
      </c>
      <c r="S386" t="s">
        <v>34</v>
      </c>
      <c r="T386" t="s">
        <v>103</v>
      </c>
      <c r="U386" t="s">
        <v>103</v>
      </c>
      <c r="V386" t="s">
        <v>57</v>
      </c>
      <c r="W386">
        <v>1</v>
      </c>
      <c r="X386" t="s">
        <v>38</v>
      </c>
      <c r="Y386">
        <v>3</v>
      </c>
      <c r="Z386" t="s">
        <v>91</v>
      </c>
    </row>
    <row r="387" spans="1:26" x14ac:dyDescent="0.3">
      <c r="A387" t="s">
        <v>787</v>
      </c>
      <c r="B387" s="2">
        <v>45794</v>
      </c>
      <c r="C387" t="s">
        <v>788</v>
      </c>
      <c r="D387" t="s">
        <v>108</v>
      </c>
      <c r="E387" t="s">
        <v>29</v>
      </c>
      <c r="F387">
        <v>50</v>
      </c>
      <c r="G387" t="s">
        <v>51</v>
      </c>
      <c r="H387" t="s">
        <v>52</v>
      </c>
      <c r="I387" t="s">
        <v>51</v>
      </c>
      <c r="J387" t="s">
        <v>125</v>
      </c>
      <c r="K387">
        <v>5</v>
      </c>
      <c r="L387">
        <v>38147</v>
      </c>
      <c r="M387">
        <v>15</v>
      </c>
      <c r="N387">
        <v>28610.25</v>
      </c>
      <c r="O387">
        <v>29182.45</v>
      </c>
      <c r="P387">
        <v>184</v>
      </c>
      <c r="Q387">
        <v>191491.20000000001</v>
      </c>
      <c r="R387" t="s">
        <v>54</v>
      </c>
      <c r="S387" t="s">
        <v>34</v>
      </c>
      <c r="T387" t="s">
        <v>35</v>
      </c>
      <c r="U387" t="s">
        <v>36</v>
      </c>
      <c r="V387" t="s">
        <v>37</v>
      </c>
      <c r="W387">
        <v>5</v>
      </c>
      <c r="X387" t="s">
        <v>47</v>
      </c>
      <c r="Y387">
        <v>5</v>
      </c>
      <c r="Z387" t="s">
        <v>91</v>
      </c>
    </row>
    <row r="388" spans="1:26" x14ac:dyDescent="0.3">
      <c r="A388" t="s">
        <v>789</v>
      </c>
      <c r="B388" s="2">
        <v>45916</v>
      </c>
      <c r="C388" t="s">
        <v>790</v>
      </c>
      <c r="D388" t="s">
        <v>66</v>
      </c>
      <c r="E388" t="s">
        <v>43</v>
      </c>
      <c r="F388">
        <v>37</v>
      </c>
      <c r="G388" t="s">
        <v>44</v>
      </c>
      <c r="H388" t="s">
        <v>31</v>
      </c>
      <c r="I388" t="s">
        <v>44</v>
      </c>
      <c r="J388" t="s">
        <v>32</v>
      </c>
      <c r="K388">
        <v>4</v>
      </c>
      <c r="L388">
        <v>47651</v>
      </c>
      <c r="M388">
        <v>5</v>
      </c>
      <c r="N388">
        <v>9530.2000000000007</v>
      </c>
      <c r="O388">
        <v>32593.279999999999</v>
      </c>
      <c r="P388">
        <v>270</v>
      </c>
      <c r="Q388">
        <v>213937.08</v>
      </c>
      <c r="R388" t="s">
        <v>33</v>
      </c>
      <c r="S388" t="s">
        <v>34</v>
      </c>
      <c r="T388" t="s">
        <v>84</v>
      </c>
      <c r="U388" t="s">
        <v>85</v>
      </c>
      <c r="V388" t="s">
        <v>86</v>
      </c>
      <c r="W388">
        <v>10</v>
      </c>
      <c r="X388" t="s">
        <v>47</v>
      </c>
      <c r="Y388">
        <v>2</v>
      </c>
      <c r="Z388" t="s">
        <v>58</v>
      </c>
    </row>
    <row r="389" spans="1:26" x14ac:dyDescent="0.3">
      <c r="A389" t="s">
        <v>791</v>
      </c>
      <c r="B389" s="2">
        <v>45799</v>
      </c>
      <c r="C389" t="s">
        <v>792</v>
      </c>
      <c r="D389" t="s">
        <v>50</v>
      </c>
      <c r="E389" t="s">
        <v>29</v>
      </c>
      <c r="F389">
        <v>51</v>
      </c>
      <c r="G389" t="s">
        <v>67</v>
      </c>
      <c r="H389" t="s">
        <v>68</v>
      </c>
      <c r="I389" t="s">
        <v>67</v>
      </c>
      <c r="J389" t="s">
        <v>102</v>
      </c>
      <c r="K389">
        <v>1</v>
      </c>
      <c r="L389">
        <v>35776</v>
      </c>
      <c r="M389">
        <v>15</v>
      </c>
      <c r="N389">
        <v>5366.4</v>
      </c>
      <c r="O389">
        <v>5473.73</v>
      </c>
      <c r="P389">
        <v>211</v>
      </c>
      <c r="Q389">
        <v>36094.33</v>
      </c>
      <c r="R389" t="s">
        <v>54</v>
      </c>
      <c r="S389" t="s">
        <v>34</v>
      </c>
      <c r="T389" t="s">
        <v>35</v>
      </c>
      <c r="U389" t="s">
        <v>36</v>
      </c>
      <c r="V389" t="s">
        <v>37</v>
      </c>
      <c r="W389">
        <v>1</v>
      </c>
      <c r="X389" t="s">
        <v>47</v>
      </c>
      <c r="Y389">
        <v>2</v>
      </c>
      <c r="Z389" t="s">
        <v>39</v>
      </c>
    </row>
    <row r="390" spans="1:26" x14ac:dyDescent="0.3">
      <c r="A390" t="s">
        <v>793</v>
      </c>
      <c r="B390" s="2">
        <v>45792</v>
      </c>
      <c r="C390" t="s">
        <v>794</v>
      </c>
      <c r="D390" t="s">
        <v>89</v>
      </c>
      <c r="E390" t="s">
        <v>43</v>
      </c>
      <c r="F390">
        <v>48</v>
      </c>
      <c r="G390" t="s">
        <v>139</v>
      </c>
      <c r="H390" t="s">
        <v>31</v>
      </c>
      <c r="I390" t="s">
        <v>139</v>
      </c>
      <c r="J390" t="s">
        <v>53</v>
      </c>
      <c r="K390">
        <v>5</v>
      </c>
      <c r="L390">
        <v>38786</v>
      </c>
      <c r="M390">
        <v>20</v>
      </c>
      <c r="N390">
        <v>38786</v>
      </c>
      <c r="O390">
        <v>27925.919999999998</v>
      </c>
      <c r="P390">
        <v>346</v>
      </c>
      <c r="Q390">
        <v>183415.92</v>
      </c>
      <c r="R390" t="s">
        <v>33</v>
      </c>
      <c r="S390" t="s">
        <v>34</v>
      </c>
      <c r="T390" t="s">
        <v>84</v>
      </c>
      <c r="U390" t="s">
        <v>85</v>
      </c>
      <c r="V390" t="s">
        <v>86</v>
      </c>
      <c r="W390">
        <v>10</v>
      </c>
      <c r="X390" t="s">
        <v>38</v>
      </c>
      <c r="Y390">
        <v>2</v>
      </c>
      <c r="Z390" t="s">
        <v>39</v>
      </c>
    </row>
    <row r="391" spans="1:26" x14ac:dyDescent="0.3">
      <c r="A391" t="s">
        <v>795</v>
      </c>
      <c r="B391" s="2">
        <v>46088</v>
      </c>
      <c r="C391" t="s">
        <v>193</v>
      </c>
      <c r="D391" t="s">
        <v>50</v>
      </c>
      <c r="E391" t="s">
        <v>43</v>
      </c>
      <c r="F391">
        <v>39</v>
      </c>
      <c r="G391" t="s">
        <v>30</v>
      </c>
      <c r="H391" t="s">
        <v>31</v>
      </c>
      <c r="I391" t="s">
        <v>30</v>
      </c>
      <c r="J391" t="s">
        <v>32</v>
      </c>
      <c r="K391">
        <v>4</v>
      </c>
      <c r="L391">
        <v>44570</v>
      </c>
      <c r="M391">
        <v>15</v>
      </c>
      <c r="N391">
        <v>26742</v>
      </c>
      <c r="O391">
        <v>27276.84</v>
      </c>
      <c r="P391">
        <v>441</v>
      </c>
      <c r="Q391">
        <v>179255.84</v>
      </c>
      <c r="R391" t="s">
        <v>33</v>
      </c>
      <c r="S391" t="s">
        <v>34</v>
      </c>
      <c r="T391" t="s">
        <v>95</v>
      </c>
      <c r="U391" t="s">
        <v>96</v>
      </c>
      <c r="V391" t="s">
        <v>57</v>
      </c>
      <c r="W391">
        <v>5</v>
      </c>
      <c r="X391" t="s">
        <v>47</v>
      </c>
      <c r="Y391">
        <v>5</v>
      </c>
      <c r="Z391" t="s">
        <v>47</v>
      </c>
    </row>
    <row r="392" spans="1:26" x14ac:dyDescent="0.3">
      <c r="A392" t="s">
        <v>796</v>
      </c>
      <c r="B392" s="2">
        <v>45852</v>
      </c>
      <c r="C392" t="s">
        <v>65</v>
      </c>
      <c r="D392" t="s">
        <v>108</v>
      </c>
      <c r="E392" t="s">
        <v>43</v>
      </c>
      <c r="F392">
        <v>27</v>
      </c>
      <c r="G392" t="s">
        <v>99</v>
      </c>
      <c r="H392" t="s">
        <v>52</v>
      </c>
      <c r="I392" t="s">
        <v>99</v>
      </c>
      <c r="J392" t="s">
        <v>62</v>
      </c>
      <c r="K392">
        <v>2</v>
      </c>
      <c r="L392">
        <v>17897</v>
      </c>
      <c r="M392">
        <v>15</v>
      </c>
      <c r="N392">
        <v>5369.1</v>
      </c>
      <c r="O392">
        <v>5476.48</v>
      </c>
      <c r="P392">
        <v>381</v>
      </c>
      <c r="Q392">
        <v>36282.379999999997</v>
      </c>
      <c r="R392" t="s">
        <v>54</v>
      </c>
      <c r="S392" t="s">
        <v>34</v>
      </c>
      <c r="T392" t="s">
        <v>76</v>
      </c>
      <c r="U392" t="s">
        <v>77</v>
      </c>
      <c r="V392" t="s">
        <v>57</v>
      </c>
      <c r="W392">
        <v>2</v>
      </c>
      <c r="X392" t="s">
        <v>38</v>
      </c>
      <c r="Y392">
        <v>3</v>
      </c>
      <c r="Z392" t="s">
        <v>39</v>
      </c>
    </row>
    <row r="393" spans="1:26" x14ac:dyDescent="0.3">
      <c r="A393" t="s">
        <v>797</v>
      </c>
      <c r="B393" s="2">
        <v>46082</v>
      </c>
      <c r="C393" t="s">
        <v>798</v>
      </c>
      <c r="D393" t="s">
        <v>111</v>
      </c>
      <c r="E393" t="s">
        <v>43</v>
      </c>
      <c r="F393">
        <v>29</v>
      </c>
      <c r="G393" t="s">
        <v>99</v>
      </c>
      <c r="H393" t="s">
        <v>52</v>
      </c>
      <c r="I393" t="s">
        <v>99</v>
      </c>
      <c r="J393" t="s">
        <v>201</v>
      </c>
      <c r="K393">
        <v>2</v>
      </c>
      <c r="L393">
        <v>19659</v>
      </c>
      <c r="M393">
        <v>5</v>
      </c>
      <c r="N393">
        <v>1965.9</v>
      </c>
      <c r="O393">
        <v>6723.38</v>
      </c>
      <c r="P393">
        <v>60</v>
      </c>
      <c r="Q393">
        <v>44135.48</v>
      </c>
      <c r="R393" t="s">
        <v>54</v>
      </c>
      <c r="S393" t="s">
        <v>63</v>
      </c>
      <c r="T393" t="s">
        <v>55</v>
      </c>
      <c r="U393" t="s">
        <v>56</v>
      </c>
      <c r="V393" t="s">
        <v>57</v>
      </c>
      <c r="W393">
        <v>8</v>
      </c>
      <c r="X393" t="s">
        <v>47</v>
      </c>
      <c r="Y393">
        <v>2</v>
      </c>
      <c r="Z393" t="s">
        <v>39</v>
      </c>
    </row>
    <row r="394" spans="1:26" x14ac:dyDescent="0.3">
      <c r="A394" t="s">
        <v>799</v>
      </c>
      <c r="B394" s="2">
        <v>45937</v>
      </c>
      <c r="C394" t="s">
        <v>800</v>
      </c>
      <c r="D394" t="s">
        <v>42</v>
      </c>
      <c r="E394" t="s">
        <v>29</v>
      </c>
      <c r="F394">
        <v>19</v>
      </c>
      <c r="G394" t="s">
        <v>44</v>
      </c>
      <c r="H394" t="s">
        <v>31</v>
      </c>
      <c r="I394" t="s">
        <v>44</v>
      </c>
      <c r="J394" t="s">
        <v>201</v>
      </c>
      <c r="K394">
        <v>2</v>
      </c>
      <c r="L394">
        <v>5458</v>
      </c>
      <c r="M394">
        <v>10</v>
      </c>
      <c r="N394">
        <v>1091.5999999999999</v>
      </c>
      <c r="O394">
        <v>1768.39</v>
      </c>
      <c r="P394">
        <v>260</v>
      </c>
      <c r="Q394">
        <v>11852.79</v>
      </c>
      <c r="R394" t="s">
        <v>54</v>
      </c>
      <c r="S394" t="s">
        <v>63</v>
      </c>
      <c r="T394" t="s">
        <v>95</v>
      </c>
      <c r="U394" t="s">
        <v>96</v>
      </c>
      <c r="V394" t="s">
        <v>57</v>
      </c>
      <c r="W394">
        <v>6</v>
      </c>
      <c r="X394" t="s">
        <v>47</v>
      </c>
      <c r="Y394">
        <v>1</v>
      </c>
      <c r="Z394" t="s">
        <v>58</v>
      </c>
    </row>
    <row r="395" spans="1:26" x14ac:dyDescent="0.3">
      <c r="A395" t="s">
        <v>801</v>
      </c>
      <c r="B395" s="2">
        <v>45893</v>
      </c>
      <c r="C395" t="s">
        <v>802</v>
      </c>
      <c r="D395" t="s">
        <v>80</v>
      </c>
      <c r="E395" t="s">
        <v>43</v>
      </c>
      <c r="F395">
        <v>39</v>
      </c>
      <c r="G395" t="s">
        <v>51</v>
      </c>
      <c r="H395" t="s">
        <v>52</v>
      </c>
      <c r="I395" t="s">
        <v>51</v>
      </c>
      <c r="J395" t="s">
        <v>53</v>
      </c>
      <c r="K395">
        <v>5</v>
      </c>
      <c r="L395">
        <v>11477</v>
      </c>
      <c r="M395">
        <v>20</v>
      </c>
      <c r="N395">
        <v>11477</v>
      </c>
      <c r="O395">
        <v>8263.44</v>
      </c>
      <c r="P395">
        <v>383</v>
      </c>
      <c r="Q395">
        <v>54554.44</v>
      </c>
      <c r="R395" t="s">
        <v>83</v>
      </c>
      <c r="S395" t="s">
        <v>34</v>
      </c>
      <c r="T395" t="s">
        <v>103</v>
      </c>
      <c r="U395" t="s">
        <v>103</v>
      </c>
      <c r="V395" t="s">
        <v>57</v>
      </c>
      <c r="W395">
        <v>8</v>
      </c>
      <c r="X395" t="s">
        <v>38</v>
      </c>
      <c r="Y395">
        <v>1</v>
      </c>
      <c r="Z395" t="s">
        <v>58</v>
      </c>
    </row>
    <row r="396" spans="1:26" x14ac:dyDescent="0.3">
      <c r="A396" t="s">
        <v>803</v>
      </c>
      <c r="B396" s="2">
        <v>46071</v>
      </c>
      <c r="C396" t="s">
        <v>706</v>
      </c>
      <c r="D396" t="s">
        <v>73</v>
      </c>
      <c r="E396" t="s">
        <v>43</v>
      </c>
      <c r="F396">
        <v>56</v>
      </c>
      <c r="G396" t="s">
        <v>134</v>
      </c>
      <c r="H396" t="s">
        <v>31</v>
      </c>
      <c r="I396" t="s">
        <v>134</v>
      </c>
      <c r="J396" t="s">
        <v>150</v>
      </c>
      <c r="K396">
        <v>5</v>
      </c>
      <c r="L396">
        <v>8130</v>
      </c>
      <c r="M396">
        <v>0</v>
      </c>
      <c r="N396">
        <v>0</v>
      </c>
      <c r="O396">
        <v>7317</v>
      </c>
      <c r="P396">
        <v>365</v>
      </c>
      <c r="Q396">
        <v>48332</v>
      </c>
      <c r="R396" t="s">
        <v>54</v>
      </c>
      <c r="S396" t="s">
        <v>34</v>
      </c>
      <c r="T396" t="s">
        <v>76</v>
      </c>
      <c r="U396" t="s">
        <v>77</v>
      </c>
      <c r="V396" t="s">
        <v>57</v>
      </c>
      <c r="W396">
        <v>5</v>
      </c>
      <c r="X396" t="s">
        <v>47</v>
      </c>
      <c r="Y396">
        <v>2</v>
      </c>
      <c r="Z396" t="s">
        <v>58</v>
      </c>
    </row>
    <row r="397" spans="1:26" x14ac:dyDescent="0.3">
      <c r="A397" t="s">
        <v>804</v>
      </c>
      <c r="B397" s="2">
        <v>45917</v>
      </c>
      <c r="C397" t="s">
        <v>598</v>
      </c>
      <c r="D397" t="s">
        <v>89</v>
      </c>
      <c r="E397" t="s">
        <v>43</v>
      </c>
      <c r="F397">
        <v>45</v>
      </c>
      <c r="G397" t="s">
        <v>99</v>
      </c>
      <c r="H397" t="s">
        <v>52</v>
      </c>
      <c r="I397" t="s">
        <v>99</v>
      </c>
      <c r="J397" t="s">
        <v>69</v>
      </c>
      <c r="K397">
        <v>5</v>
      </c>
      <c r="L397">
        <v>49785</v>
      </c>
      <c r="M397">
        <v>10</v>
      </c>
      <c r="N397">
        <v>24892.5</v>
      </c>
      <c r="O397">
        <v>40325.85</v>
      </c>
      <c r="P397">
        <v>307</v>
      </c>
      <c r="Q397">
        <v>264665.34999999998</v>
      </c>
      <c r="R397" t="s">
        <v>45</v>
      </c>
      <c r="S397" t="s">
        <v>34</v>
      </c>
      <c r="T397" t="s">
        <v>76</v>
      </c>
      <c r="U397" t="s">
        <v>77</v>
      </c>
      <c r="V397" t="s">
        <v>57</v>
      </c>
      <c r="W397">
        <v>10</v>
      </c>
      <c r="X397" t="s">
        <v>47</v>
      </c>
      <c r="Y397">
        <v>1</v>
      </c>
      <c r="Z397" t="s">
        <v>47</v>
      </c>
    </row>
    <row r="398" spans="1:26" x14ac:dyDescent="0.3">
      <c r="A398" t="s">
        <v>805</v>
      </c>
      <c r="B398" s="2">
        <v>45999</v>
      </c>
      <c r="C398" t="s">
        <v>806</v>
      </c>
      <c r="D398" t="s">
        <v>61</v>
      </c>
      <c r="E398" t="s">
        <v>43</v>
      </c>
      <c r="F398">
        <v>45</v>
      </c>
      <c r="G398" t="s">
        <v>30</v>
      </c>
      <c r="H398" t="s">
        <v>31</v>
      </c>
      <c r="I398" t="s">
        <v>30</v>
      </c>
      <c r="J398" t="s">
        <v>112</v>
      </c>
      <c r="K398">
        <v>1</v>
      </c>
      <c r="L398">
        <v>45045</v>
      </c>
      <c r="M398">
        <v>10</v>
      </c>
      <c r="N398">
        <v>4504.5</v>
      </c>
      <c r="O398">
        <v>7297.29</v>
      </c>
      <c r="P398">
        <v>227</v>
      </c>
      <c r="Q398">
        <v>48064.79</v>
      </c>
      <c r="R398" t="s">
        <v>33</v>
      </c>
      <c r="S398" t="s">
        <v>63</v>
      </c>
      <c r="T398" t="s">
        <v>70</v>
      </c>
      <c r="U398" t="s">
        <v>56</v>
      </c>
      <c r="V398" t="s">
        <v>57</v>
      </c>
      <c r="W398">
        <v>7</v>
      </c>
      <c r="X398" t="s">
        <v>47</v>
      </c>
      <c r="Y398">
        <v>4</v>
      </c>
      <c r="Z398" t="s">
        <v>91</v>
      </c>
    </row>
    <row r="399" spans="1:26" x14ac:dyDescent="0.3">
      <c r="A399" t="s">
        <v>807</v>
      </c>
      <c r="B399" s="2">
        <v>45914</v>
      </c>
      <c r="C399" t="s">
        <v>808</v>
      </c>
      <c r="D399" t="s">
        <v>61</v>
      </c>
      <c r="E399" t="s">
        <v>29</v>
      </c>
      <c r="F399">
        <v>32</v>
      </c>
      <c r="G399" t="s">
        <v>67</v>
      </c>
      <c r="H399" t="s">
        <v>68</v>
      </c>
      <c r="I399" t="s">
        <v>67</v>
      </c>
      <c r="J399" t="s">
        <v>62</v>
      </c>
      <c r="K399">
        <v>2</v>
      </c>
      <c r="L399">
        <v>37886</v>
      </c>
      <c r="M399">
        <v>20</v>
      </c>
      <c r="N399">
        <v>15154.4</v>
      </c>
      <c r="O399">
        <v>10911.17</v>
      </c>
      <c r="P399">
        <v>333</v>
      </c>
      <c r="Q399">
        <v>71861.77</v>
      </c>
      <c r="R399" t="s">
        <v>54</v>
      </c>
      <c r="S399" t="s">
        <v>63</v>
      </c>
      <c r="T399" t="s">
        <v>103</v>
      </c>
      <c r="U399" t="s">
        <v>103</v>
      </c>
      <c r="V399" t="s">
        <v>57</v>
      </c>
      <c r="W399">
        <v>5</v>
      </c>
      <c r="X399" t="s">
        <v>47</v>
      </c>
      <c r="Y399">
        <v>1</v>
      </c>
      <c r="Z399" t="s">
        <v>39</v>
      </c>
    </row>
    <row r="400" spans="1:26" x14ac:dyDescent="0.3">
      <c r="A400" t="s">
        <v>809</v>
      </c>
      <c r="B400" s="2">
        <v>45798</v>
      </c>
      <c r="C400" t="s">
        <v>810</v>
      </c>
      <c r="D400" t="s">
        <v>61</v>
      </c>
      <c r="E400" t="s">
        <v>29</v>
      </c>
      <c r="F400">
        <v>41</v>
      </c>
      <c r="G400" t="s">
        <v>134</v>
      </c>
      <c r="H400" t="s">
        <v>31</v>
      </c>
      <c r="I400" t="s">
        <v>134</v>
      </c>
      <c r="J400" t="s">
        <v>125</v>
      </c>
      <c r="K400">
        <v>1</v>
      </c>
      <c r="L400">
        <v>10479</v>
      </c>
      <c r="M400">
        <v>20</v>
      </c>
      <c r="N400">
        <v>2095.8000000000002</v>
      </c>
      <c r="O400">
        <v>1508.98</v>
      </c>
      <c r="P400">
        <v>259</v>
      </c>
      <c r="Q400">
        <v>10151.18</v>
      </c>
      <c r="R400" t="s">
        <v>83</v>
      </c>
      <c r="S400" t="s">
        <v>34</v>
      </c>
      <c r="T400" t="s">
        <v>76</v>
      </c>
      <c r="U400" t="s">
        <v>77</v>
      </c>
      <c r="V400" t="s">
        <v>57</v>
      </c>
      <c r="W400">
        <v>9</v>
      </c>
      <c r="X400" t="s">
        <v>38</v>
      </c>
      <c r="Y400">
        <v>3</v>
      </c>
      <c r="Z400" t="s">
        <v>47</v>
      </c>
    </row>
    <row r="401" spans="1:26" x14ac:dyDescent="0.3">
      <c r="A401" t="s">
        <v>811</v>
      </c>
      <c r="B401" s="2">
        <v>45856</v>
      </c>
      <c r="C401" t="s">
        <v>812</v>
      </c>
      <c r="D401" t="s">
        <v>111</v>
      </c>
      <c r="E401" t="s">
        <v>29</v>
      </c>
      <c r="F401">
        <v>39</v>
      </c>
      <c r="G401" t="s">
        <v>67</v>
      </c>
      <c r="H401" t="s">
        <v>68</v>
      </c>
      <c r="I401" t="s">
        <v>67</v>
      </c>
      <c r="J401" t="s">
        <v>62</v>
      </c>
      <c r="K401">
        <v>2</v>
      </c>
      <c r="L401">
        <v>25677</v>
      </c>
      <c r="M401">
        <v>20</v>
      </c>
      <c r="N401">
        <v>10270.799999999999</v>
      </c>
      <c r="O401">
        <v>7394.98</v>
      </c>
      <c r="P401">
        <v>360</v>
      </c>
      <c r="Q401">
        <v>48838.18</v>
      </c>
      <c r="R401" t="s">
        <v>45</v>
      </c>
      <c r="S401" t="s">
        <v>63</v>
      </c>
      <c r="T401" t="s">
        <v>35</v>
      </c>
      <c r="U401" t="s">
        <v>36</v>
      </c>
      <c r="V401" t="s">
        <v>37</v>
      </c>
      <c r="W401">
        <v>4</v>
      </c>
      <c r="X401" t="s">
        <v>47</v>
      </c>
      <c r="Y401">
        <v>4</v>
      </c>
      <c r="Z401" t="s">
        <v>58</v>
      </c>
    </row>
    <row r="402" spans="1:26" x14ac:dyDescent="0.3">
      <c r="A402" t="s">
        <v>813</v>
      </c>
      <c r="B402" s="2">
        <v>45941</v>
      </c>
      <c r="C402" t="s">
        <v>814</v>
      </c>
      <c r="D402" t="s">
        <v>50</v>
      </c>
      <c r="E402" t="s">
        <v>43</v>
      </c>
      <c r="F402">
        <v>45</v>
      </c>
      <c r="G402" t="s">
        <v>99</v>
      </c>
      <c r="H402" t="s">
        <v>52</v>
      </c>
      <c r="I402" t="s">
        <v>99</v>
      </c>
      <c r="J402" t="s">
        <v>201</v>
      </c>
      <c r="K402">
        <v>1</v>
      </c>
      <c r="L402">
        <v>38257</v>
      </c>
      <c r="M402">
        <v>0</v>
      </c>
      <c r="N402">
        <v>0</v>
      </c>
      <c r="O402">
        <v>6886.26</v>
      </c>
      <c r="P402">
        <v>77</v>
      </c>
      <c r="Q402">
        <v>45220.26</v>
      </c>
      <c r="R402" t="s">
        <v>54</v>
      </c>
      <c r="S402" t="s">
        <v>63</v>
      </c>
      <c r="T402" t="s">
        <v>55</v>
      </c>
      <c r="U402" t="s">
        <v>56</v>
      </c>
      <c r="V402" t="s">
        <v>57</v>
      </c>
      <c r="W402">
        <v>5</v>
      </c>
      <c r="X402" t="s">
        <v>38</v>
      </c>
      <c r="Y402">
        <v>1</v>
      </c>
      <c r="Z402" t="s">
        <v>91</v>
      </c>
    </row>
    <row r="403" spans="1:26" x14ac:dyDescent="0.3">
      <c r="A403" t="s">
        <v>815</v>
      </c>
      <c r="B403" s="2">
        <v>45969</v>
      </c>
      <c r="C403" t="s">
        <v>816</v>
      </c>
      <c r="D403" t="s">
        <v>111</v>
      </c>
      <c r="E403" t="s">
        <v>29</v>
      </c>
      <c r="F403">
        <v>18</v>
      </c>
      <c r="G403" t="s">
        <v>67</v>
      </c>
      <c r="H403" t="s">
        <v>68</v>
      </c>
      <c r="I403" t="s">
        <v>67</v>
      </c>
      <c r="J403" t="s">
        <v>75</v>
      </c>
      <c r="K403">
        <v>3</v>
      </c>
      <c r="L403">
        <v>42836</v>
      </c>
      <c r="M403">
        <v>5</v>
      </c>
      <c r="N403">
        <v>6425.4</v>
      </c>
      <c r="O403">
        <v>21974.87</v>
      </c>
      <c r="P403">
        <v>203</v>
      </c>
      <c r="Q403">
        <v>144260.47</v>
      </c>
      <c r="R403" t="s">
        <v>54</v>
      </c>
      <c r="S403" t="s">
        <v>63</v>
      </c>
      <c r="T403" t="s">
        <v>70</v>
      </c>
      <c r="U403" t="s">
        <v>56</v>
      </c>
      <c r="V403" t="s">
        <v>57</v>
      </c>
      <c r="W403">
        <v>8</v>
      </c>
      <c r="X403" t="s">
        <v>38</v>
      </c>
      <c r="Y403">
        <v>1</v>
      </c>
      <c r="Z403" t="s">
        <v>47</v>
      </c>
    </row>
    <row r="404" spans="1:26" x14ac:dyDescent="0.3">
      <c r="A404" t="s">
        <v>817</v>
      </c>
      <c r="B404" s="2">
        <v>45937</v>
      </c>
      <c r="C404" t="s">
        <v>818</v>
      </c>
      <c r="D404" t="s">
        <v>80</v>
      </c>
      <c r="E404" t="s">
        <v>43</v>
      </c>
      <c r="F404">
        <v>33</v>
      </c>
      <c r="G404" t="s">
        <v>139</v>
      </c>
      <c r="H404" t="s">
        <v>31</v>
      </c>
      <c r="I404" t="s">
        <v>139</v>
      </c>
      <c r="J404" t="s">
        <v>62</v>
      </c>
      <c r="K404">
        <v>5</v>
      </c>
      <c r="L404">
        <v>6082</v>
      </c>
      <c r="M404">
        <v>10</v>
      </c>
      <c r="N404">
        <v>3041</v>
      </c>
      <c r="O404">
        <v>4926.42</v>
      </c>
      <c r="P404">
        <v>451</v>
      </c>
      <c r="Q404">
        <v>32746.42</v>
      </c>
      <c r="R404" t="s">
        <v>54</v>
      </c>
      <c r="S404" t="s">
        <v>63</v>
      </c>
      <c r="T404" t="s">
        <v>84</v>
      </c>
      <c r="U404" t="s">
        <v>85</v>
      </c>
      <c r="V404" t="s">
        <v>86</v>
      </c>
      <c r="W404">
        <v>6</v>
      </c>
      <c r="X404" t="s">
        <v>38</v>
      </c>
      <c r="Y404">
        <v>4</v>
      </c>
      <c r="Z404" t="s">
        <v>58</v>
      </c>
    </row>
    <row r="405" spans="1:26" x14ac:dyDescent="0.3">
      <c r="A405" t="s">
        <v>819</v>
      </c>
      <c r="B405" s="2">
        <v>45962</v>
      </c>
      <c r="C405" t="s">
        <v>820</v>
      </c>
      <c r="D405" t="s">
        <v>80</v>
      </c>
      <c r="E405" t="s">
        <v>29</v>
      </c>
      <c r="F405">
        <v>45</v>
      </c>
      <c r="G405" t="s">
        <v>94</v>
      </c>
      <c r="H405" t="s">
        <v>31</v>
      </c>
      <c r="I405" t="s">
        <v>94</v>
      </c>
      <c r="J405" t="s">
        <v>69</v>
      </c>
      <c r="K405">
        <v>1</v>
      </c>
      <c r="L405">
        <v>31058</v>
      </c>
      <c r="M405">
        <v>20</v>
      </c>
      <c r="N405">
        <v>6211.6</v>
      </c>
      <c r="O405">
        <v>4472.3500000000004</v>
      </c>
      <c r="P405">
        <v>107</v>
      </c>
      <c r="Q405">
        <v>29425.75</v>
      </c>
      <c r="R405" t="s">
        <v>33</v>
      </c>
      <c r="S405" t="s">
        <v>34</v>
      </c>
      <c r="T405" t="s">
        <v>46</v>
      </c>
      <c r="U405" t="s">
        <v>36</v>
      </c>
      <c r="V405" t="s">
        <v>37</v>
      </c>
      <c r="W405">
        <v>2</v>
      </c>
      <c r="X405" t="s">
        <v>38</v>
      </c>
      <c r="Y405">
        <v>1</v>
      </c>
      <c r="Z405" t="s">
        <v>39</v>
      </c>
    </row>
    <row r="406" spans="1:26" x14ac:dyDescent="0.3">
      <c r="A406" t="s">
        <v>821</v>
      </c>
      <c r="B406" s="2">
        <v>45936</v>
      </c>
      <c r="C406" t="s">
        <v>822</v>
      </c>
      <c r="D406" t="s">
        <v>50</v>
      </c>
      <c r="E406" t="s">
        <v>29</v>
      </c>
      <c r="F406">
        <v>20</v>
      </c>
      <c r="G406" t="s">
        <v>30</v>
      </c>
      <c r="H406" t="s">
        <v>31</v>
      </c>
      <c r="I406" t="s">
        <v>30</v>
      </c>
      <c r="J406" t="s">
        <v>69</v>
      </c>
      <c r="K406">
        <v>5</v>
      </c>
      <c r="L406">
        <v>23952</v>
      </c>
      <c r="M406">
        <v>15</v>
      </c>
      <c r="N406">
        <v>17964</v>
      </c>
      <c r="O406">
        <v>18323.28</v>
      </c>
      <c r="P406">
        <v>235</v>
      </c>
      <c r="Q406">
        <v>120354.28</v>
      </c>
      <c r="R406" t="s">
        <v>54</v>
      </c>
      <c r="S406" t="s">
        <v>34</v>
      </c>
      <c r="T406" t="s">
        <v>46</v>
      </c>
      <c r="U406" t="s">
        <v>36</v>
      </c>
      <c r="V406" t="s">
        <v>37</v>
      </c>
      <c r="W406">
        <v>8</v>
      </c>
      <c r="X406" t="s">
        <v>38</v>
      </c>
      <c r="Y406">
        <v>3</v>
      </c>
      <c r="Z406" t="s">
        <v>58</v>
      </c>
    </row>
    <row r="407" spans="1:26" x14ac:dyDescent="0.3">
      <c r="A407" t="s">
        <v>823</v>
      </c>
      <c r="B407" s="2">
        <v>45769</v>
      </c>
      <c r="C407" t="s">
        <v>824</v>
      </c>
      <c r="D407" t="s">
        <v>111</v>
      </c>
      <c r="E407" t="s">
        <v>29</v>
      </c>
      <c r="F407">
        <v>48</v>
      </c>
      <c r="G407" t="s">
        <v>44</v>
      </c>
      <c r="H407" t="s">
        <v>31</v>
      </c>
      <c r="I407" t="s">
        <v>44</v>
      </c>
      <c r="J407" t="s">
        <v>125</v>
      </c>
      <c r="K407">
        <v>3</v>
      </c>
      <c r="L407">
        <v>38091</v>
      </c>
      <c r="M407">
        <v>20</v>
      </c>
      <c r="N407">
        <v>22854.6</v>
      </c>
      <c r="O407">
        <v>16455.310000000001</v>
      </c>
      <c r="P407">
        <v>45</v>
      </c>
      <c r="Q407">
        <v>107918.71</v>
      </c>
      <c r="R407" t="s">
        <v>45</v>
      </c>
      <c r="S407" t="s">
        <v>63</v>
      </c>
      <c r="T407" t="s">
        <v>70</v>
      </c>
      <c r="U407" t="s">
        <v>56</v>
      </c>
      <c r="V407" t="s">
        <v>57</v>
      </c>
      <c r="W407">
        <v>4</v>
      </c>
      <c r="X407" t="s">
        <v>38</v>
      </c>
      <c r="Y407">
        <v>2</v>
      </c>
      <c r="Z407" t="s">
        <v>91</v>
      </c>
    </row>
    <row r="408" spans="1:26" x14ac:dyDescent="0.3">
      <c r="A408" t="s">
        <v>825</v>
      </c>
      <c r="B408" s="2">
        <v>45874</v>
      </c>
      <c r="C408" t="s">
        <v>538</v>
      </c>
      <c r="D408" t="s">
        <v>42</v>
      </c>
      <c r="E408" t="s">
        <v>43</v>
      </c>
      <c r="F408">
        <v>52</v>
      </c>
      <c r="G408" t="s">
        <v>90</v>
      </c>
      <c r="H408" t="s">
        <v>31</v>
      </c>
      <c r="I408" t="s">
        <v>90</v>
      </c>
      <c r="J408" t="s">
        <v>125</v>
      </c>
      <c r="K408">
        <v>3</v>
      </c>
      <c r="L408">
        <v>26216</v>
      </c>
      <c r="M408">
        <v>20</v>
      </c>
      <c r="N408">
        <v>15729.6</v>
      </c>
      <c r="O408">
        <v>11325.31</v>
      </c>
      <c r="P408">
        <v>81</v>
      </c>
      <c r="Q408">
        <v>74324.710000000006</v>
      </c>
      <c r="R408" t="s">
        <v>33</v>
      </c>
      <c r="S408" t="s">
        <v>34</v>
      </c>
      <c r="T408" t="s">
        <v>35</v>
      </c>
      <c r="U408" t="s">
        <v>36</v>
      </c>
      <c r="V408" t="s">
        <v>37</v>
      </c>
      <c r="W408">
        <v>10</v>
      </c>
      <c r="X408" t="s">
        <v>47</v>
      </c>
      <c r="Y408">
        <v>2</v>
      </c>
      <c r="Z408" t="s">
        <v>58</v>
      </c>
    </row>
    <row r="409" spans="1:26" x14ac:dyDescent="0.3">
      <c r="A409" t="s">
        <v>826</v>
      </c>
      <c r="B409" s="2">
        <v>46027</v>
      </c>
      <c r="C409" t="s">
        <v>227</v>
      </c>
      <c r="D409" t="s">
        <v>28</v>
      </c>
      <c r="E409" t="s">
        <v>29</v>
      </c>
      <c r="F409">
        <v>27</v>
      </c>
      <c r="G409" t="s">
        <v>139</v>
      </c>
      <c r="H409" t="s">
        <v>31</v>
      </c>
      <c r="I409" t="s">
        <v>139</v>
      </c>
      <c r="J409" t="s">
        <v>201</v>
      </c>
      <c r="K409">
        <v>1</v>
      </c>
      <c r="L409">
        <v>39817</v>
      </c>
      <c r="M409">
        <v>0</v>
      </c>
      <c r="N409">
        <v>0</v>
      </c>
      <c r="O409">
        <v>7167.06</v>
      </c>
      <c r="P409">
        <v>338</v>
      </c>
      <c r="Q409">
        <v>47322.06</v>
      </c>
      <c r="R409" t="s">
        <v>83</v>
      </c>
      <c r="S409" t="s">
        <v>34</v>
      </c>
      <c r="T409" t="s">
        <v>70</v>
      </c>
      <c r="U409" t="s">
        <v>56</v>
      </c>
      <c r="V409" t="s">
        <v>57</v>
      </c>
      <c r="W409">
        <v>5</v>
      </c>
      <c r="X409" t="s">
        <v>38</v>
      </c>
      <c r="Y409">
        <v>2</v>
      </c>
      <c r="Z409" t="s">
        <v>39</v>
      </c>
    </row>
    <row r="410" spans="1:26" x14ac:dyDescent="0.3">
      <c r="A410" t="s">
        <v>827</v>
      </c>
      <c r="B410" s="2">
        <v>45846</v>
      </c>
      <c r="C410" t="s">
        <v>828</v>
      </c>
      <c r="D410" t="s">
        <v>89</v>
      </c>
      <c r="E410" t="s">
        <v>43</v>
      </c>
      <c r="F410">
        <v>21</v>
      </c>
      <c r="G410" t="s">
        <v>134</v>
      </c>
      <c r="H410" t="s">
        <v>31</v>
      </c>
      <c r="I410" t="s">
        <v>134</v>
      </c>
      <c r="J410" t="s">
        <v>201</v>
      </c>
      <c r="K410">
        <v>2</v>
      </c>
      <c r="L410">
        <v>13948</v>
      </c>
      <c r="M410">
        <v>20</v>
      </c>
      <c r="N410">
        <v>5579.2</v>
      </c>
      <c r="O410">
        <v>4017.02</v>
      </c>
      <c r="P410">
        <v>146</v>
      </c>
      <c r="Q410">
        <v>26479.82</v>
      </c>
      <c r="R410" t="s">
        <v>54</v>
      </c>
      <c r="S410" t="s">
        <v>34</v>
      </c>
      <c r="T410" t="s">
        <v>35</v>
      </c>
      <c r="U410" t="s">
        <v>36</v>
      </c>
      <c r="V410" t="s">
        <v>37</v>
      </c>
      <c r="W410">
        <v>2</v>
      </c>
      <c r="X410" t="s">
        <v>47</v>
      </c>
      <c r="Y410">
        <v>1</v>
      </c>
      <c r="Z410" t="s">
        <v>39</v>
      </c>
    </row>
    <row r="411" spans="1:26" x14ac:dyDescent="0.3">
      <c r="A411" t="s">
        <v>829</v>
      </c>
      <c r="B411" s="2">
        <v>45843</v>
      </c>
      <c r="C411" t="s">
        <v>830</v>
      </c>
      <c r="D411" t="s">
        <v>28</v>
      </c>
      <c r="E411" t="s">
        <v>43</v>
      </c>
      <c r="F411">
        <v>26</v>
      </c>
      <c r="G411" t="s">
        <v>67</v>
      </c>
      <c r="H411" t="s">
        <v>68</v>
      </c>
      <c r="I411" t="s">
        <v>67</v>
      </c>
      <c r="J411" t="s">
        <v>201</v>
      </c>
      <c r="K411">
        <v>2</v>
      </c>
      <c r="L411">
        <v>23299</v>
      </c>
      <c r="M411">
        <v>10</v>
      </c>
      <c r="N411">
        <v>4659.8</v>
      </c>
      <c r="O411">
        <v>7548.88</v>
      </c>
      <c r="P411">
        <v>416</v>
      </c>
      <c r="Q411">
        <v>49903.08</v>
      </c>
      <c r="R411" t="s">
        <v>33</v>
      </c>
      <c r="S411" t="s">
        <v>63</v>
      </c>
      <c r="T411" t="s">
        <v>84</v>
      </c>
      <c r="U411" t="s">
        <v>85</v>
      </c>
      <c r="V411" t="s">
        <v>86</v>
      </c>
      <c r="W411">
        <v>1</v>
      </c>
      <c r="X411" t="s">
        <v>47</v>
      </c>
      <c r="Y411">
        <v>2</v>
      </c>
      <c r="Z411" t="s">
        <v>58</v>
      </c>
    </row>
    <row r="412" spans="1:26" x14ac:dyDescent="0.3">
      <c r="A412" t="s">
        <v>831</v>
      </c>
      <c r="B412" s="2">
        <v>45895</v>
      </c>
      <c r="C412" t="s">
        <v>832</v>
      </c>
      <c r="D412" t="s">
        <v>50</v>
      </c>
      <c r="E412" t="s">
        <v>29</v>
      </c>
      <c r="F412">
        <v>32</v>
      </c>
      <c r="G412" t="s">
        <v>90</v>
      </c>
      <c r="H412" t="s">
        <v>31</v>
      </c>
      <c r="I412" t="s">
        <v>90</v>
      </c>
      <c r="J412" t="s">
        <v>53</v>
      </c>
      <c r="K412">
        <v>2</v>
      </c>
      <c r="L412">
        <v>32677</v>
      </c>
      <c r="M412">
        <v>10</v>
      </c>
      <c r="N412">
        <v>6535.4</v>
      </c>
      <c r="O412">
        <v>10587.35</v>
      </c>
      <c r="P412">
        <v>159</v>
      </c>
      <c r="Q412">
        <v>69564.95</v>
      </c>
      <c r="R412" t="s">
        <v>83</v>
      </c>
      <c r="S412" t="s">
        <v>34</v>
      </c>
      <c r="T412" t="s">
        <v>35</v>
      </c>
      <c r="U412" t="s">
        <v>36</v>
      </c>
      <c r="V412" t="s">
        <v>37</v>
      </c>
      <c r="W412">
        <v>3</v>
      </c>
      <c r="X412" t="s">
        <v>47</v>
      </c>
      <c r="Y412">
        <v>4</v>
      </c>
      <c r="Z412" t="s">
        <v>39</v>
      </c>
    </row>
    <row r="413" spans="1:26" x14ac:dyDescent="0.3">
      <c r="A413" t="s">
        <v>833</v>
      </c>
      <c r="B413" s="2">
        <v>45768</v>
      </c>
      <c r="C413" t="s">
        <v>834</v>
      </c>
      <c r="D413" t="s">
        <v>108</v>
      </c>
      <c r="E413" t="s">
        <v>29</v>
      </c>
      <c r="F413">
        <v>21</v>
      </c>
      <c r="G413" t="s">
        <v>51</v>
      </c>
      <c r="H413" t="s">
        <v>52</v>
      </c>
      <c r="I413" t="s">
        <v>51</v>
      </c>
      <c r="J413" t="s">
        <v>69</v>
      </c>
      <c r="K413">
        <v>2</v>
      </c>
      <c r="L413">
        <v>31723</v>
      </c>
      <c r="M413">
        <v>15</v>
      </c>
      <c r="N413">
        <v>9516.9</v>
      </c>
      <c r="O413">
        <v>9707.24</v>
      </c>
      <c r="P413">
        <v>178</v>
      </c>
      <c r="Q413">
        <v>63814.34</v>
      </c>
      <c r="R413" t="s">
        <v>45</v>
      </c>
      <c r="S413" t="s">
        <v>63</v>
      </c>
      <c r="T413" t="s">
        <v>95</v>
      </c>
      <c r="U413" t="s">
        <v>96</v>
      </c>
      <c r="V413" t="s">
        <v>57</v>
      </c>
      <c r="W413">
        <v>2</v>
      </c>
      <c r="X413" t="s">
        <v>38</v>
      </c>
      <c r="Y413">
        <v>2</v>
      </c>
      <c r="Z413" t="s">
        <v>47</v>
      </c>
    </row>
    <row r="414" spans="1:26" x14ac:dyDescent="0.3">
      <c r="A414" t="s">
        <v>835</v>
      </c>
      <c r="B414" s="2">
        <v>45836</v>
      </c>
      <c r="C414" t="s">
        <v>427</v>
      </c>
      <c r="D414" t="s">
        <v>42</v>
      </c>
      <c r="E414" t="s">
        <v>43</v>
      </c>
      <c r="F414">
        <v>18</v>
      </c>
      <c r="G414" t="s">
        <v>90</v>
      </c>
      <c r="H414" t="s">
        <v>31</v>
      </c>
      <c r="I414" t="s">
        <v>90</v>
      </c>
      <c r="J414" t="s">
        <v>102</v>
      </c>
      <c r="K414">
        <v>3</v>
      </c>
      <c r="L414">
        <v>32699</v>
      </c>
      <c r="M414">
        <v>15</v>
      </c>
      <c r="N414">
        <v>14714.55</v>
      </c>
      <c r="O414">
        <v>15008.84</v>
      </c>
      <c r="P414">
        <v>232</v>
      </c>
      <c r="Q414">
        <v>98623.29</v>
      </c>
      <c r="R414" t="s">
        <v>83</v>
      </c>
      <c r="S414" t="s">
        <v>34</v>
      </c>
      <c r="T414" t="s">
        <v>84</v>
      </c>
      <c r="U414" t="s">
        <v>85</v>
      </c>
      <c r="V414" t="s">
        <v>86</v>
      </c>
      <c r="W414">
        <v>4</v>
      </c>
      <c r="X414" t="s">
        <v>38</v>
      </c>
      <c r="Y414">
        <v>1</v>
      </c>
      <c r="Z414" t="s">
        <v>91</v>
      </c>
    </row>
    <row r="415" spans="1:26" x14ac:dyDescent="0.3">
      <c r="A415" t="s">
        <v>836</v>
      </c>
      <c r="B415" s="2">
        <v>45955</v>
      </c>
      <c r="C415" t="s">
        <v>650</v>
      </c>
      <c r="D415" t="s">
        <v>73</v>
      </c>
      <c r="E415" t="s">
        <v>43</v>
      </c>
      <c r="F415">
        <v>40</v>
      </c>
      <c r="G415" t="s">
        <v>67</v>
      </c>
      <c r="H415" t="s">
        <v>68</v>
      </c>
      <c r="I415" t="s">
        <v>67</v>
      </c>
      <c r="J415" t="s">
        <v>125</v>
      </c>
      <c r="K415">
        <v>5</v>
      </c>
      <c r="L415">
        <v>13093</v>
      </c>
      <c r="M415">
        <v>15</v>
      </c>
      <c r="N415">
        <v>9819.75</v>
      </c>
      <c r="O415">
        <v>10016.15</v>
      </c>
      <c r="P415">
        <v>119</v>
      </c>
      <c r="Q415">
        <v>65780.399999999994</v>
      </c>
      <c r="R415" t="s">
        <v>45</v>
      </c>
      <c r="S415" t="s">
        <v>34</v>
      </c>
      <c r="T415" t="s">
        <v>35</v>
      </c>
      <c r="U415" t="s">
        <v>36</v>
      </c>
      <c r="V415" t="s">
        <v>37</v>
      </c>
      <c r="W415">
        <v>9</v>
      </c>
      <c r="X415" t="s">
        <v>47</v>
      </c>
      <c r="Y415">
        <v>2</v>
      </c>
      <c r="Z415" t="s">
        <v>47</v>
      </c>
    </row>
    <row r="416" spans="1:26" x14ac:dyDescent="0.3">
      <c r="A416" t="s">
        <v>837</v>
      </c>
      <c r="B416" s="2">
        <v>45889</v>
      </c>
      <c r="C416" t="s">
        <v>838</v>
      </c>
      <c r="D416" t="s">
        <v>89</v>
      </c>
      <c r="E416" t="s">
        <v>29</v>
      </c>
      <c r="F416">
        <v>44</v>
      </c>
      <c r="G416" t="s">
        <v>139</v>
      </c>
      <c r="H416" t="s">
        <v>31</v>
      </c>
      <c r="I416" t="s">
        <v>139</v>
      </c>
      <c r="J416" t="s">
        <v>69</v>
      </c>
      <c r="K416">
        <v>1</v>
      </c>
      <c r="L416">
        <v>29058</v>
      </c>
      <c r="M416">
        <v>15</v>
      </c>
      <c r="N416">
        <v>4358.7</v>
      </c>
      <c r="O416">
        <v>4445.87</v>
      </c>
      <c r="P416">
        <v>483</v>
      </c>
      <c r="Q416">
        <v>29628.17</v>
      </c>
      <c r="R416" t="s">
        <v>33</v>
      </c>
      <c r="S416" t="s">
        <v>63</v>
      </c>
      <c r="T416" t="s">
        <v>70</v>
      </c>
      <c r="U416" t="s">
        <v>56</v>
      </c>
      <c r="V416" t="s">
        <v>57</v>
      </c>
      <c r="W416">
        <v>4</v>
      </c>
      <c r="X416" t="s">
        <v>47</v>
      </c>
      <c r="Y416">
        <v>2</v>
      </c>
      <c r="Z416" t="s">
        <v>58</v>
      </c>
    </row>
    <row r="417" spans="1:26" x14ac:dyDescent="0.3">
      <c r="A417" t="s">
        <v>839</v>
      </c>
      <c r="B417" s="2">
        <v>46085</v>
      </c>
      <c r="C417" t="s">
        <v>840</v>
      </c>
      <c r="D417" t="s">
        <v>50</v>
      </c>
      <c r="E417" t="s">
        <v>29</v>
      </c>
      <c r="F417">
        <v>34</v>
      </c>
      <c r="G417" t="s">
        <v>90</v>
      </c>
      <c r="H417" t="s">
        <v>31</v>
      </c>
      <c r="I417" t="s">
        <v>90</v>
      </c>
      <c r="J417" t="s">
        <v>112</v>
      </c>
      <c r="K417">
        <v>4</v>
      </c>
      <c r="L417">
        <v>893</v>
      </c>
      <c r="M417">
        <v>15</v>
      </c>
      <c r="N417">
        <v>535.79999999999995</v>
      </c>
      <c r="O417">
        <v>546.52</v>
      </c>
      <c r="P417">
        <v>235</v>
      </c>
      <c r="Q417">
        <v>3817.72</v>
      </c>
      <c r="R417" t="s">
        <v>45</v>
      </c>
      <c r="S417" t="s">
        <v>63</v>
      </c>
      <c r="T417" t="s">
        <v>95</v>
      </c>
      <c r="U417" t="s">
        <v>96</v>
      </c>
      <c r="V417" t="s">
        <v>57</v>
      </c>
      <c r="W417">
        <v>3</v>
      </c>
      <c r="X417" t="s">
        <v>38</v>
      </c>
      <c r="Y417">
        <v>5</v>
      </c>
      <c r="Z417" t="s">
        <v>58</v>
      </c>
    </row>
    <row r="418" spans="1:26" x14ac:dyDescent="0.3">
      <c r="A418" t="s">
        <v>841</v>
      </c>
      <c r="B418" s="2">
        <v>46012</v>
      </c>
      <c r="C418" t="s">
        <v>553</v>
      </c>
      <c r="D418" t="s">
        <v>89</v>
      </c>
      <c r="E418" t="s">
        <v>29</v>
      </c>
      <c r="F418">
        <v>43</v>
      </c>
      <c r="G418" t="s">
        <v>51</v>
      </c>
      <c r="H418" t="s">
        <v>52</v>
      </c>
      <c r="I418" t="s">
        <v>51</v>
      </c>
      <c r="J418" t="s">
        <v>62</v>
      </c>
      <c r="K418">
        <v>2</v>
      </c>
      <c r="L418">
        <v>30884</v>
      </c>
      <c r="M418">
        <v>15</v>
      </c>
      <c r="N418">
        <v>9265.2000000000007</v>
      </c>
      <c r="O418">
        <v>9450.5</v>
      </c>
      <c r="P418">
        <v>377</v>
      </c>
      <c r="Q418">
        <v>62330.3</v>
      </c>
      <c r="R418" t="s">
        <v>54</v>
      </c>
      <c r="S418" t="s">
        <v>34</v>
      </c>
      <c r="T418" t="s">
        <v>55</v>
      </c>
      <c r="U418" t="s">
        <v>56</v>
      </c>
      <c r="V418" t="s">
        <v>57</v>
      </c>
      <c r="W418">
        <v>4</v>
      </c>
      <c r="X418" t="s">
        <v>38</v>
      </c>
      <c r="Y418">
        <v>5</v>
      </c>
      <c r="Z418" t="s">
        <v>58</v>
      </c>
    </row>
    <row r="419" spans="1:26" x14ac:dyDescent="0.3">
      <c r="A419" t="s">
        <v>842</v>
      </c>
      <c r="B419" s="2">
        <v>46053</v>
      </c>
      <c r="C419" t="s">
        <v>120</v>
      </c>
      <c r="D419" t="s">
        <v>61</v>
      </c>
      <c r="E419" t="s">
        <v>29</v>
      </c>
      <c r="F419">
        <v>32</v>
      </c>
      <c r="G419" t="s">
        <v>94</v>
      </c>
      <c r="H419" t="s">
        <v>31</v>
      </c>
      <c r="I419" t="s">
        <v>94</v>
      </c>
      <c r="J419" t="s">
        <v>102</v>
      </c>
      <c r="K419">
        <v>1</v>
      </c>
      <c r="L419">
        <v>18649</v>
      </c>
      <c r="M419">
        <v>10</v>
      </c>
      <c r="N419">
        <v>1864.9</v>
      </c>
      <c r="O419">
        <v>3021.14</v>
      </c>
      <c r="P419">
        <v>223</v>
      </c>
      <c r="Q419">
        <v>20028.240000000002</v>
      </c>
      <c r="R419" t="s">
        <v>33</v>
      </c>
      <c r="S419" t="s">
        <v>63</v>
      </c>
      <c r="T419" t="s">
        <v>103</v>
      </c>
      <c r="U419" t="s">
        <v>103</v>
      </c>
      <c r="V419" t="s">
        <v>57</v>
      </c>
      <c r="W419">
        <v>2</v>
      </c>
      <c r="X419" t="s">
        <v>47</v>
      </c>
      <c r="Y419">
        <v>2</v>
      </c>
      <c r="Z419" t="s">
        <v>58</v>
      </c>
    </row>
    <row r="420" spans="1:26" x14ac:dyDescent="0.3">
      <c r="A420" t="s">
        <v>843</v>
      </c>
      <c r="B420" s="2">
        <v>45758</v>
      </c>
      <c r="C420" t="s">
        <v>844</v>
      </c>
      <c r="D420" t="s">
        <v>28</v>
      </c>
      <c r="E420" t="s">
        <v>43</v>
      </c>
      <c r="F420">
        <v>57</v>
      </c>
      <c r="G420" t="s">
        <v>30</v>
      </c>
      <c r="H420" t="s">
        <v>31</v>
      </c>
      <c r="I420" t="s">
        <v>30</v>
      </c>
      <c r="J420" t="s">
        <v>75</v>
      </c>
      <c r="K420">
        <v>4</v>
      </c>
      <c r="L420">
        <v>25831</v>
      </c>
      <c r="M420">
        <v>0</v>
      </c>
      <c r="N420">
        <v>0</v>
      </c>
      <c r="O420">
        <v>18598.32</v>
      </c>
      <c r="P420">
        <v>290</v>
      </c>
      <c r="Q420">
        <v>122212.32</v>
      </c>
      <c r="R420" t="s">
        <v>54</v>
      </c>
      <c r="S420" t="s">
        <v>63</v>
      </c>
      <c r="T420" t="s">
        <v>46</v>
      </c>
      <c r="U420" t="s">
        <v>36</v>
      </c>
      <c r="V420" t="s">
        <v>37</v>
      </c>
      <c r="W420">
        <v>9</v>
      </c>
      <c r="X420" t="s">
        <v>38</v>
      </c>
      <c r="Y420">
        <v>5</v>
      </c>
      <c r="Z420" t="s">
        <v>58</v>
      </c>
    </row>
    <row r="421" spans="1:26" x14ac:dyDescent="0.3">
      <c r="A421" t="s">
        <v>845</v>
      </c>
      <c r="B421" s="2">
        <v>45876</v>
      </c>
      <c r="C421" t="s">
        <v>846</v>
      </c>
      <c r="D421" t="s">
        <v>111</v>
      </c>
      <c r="E421" t="s">
        <v>43</v>
      </c>
      <c r="F421">
        <v>22</v>
      </c>
      <c r="G421" t="s">
        <v>99</v>
      </c>
      <c r="H421" t="s">
        <v>52</v>
      </c>
      <c r="I421" t="s">
        <v>99</v>
      </c>
      <c r="J421" t="s">
        <v>62</v>
      </c>
      <c r="K421">
        <v>3</v>
      </c>
      <c r="L421">
        <v>5184</v>
      </c>
      <c r="M421">
        <v>10</v>
      </c>
      <c r="N421">
        <v>1555.2</v>
      </c>
      <c r="O421">
        <v>2519.42</v>
      </c>
      <c r="P421">
        <v>384</v>
      </c>
      <c r="Q421">
        <v>16900.22</v>
      </c>
      <c r="R421" t="s">
        <v>33</v>
      </c>
      <c r="S421" t="s">
        <v>63</v>
      </c>
      <c r="T421" t="s">
        <v>70</v>
      </c>
      <c r="U421" t="s">
        <v>56</v>
      </c>
      <c r="V421" t="s">
        <v>57</v>
      </c>
      <c r="W421">
        <v>10</v>
      </c>
      <c r="X421" t="s">
        <v>47</v>
      </c>
      <c r="Y421">
        <v>3</v>
      </c>
      <c r="Z421" t="s">
        <v>91</v>
      </c>
    </row>
    <row r="422" spans="1:26" x14ac:dyDescent="0.3">
      <c r="A422" t="s">
        <v>847</v>
      </c>
      <c r="B422" s="2">
        <v>46108</v>
      </c>
      <c r="C422" t="s">
        <v>848</v>
      </c>
      <c r="D422" t="s">
        <v>50</v>
      </c>
      <c r="E422" t="s">
        <v>29</v>
      </c>
      <c r="F422">
        <v>30</v>
      </c>
      <c r="G422" t="s">
        <v>51</v>
      </c>
      <c r="H422" t="s">
        <v>52</v>
      </c>
      <c r="I422" t="s">
        <v>51</v>
      </c>
      <c r="J422" t="s">
        <v>102</v>
      </c>
      <c r="K422">
        <v>2</v>
      </c>
      <c r="L422">
        <v>6464</v>
      </c>
      <c r="M422">
        <v>5</v>
      </c>
      <c r="N422">
        <v>646.4</v>
      </c>
      <c r="O422">
        <v>2210.69</v>
      </c>
      <c r="P422">
        <v>494</v>
      </c>
      <c r="Q422">
        <v>14986.29</v>
      </c>
      <c r="R422" t="s">
        <v>45</v>
      </c>
      <c r="S422" t="s">
        <v>63</v>
      </c>
      <c r="T422" t="s">
        <v>70</v>
      </c>
      <c r="U422" t="s">
        <v>56</v>
      </c>
      <c r="V422" t="s">
        <v>57</v>
      </c>
      <c r="W422">
        <v>2</v>
      </c>
      <c r="X422" t="s">
        <v>38</v>
      </c>
      <c r="Y422">
        <v>1</v>
      </c>
      <c r="Z422" t="s">
        <v>91</v>
      </c>
    </row>
    <row r="423" spans="1:26" x14ac:dyDescent="0.3">
      <c r="A423" t="s">
        <v>849</v>
      </c>
      <c r="B423" s="2">
        <v>45916</v>
      </c>
      <c r="C423" t="s">
        <v>114</v>
      </c>
      <c r="D423" t="s">
        <v>28</v>
      </c>
      <c r="E423" t="s">
        <v>43</v>
      </c>
      <c r="F423">
        <v>19</v>
      </c>
      <c r="G423" t="s">
        <v>74</v>
      </c>
      <c r="H423" t="s">
        <v>31</v>
      </c>
      <c r="I423" t="s">
        <v>74</v>
      </c>
      <c r="J423" t="s">
        <v>125</v>
      </c>
      <c r="K423">
        <v>1</v>
      </c>
      <c r="L423">
        <v>41930</v>
      </c>
      <c r="M423">
        <v>20</v>
      </c>
      <c r="N423">
        <v>8386</v>
      </c>
      <c r="O423">
        <v>6037.92</v>
      </c>
      <c r="P423">
        <v>39</v>
      </c>
      <c r="Q423">
        <v>39620.92</v>
      </c>
      <c r="R423" t="s">
        <v>83</v>
      </c>
      <c r="S423" t="s">
        <v>63</v>
      </c>
      <c r="T423" t="s">
        <v>95</v>
      </c>
      <c r="U423" t="s">
        <v>96</v>
      </c>
      <c r="V423" t="s">
        <v>57</v>
      </c>
      <c r="W423">
        <v>1</v>
      </c>
      <c r="X423" t="s">
        <v>38</v>
      </c>
      <c r="Y423">
        <v>3</v>
      </c>
      <c r="Z423" t="s">
        <v>58</v>
      </c>
    </row>
    <row r="424" spans="1:26" x14ac:dyDescent="0.3">
      <c r="A424" t="s">
        <v>850</v>
      </c>
      <c r="B424" s="2">
        <v>46027</v>
      </c>
      <c r="C424" t="s">
        <v>851</v>
      </c>
      <c r="D424" t="s">
        <v>61</v>
      </c>
      <c r="E424" t="s">
        <v>29</v>
      </c>
      <c r="F424">
        <v>30</v>
      </c>
      <c r="G424" t="s">
        <v>99</v>
      </c>
      <c r="H424" t="s">
        <v>52</v>
      </c>
      <c r="I424" t="s">
        <v>99</v>
      </c>
      <c r="J424" t="s">
        <v>150</v>
      </c>
      <c r="K424">
        <v>2</v>
      </c>
      <c r="L424">
        <v>602</v>
      </c>
      <c r="M424">
        <v>5</v>
      </c>
      <c r="N424">
        <v>60.2</v>
      </c>
      <c r="O424">
        <v>205.88</v>
      </c>
      <c r="P424">
        <v>330</v>
      </c>
      <c r="Q424">
        <v>1679.68</v>
      </c>
      <c r="R424" t="s">
        <v>33</v>
      </c>
      <c r="S424" t="s">
        <v>63</v>
      </c>
      <c r="T424" t="s">
        <v>46</v>
      </c>
      <c r="U424" t="s">
        <v>36</v>
      </c>
      <c r="V424" t="s">
        <v>37</v>
      </c>
      <c r="W424">
        <v>4</v>
      </c>
      <c r="X424" t="s">
        <v>47</v>
      </c>
      <c r="Y424">
        <v>3</v>
      </c>
      <c r="Z424" t="s">
        <v>39</v>
      </c>
    </row>
    <row r="425" spans="1:26" x14ac:dyDescent="0.3">
      <c r="A425" t="s">
        <v>852</v>
      </c>
      <c r="B425" s="2">
        <v>45928</v>
      </c>
      <c r="C425" t="s">
        <v>853</v>
      </c>
      <c r="D425" t="s">
        <v>111</v>
      </c>
      <c r="E425" t="s">
        <v>29</v>
      </c>
      <c r="F425">
        <v>44</v>
      </c>
      <c r="G425" t="s">
        <v>67</v>
      </c>
      <c r="H425" t="s">
        <v>68</v>
      </c>
      <c r="I425" t="s">
        <v>67</v>
      </c>
      <c r="J425" t="s">
        <v>150</v>
      </c>
      <c r="K425">
        <v>4</v>
      </c>
      <c r="L425">
        <v>32958</v>
      </c>
      <c r="M425">
        <v>15</v>
      </c>
      <c r="N425">
        <v>19774.8</v>
      </c>
      <c r="O425">
        <v>20170.3</v>
      </c>
      <c r="P425">
        <v>359</v>
      </c>
      <c r="Q425">
        <v>132586.5</v>
      </c>
      <c r="R425" t="s">
        <v>33</v>
      </c>
      <c r="S425" t="s">
        <v>63</v>
      </c>
      <c r="T425" t="s">
        <v>103</v>
      </c>
      <c r="U425" t="s">
        <v>103</v>
      </c>
      <c r="V425" t="s">
        <v>57</v>
      </c>
      <c r="W425">
        <v>4</v>
      </c>
      <c r="X425" t="s">
        <v>38</v>
      </c>
      <c r="Y425">
        <v>3</v>
      </c>
      <c r="Z425" t="s">
        <v>47</v>
      </c>
    </row>
    <row r="426" spans="1:26" x14ac:dyDescent="0.3">
      <c r="A426" t="s">
        <v>854</v>
      </c>
      <c r="B426" s="2">
        <v>45836</v>
      </c>
      <c r="C426" t="s">
        <v>855</v>
      </c>
      <c r="D426" t="s">
        <v>66</v>
      </c>
      <c r="E426" t="s">
        <v>29</v>
      </c>
      <c r="F426">
        <v>29</v>
      </c>
      <c r="G426" t="s">
        <v>30</v>
      </c>
      <c r="H426" t="s">
        <v>31</v>
      </c>
      <c r="I426" t="s">
        <v>30</v>
      </c>
      <c r="J426" t="s">
        <v>32</v>
      </c>
      <c r="K426">
        <v>1</v>
      </c>
      <c r="L426">
        <v>22795</v>
      </c>
      <c r="M426">
        <v>20</v>
      </c>
      <c r="N426">
        <v>4559</v>
      </c>
      <c r="O426">
        <v>3282.48</v>
      </c>
      <c r="P426">
        <v>408</v>
      </c>
      <c r="Q426">
        <v>21926.48</v>
      </c>
      <c r="R426" t="s">
        <v>45</v>
      </c>
      <c r="S426" t="s">
        <v>63</v>
      </c>
      <c r="T426" t="s">
        <v>84</v>
      </c>
      <c r="U426" t="s">
        <v>85</v>
      </c>
      <c r="V426" t="s">
        <v>86</v>
      </c>
      <c r="W426">
        <v>10</v>
      </c>
      <c r="X426" t="s">
        <v>38</v>
      </c>
      <c r="Y426">
        <v>1</v>
      </c>
      <c r="Z426" t="s">
        <v>39</v>
      </c>
    </row>
    <row r="427" spans="1:26" x14ac:dyDescent="0.3">
      <c r="A427" t="s">
        <v>856</v>
      </c>
      <c r="B427" s="2">
        <v>45988</v>
      </c>
      <c r="C427" t="s">
        <v>410</v>
      </c>
      <c r="D427" t="s">
        <v>50</v>
      </c>
      <c r="E427" t="s">
        <v>43</v>
      </c>
      <c r="F427">
        <v>34</v>
      </c>
      <c r="G427" t="s">
        <v>134</v>
      </c>
      <c r="H427" t="s">
        <v>31</v>
      </c>
      <c r="I427" t="s">
        <v>134</v>
      </c>
      <c r="J427" t="s">
        <v>69</v>
      </c>
      <c r="K427">
        <v>2</v>
      </c>
      <c r="L427">
        <v>44955</v>
      </c>
      <c r="M427">
        <v>15</v>
      </c>
      <c r="N427">
        <v>13486.5</v>
      </c>
      <c r="O427">
        <v>13756.23</v>
      </c>
      <c r="P427">
        <v>122</v>
      </c>
      <c r="Q427">
        <v>90301.73</v>
      </c>
      <c r="R427" t="s">
        <v>33</v>
      </c>
      <c r="S427" t="s">
        <v>34</v>
      </c>
      <c r="T427" t="s">
        <v>55</v>
      </c>
      <c r="U427" t="s">
        <v>56</v>
      </c>
      <c r="V427" t="s">
        <v>57</v>
      </c>
      <c r="W427">
        <v>2</v>
      </c>
      <c r="X427" t="s">
        <v>38</v>
      </c>
      <c r="Y427">
        <v>3</v>
      </c>
      <c r="Z427" t="s">
        <v>39</v>
      </c>
    </row>
    <row r="428" spans="1:26" x14ac:dyDescent="0.3">
      <c r="A428" t="s">
        <v>857</v>
      </c>
      <c r="B428" s="2">
        <v>46067</v>
      </c>
      <c r="C428" t="s">
        <v>858</v>
      </c>
      <c r="D428" t="s">
        <v>73</v>
      </c>
      <c r="E428" t="s">
        <v>29</v>
      </c>
      <c r="F428">
        <v>32</v>
      </c>
      <c r="G428" t="s">
        <v>99</v>
      </c>
      <c r="H428" t="s">
        <v>52</v>
      </c>
      <c r="I428" t="s">
        <v>99</v>
      </c>
      <c r="J428" t="s">
        <v>69</v>
      </c>
      <c r="K428">
        <v>3</v>
      </c>
      <c r="L428">
        <v>29894</v>
      </c>
      <c r="M428">
        <v>5</v>
      </c>
      <c r="N428">
        <v>4484.1000000000004</v>
      </c>
      <c r="O428">
        <v>15335.62</v>
      </c>
      <c r="P428">
        <v>374</v>
      </c>
      <c r="Q428">
        <v>100907.52</v>
      </c>
      <c r="R428" t="s">
        <v>45</v>
      </c>
      <c r="S428" t="s">
        <v>34</v>
      </c>
      <c r="T428" t="s">
        <v>46</v>
      </c>
      <c r="U428" t="s">
        <v>36</v>
      </c>
      <c r="V428" t="s">
        <v>37</v>
      </c>
      <c r="W428">
        <v>2</v>
      </c>
      <c r="X428" t="s">
        <v>38</v>
      </c>
      <c r="Y428">
        <v>4</v>
      </c>
      <c r="Z428" t="s">
        <v>39</v>
      </c>
    </row>
    <row r="429" spans="1:26" x14ac:dyDescent="0.3">
      <c r="A429" t="s">
        <v>859</v>
      </c>
      <c r="B429" s="2">
        <v>46002</v>
      </c>
      <c r="C429" t="s">
        <v>860</v>
      </c>
      <c r="D429" t="s">
        <v>28</v>
      </c>
      <c r="E429" t="s">
        <v>29</v>
      </c>
      <c r="F429">
        <v>53</v>
      </c>
      <c r="G429" t="s">
        <v>139</v>
      </c>
      <c r="H429" t="s">
        <v>31</v>
      </c>
      <c r="I429" t="s">
        <v>139</v>
      </c>
      <c r="J429" t="s">
        <v>75</v>
      </c>
      <c r="K429">
        <v>1</v>
      </c>
      <c r="L429">
        <v>18999</v>
      </c>
      <c r="M429">
        <v>20</v>
      </c>
      <c r="N429">
        <v>3799.8</v>
      </c>
      <c r="O429">
        <v>2735.86</v>
      </c>
      <c r="P429">
        <v>252</v>
      </c>
      <c r="Q429">
        <v>18187.060000000001</v>
      </c>
      <c r="R429" t="s">
        <v>54</v>
      </c>
      <c r="S429" t="s">
        <v>34</v>
      </c>
      <c r="T429" t="s">
        <v>70</v>
      </c>
      <c r="U429" t="s">
        <v>56</v>
      </c>
      <c r="V429" t="s">
        <v>57</v>
      </c>
      <c r="W429">
        <v>1</v>
      </c>
      <c r="X429" t="s">
        <v>47</v>
      </c>
      <c r="Y429">
        <v>5</v>
      </c>
      <c r="Z429" t="s">
        <v>47</v>
      </c>
    </row>
    <row r="430" spans="1:26" x14ac:dyDescent="0.3">
      <c r="A430" t="s">
        <v>861</v>
      </c>
      <c r="B430" s="2">
        <v>45886</v>
      </c>
      <c r="C430" t="s">
        <v>855</v>
      </c>
      <c r="D430" t="s">
        <v>28</v>
      </c>
      <c r="E430" t="s">
        <v>29</v>
      </c>
      <c r="F430">
        <v>20</v>
      </c>
      <c r="G430" t="s">
        <v>51</v>
      </c>
      <c r="H430" t="s">
        <v>52</v>
      </c>
      <c r="I430" t="s">
        <v>51</v>
      </c>
      <c r="J430" t="s">
        <v>53</v>
      </c>
      <c r="K430">
        <v>2</v>
      </c>
      <c r="L430">
        <v>5211</v>
      </c>
      <c r="M430">
        <v>10</v>
      </c>
      <c r="N430">
        <v>1042.2</v>
      </c>
      <c r="O430">
        <v>1688.36</v>
      </c>
      <c r="P430">
        <v>185</v>
      </c>
      <c r="Q430">
        <v>11253.16</v>
      </c>
      <c r="R430" t="s">
        <v>54</v>
      </c>
      <c r="S430" t="s">
        <v>63</v>
      </c>
      <c r="T430" t="s">
        <v>95</v>
      </c>
      <c r="U430" t="s">
        <v>96</v>
      </c>
      <c r="V430" t="s">
        <v>57</v>
      </c>
      <c r="W430">
        <v>2</v>
      </c>
      <c r="X430" t="s">
        <v>38</v>
      </c>
      <c r="Y430">
        <v>3</v>
      </c>
      <c r="Z430" t="s">
        <v>91</v>
      </c>
    </row>
    <row r="431" spans="1:26" x14ac:dyDescent="0.3">
      <c r="A431" t="s">
        <v>862</v>
      </c>
      <c r="B431" s="2">
        <v>45899</v>
      </c>
      <c r="C431" t="s">
        <v>863</v>
      </c>
      <c r="D431" t="s">
        <v>42</v>
      </c>
      <c r="E431" t="s">
        <v>43</v>
      </c>
      <c r="F431">
        <v>26</v>
      </c>
      <c r="G431" t="s">
        <v>134</v>
      </c>
      <c r="H431" t="s">
        <v>31</v>
      </c>
      <c r="I431" t="s">
        <v>134</v>
      </c>
      <c r="J431" t="s">
        <v>62</v>
      </c>
      <c r="K431">
        <v>2</v>
      </c>
      <c r="L431">
        <v>35117</v>
      </c>
      <c r="M431">
        <v>20</v>
      </c>
      <c r="N431">
        <v>14046.8</v>
      </c>
      <c r="O431">
        <v>10113.700000000001</v>
      </c>
      <c r="P431">
        <v>188</v>
      </c>
      <c r="Q431">
        <v>66488.899999999994</v>
      </c>
      <c r="R431" t="s">
        <v>33</v>
      </c>
      <c r="S431" t="s">
        <v>34</v>
      </c>
      <c r="T431" t="s">
        <v>84</v>
      </c>
      <c r="U431" t="s">
        <v>85</v>
      </c>
      <c r="V431" t="s">
        <v>86</v>
      </c>
      <c r="W431">
        <v>8</v>
      </c>
      <c r="X431" t="s">
        <v>38</v>
      </c>
      <c r="Y431">
        <v>5</v>
      </c>
      <c r="Z431" t="s">
        <v>47</v>
      </c>
    </row>
    <row r="432" spans="1:26" x14ac:dyDescent="0.3">
      <c r="A432" t="s">
        <v>864</v>
      </c>
      <c r="B432" s="2">
        <v>46010</v>
      </c>
      <c r="C432" t="s">
        <v>865</v>
      </c>
      <c r="D432" t="s">
        <v>28</v>
      </c>
      <c r="E432" t="s">
        <v>43</v>
      </c>
      <c r="F432">
        <v>22</v>
      </c>
      <c r="G432" t="s">
        <v>30</v>
      </c>
      <c r="H432" t="s">
        <v>31</v>
      </c>
      <c r="I432" t="s">
        <v>30</v>
      </c>
      <c r="J432" t="s">
        <v>102</v>
      </c>
      <c r="K432">
        <v>5</v>
      </c>
      <c r="L432">
        <v>49331</v>
      </c>
      <c r="M432">
        <v>10</v>
      </c>
      <c r="N432">
        <v>24665.5</v>
      </c>
      <c r="O432">
        <v>39958.11</v>
      </c>
      <c r="P432">
        <v>272</v>
      </c>
      <c r="Q432">
        <v>262219.61</v>
      </c>
      <c r="R432" t="s">
        <v>45</v>
      </c>
      <c r="S432" t="s">
        <v>63</v>
      </c>
      <c r="T432" t="s">
        <v>103</v>
      </c>
      <c r="U432" t="s">
        <v>103</v>
      </c>
      <c r="V432" t="s">
        <v>57</v>
      </c>
      <c r="W432">
        <v>6</v>
      </c>
      <c r="X432" t="s">
        <v>38</v>
      </c>
      <c r="Y432">
        <v>2</v>
      </c>
      <c r="Z432" t="s">
        <v>39</v>
      </c>
    </row>
    <row r="433" spans="1:26" x14ac:dyDescent="0.3">
      <c r="A433" t="s">
        <v>866</v>
      </c>
      <c r="B433" s="2">
        <v>46103</v>
      </c>
      <c r="C433" t="s">
        <v>867</v>
      </c>
      <c r="D433" t="s">
        <v>61</v>
      </c>
      <c r="E433" t="s">
        <v>29</v>
      </c>
      <c r="F433">
        <v>22</v>
      </c>
      <c r="G433" t="s">
        <v>139</v>
      </c>
      <c r="H433" t="s">
        <v>31</v>
      </c>
      <c r="I433" t="s">
        <v>139</v>
      </c>
      <c r="J433" t="s">
        <v>112</v>
      </c>
      <c r="K433">
        <v>4</v>
      </c>
      <c r="L433">
        <v>41823</v>
      </c>
      <c r="M433">
        <v>5</v>
      </c>
      <c r="N433">
        <v>8364.6</v>
      </c>
      <c r="O433">
        <v>28606.93</v>
      </c>
      <c r="P433">
        <v>269</v>
      </c>
      <c r="Q433">
        <v>187803.33</v>
      </c>
      <c r="R433" t="s">
        <v>83</v>
      </c>
      <c r="S433" t="s">
        <v>34</v>
      </c>
      <c r="T433" t="s">
        <v>84</v>
      </c>
      <c r="U433" t="s">
        <v>85</v>
      </c>
      <c r="V433" t="s">
        <v>86</v>
      </c>
      <c r="W433">
        <v>3</v>
      </c>
      <c r="X433" t="s">
        <v>47</v>
      </c>
      <c r="Y433">
        <v>5</v>
      </c>
      <c r="Z433" t="s">
        <v>47</v>
      </c>
    </row>
    <row r="434" spans="1:26" x14ac:dyDescent="0.3">
      <c r="A434" t="s">
        <v>868</v>
      </c>
      <c r="B434" s="2">
        <v>46009</v>
      </c>
      <c r="C434" t="s">
        <v>174</v>
      </c>
      <c r="D434" t="s">
        <v>89</v>
      </c>
      <c r="E434" t="s">
        <v>43</v>
      </c>
      <c r="F434">
        <v>60</v>
      </c>
      <c r="G434" t="s">
        <v>74</v>
      </c>
      <c r="H434" t="s">
        <v>31</v>
      </c>
      <c r="I434" t="s">
        <v>74</v>
      </c>
      <c r="J434" t="s">
        <v>125</v>
      </c>
      <c r="K434">
        <v>2</v>
      </c>
      <c r="L434">
        <v>34809</v>
      </c>
      <c r="M434">
        <v>15</v>
      </c>
      <c r="N434">
        <v>10442.700000000001</v>
      </c>
      <c r="O434">
        <v>10651.55</v>
      </c>
      <c r="P434">
        <v>154</v>
      </c>
      <c r="Q434">
        <v>69980.850000000006</v>
      </c>
      <c r="R434" t="s">
        <v>33</v>
      </c>
      <c r="S434" t="s">
        <v>63</v>
      </c>
      <c r="T434" t="s">
        <v>70</v>
      </c>
      <c r="U434" t="s">
        <v>56</v>
      </c>
      <c r="V434" t="s">
        <v>57</v>
      </c>
      <c r="W434">
        <v>8</v>
      </c>
      <c r="X434" t="s">
        <v>38</v>
      </c>
      <c r="Y434">
        <v>5</v>
      </c>
      <c r="Z434" t="s">
        <v>47</v>
      </c>
    </row>
    <row r="435" spans="1:26" x14ac:dyDescent="0.3">
      <c r="A435" t="s">
        <v>869</v>
      </c>
      <c r="B435" s="2">
        <v>45784</v>
      </c>
      <c r="C435" t="s">
        <v>870</v>
      </c>
      <c r="D435" t="s">
        <v>80</v>
      </c>
      <c r="E435" t="s">
        <v>29</v>
      </c>
      <c r="F435">
        <v>50</v>
      </c>
      <c r="G435" t="s">
        <v>74</v>
      </c>
      <c r="H435" t="s">
        <v>31</v>
      </c>
      <c r="I435" t="s">
        <v>74</v>
      </c>
      <c r="J435" t="s">
        <v>102</v>
      </c>
      <c r="K435">
        <v>3</v>
      </c>
      <c r="L435">
        <v>4209</v>
      </c>
      <c r="M435">
        <v>10</v>
      </c>
      <c r="N435">
        <v>1262.7</v>
      </c>
      <c r="O435">
        <v>2045.57</v>
      </c>
      <c r="P435">
        <v>362</v>
      </c>
      <c r="Q435">
        <v>13771.87</v>
      </c>
      <c r="R435" t="s">
        <v>33</v>
      </c>
      <c r="S435" t="s">
        <v>34</v>
      </c>
      <c r="T435" t="s">
        <v>55</v>
      </c>
      <c r="U435" t="s">
        <v>56</v>
      </c>
      <c r="V435" t="s">
        <v>57</v>
      </c>
      <c r="W435">
        <v>9</v>
      </c>
      <c r="X435" t="s">
        <v>47</v>
      </c>
      <c r="Y435">
        <v>4</v>
      </c>
      <c r="Z435" t="s">
        <v>91</v>
      </c>
    </row>
    <row r="436" spans="1:26" x14ac:dyDescent="0.3">
      <c r="A436" t="s">
        <v>871</v>
      </c>
      <c r="B436" s="2">
        <v>46083</v>
      </c>
      <c r="C436" t="s">
        <v>872</v>
      </c>
      <c r="D436" t="s">
        <v>42</v>
      </c>
      <c r="E436" t="s">
        <v>43</v>
      </c>
      <c r="F436">
        <v>44</v>
      </c>
      <c r="G436" t="s">
        <v>44</v>
      </c>
      <c r="H436" t="s">
        <v>31</v>
      </c>
      <c r="I436" t="s">
        <v>44</v>
      </c>
      <c r="J436" t="s">
        <v>75</v>
      </c>
      <c r="K436">
        <v>1</v>
      </c>
      <c r="L436">
        <v>42001</v>
      </c>
      <c r="M436">
        <v>5</v>
      </c>
      <c r="N436">
        <v>2100.0500000000002</v>
      </c>
      <c r="O436">
        <v>7182.17</v>
      </c>
      <c r="P436">
        <v>105</v>
      </c>
      <c r="Q436">
        <v>47188.12</v>
      </c>
      <c r="R436" t="s">
        <v>33</v>
      </c>
      <c r="S436" t="s">
        <v>34</v>
      </c>
      <c r="T436" t="s">
        <v>84</v>
      </c>
      <c r="U436" t="s">
        <v>85</v>
      </c>
      <c r="V436" t="s">
        <v>86</v>
      </c>
      <c r="W436">
        <v>2</v>
      </c>
      <c r="X436" t="s">
        <v>38</v>
      </c>
      <c r="Y436">
        <v>4</v>
      </c>
      <c r="Z436" t="s">
        <v>58</v>
      </c>
    </row>
    <row r="437" spans="1:26" x14ac:dyDescent="0.3">
      <c r="A437" t="s">
        <v>873</v>
      </c>
      <c r="B437" s="2">
        <v>45910</v>
      </c>
      <c r="C437" t="s">
        <v>874</v>
      </c>
      <c r="D437" t="s">
        <v>61</v>
      </c>
      <c r="E437" t="s">
        <v>43</v>
      </c>
      <c r="F437">
        <v>18</v>
      </c>
      <c r="G437" t="s">
        <v>94</v>
      </c>
      <c r="H437" t="s">
        <v>31</v>
      </c>
      <c r="I437" t="s">
        <v>94</v>
      </c>
      <c r="J437" t="s">
        <v>53</v>
      </c>
      <c r="K437">
        <v>3</v>
      </c>
      <c r="L437">
        <v>49226</v>
      </c>
      <c r="M437">
        <v>20</v>
      </c>
      <c r="N437">
        <v>29535.599999999999</v>
      </c>
      <c r="O437">
        <v>21265.63</v>
      </c>
      <c r="P437">
        <v>215</v>
      </c>
      <c r="Q437">
        <v>139623.03</v>
      </c>
      <c r="R437" t="s">
        <v>54</v>
      </c>
      <c r="S437" t="s">
        <v>63</v>
      </c>
      <c r="T437" t="s">
        <v>55</v>
      </c>
      <c r="U437" t="s">
        <v>56</v>
      </c>
      <c r="V437" t="s">
        <v>57</v>
      </c>
      <c r="W437">
        <v>7</v>
      </c>
      <c r="X437" t="s">
        <v>47</v>
      </c>
      <c r="Y437">
        <v>5</v>
      </c>
      <c r="Z437" t="s">
        <v>58</v>
      </c>
    </row>
    <row r="438" spans="1:26" x14ac:dyDescent="0.3">
      <c r="A438" t="s">
        <v>875</v>
      </c>
      <c r="B438" s="2">
        <v>45995</v>
      </c>
      <c r="C438" t="s">
        <v>876</v>
      </c>
      <c r="D438" t="s">
        <v>80</v>
      </c>
      <c r="E438" t="s">
        <v>29</v>
      </c>
      <c r="F438">
        <v>21</v>
      </c>
      <c r="G438" t="s">
        <v>90</v>
      </c>
      <c r="H438" t="s">
        <v>31</v>
      </c>
      <c r="I438" t="s">
        <v>90</v>
      </c>
      <c r="J438" t="s">
        <v>69</v>
      </c>
      <c r="K438">
        <v>1</v>
      </c>
      <c r="L438">
        <v>5104</v>
      </c>
      <c r="M438">
        <v>20</v>
      </c>
      <c r="N438">
        <v>1020.8</v>
      </c>
      <c r="O438">
        <v>734.98</v>
      </c>
      <c r="P438">
        <v>17</v>
      </c>
      <c r="Q438">
        <v>4835.18</v>
      </c>
      <c r="R438" t="s">
        <v>33</v>
      </c>
      <c r="S438" t="s">
        <v>34</v>
      </c>
      <c r="T438" t="s">
        <v>55</v>
      </c>
      <c r="U438" t="s">
        <v>56</v>
      </c>
      <c r="V438" t="s">
        <v>57</v>
      </c>
      <c r="W438">
        <v>2</v>
      </c>
      <c r="X438" t="s">
        <v>47</v>
      </c>
      <c r="Y438">
        <v>5</v>
      </c>
      <c r="Z438" t="s">
        <v>91</v>
      </c>
    </row>
    <row r="439" spans="1:26" x14ac:dyDescent="0.3">
      <c r="A439" t="s">
        <v>877</v>
      </c>
      <c r="B439" s="2">
        <v>45964</v>
      </c>
      <c r="C439" t="s">
        <v>469</v>
      </c>
      <c r="D439" t="s">
        <v>28</v>
      </c>
      <c r="E439" t="s">
        <v>29</v>
      </c>
      <c r="F439">
        <v>38</v>
      </c>
      <c r="G439" t="s">
        <v>139</v>
      </c>
      <c r="H439" t="s">
        <v>31</v>
      </c>
      <c r="I439" t="s">
        <v>139</v>
      </c>
      <c r="J439" t="s">
        <v>62</v>
      </c>
      <c r="K439">
        <v>5</v>
      </c>
      <c r="L439">
        <v>27737</v>
      </c>
      <c r="M439">
        <v>5</v>
      </c>
      <c r="N439">
        <v>6934.25</v>
      </c>
      <c r="O439">
        <v>23715.13</v>
      </c>
      <c r="P439">
        <v>280</v>
      </c>
      <c r="Q439">
        <v>155745.89000000001</v>
      </c>
      <c r="R439" t="s">
        <v>45</v>
      </c>
      <c r="S439" t="s">
        <v>63</v>
      </c>
      <c r="T439" t="s">
        <v>46</v>
      </c>
      <c r="U439" t="s">
        <v>36</v>
      </c>
      <c r="V439" t="s">
        <v>37</v>
      </c>
      <c r="W439">
        <v>1</v>
      </c>
      <c r="X439" t="s">
        <v>47</v>
      </c>
      <c r="Y439">
        <v>3</v>
      </c>
      <c r="Z439" t="s">
        <v>39</v>
      </c>
    </row>
    <row r="440" spans="1:26" x14ac:dyDescent="0.3">
      <c r="A440" t="s">
        <v>878</v>
      </c>
      <c r="B440" s="2">
        <v>45961</v>
      </c>
      <c r="C440" t="s">
        <v>879</v>
      </c>
      <c r="D440" t="s">
        <v>61</v>
      </c>
      <c r="E440" t="s">
        <v>43</v>
      </c>
      <c r="F440">
        <v>31</v>
      </c>
      <c r="G440" t="s">
        <v>30</v>
      </c>
      <c r="H440" t="s">
        <v>31</v>
      </c>
      <c r="I440" t="s">
        <v>30</v>
      </c>
      <c r="J440" t="s">
        <v>69</v>
      </c>
      <c r="K440">
        <v>2</v>
      </c>
      <c r="L440">
        <v>2476</v>
      </c>
      <c r="M440">
        <v>5</v>
      </c>
      <c r="N440">
        <v>247.6</v>
      </c>
      <c r="O440">
        <v>846.79</v>
      </c>
      <c r="P440">
        <v>332</v>
      </c>
      <c r="Q440">
        <v>5883.19</v>
      </c>
      <c r="R440" t="s">
        <v>83</v>
      </c>
      <c r="S440" t="s">
        <v>34</v>
      </c>
      <c r="T440" t="s">
        <v>55</v>
      </c>
      <c r="U440" t="s">
        <v>56</v>
      </c>
      <c r="V440" t="s">
        <v>57</v>
      </c>
      <c r="W440">
        <v>10</v>
      </c>
      <c r="X440" t="s">
        <v>38</v>
      </c>
      <c r="Y440">
        <v>4</v>
      </c>
      <c r="Z440" t="s">
        <v>47</v>
      </c>
    </row>
    <row r="441" spans="1:26" x14ac:dyDescent="0.3">
      <c r="A441" t="s">
        <v>880</v>
      </c>
      <c r="B441" s="2">
        <v>46044</v>
      </c>
      <c r="C441" t="s">
        <v>881</v>
      </c>
      <c r="D441" t="s">
        <v>66</v>
      </c>
      <c r="E441" t="s">
        <v>43</v>
      </c>
      <c r="F441">
        <v>46</v>
      </c>
      <c r="G441" t="s">
        <v>51</v>
      </c>
      <c r="H441" t="s">
        <v>52</v>
      </c>
      <c r="I441" t="s">
        <v>51</v>
      </c>
      <c r="J441" t="s">
        <v>75</v>
      </c>
      <c r="K441">
        <v>5</v>
      </c>
      <c r="L441">
        <v>41823</v>
      </c>
      <c r="M441">
        <v>10</v>
      </c>
      <c r="N441">
        <v>20911.5</v>
      </c>
      <c r="O441">
        <v>33876.629999999997</v>
      </c>
      <c r="P441">
        <v>228</v>
      </c>
      <c r="Q441">
        <v>222308.13</v>
      </c>
      <c r="R441" t="s">
        <v>54</v>
      </c>
      <c r="S441" t="s">
        <v>34</v>
      </c>
      <c r="T441" t="s">
        <v>76</v>
      </c>
      <c r="U441" t="s">
        <v>77</v>
      </c>
      <c r="V441" t="s">
        <v>57</v>
      </c>
      <c r="W441">
        <v>1</v>
      </c>
      <c r="X441" t="s">
        <v>38</v>
      </c>
      <c r="Y441">
        <v>5</v>
      </c>
      <c r="Z441" t="s">
        <v>58</v>
      </c>
    </row>
    <row r="442" spans="1:26" x14ac:dyDescent="0.3">
      <c r="A442" t="s">
        <v>882</v>
      </c>
      <c r="B442" s="2">
        <v>45986</v>
      </c>
      <c r="C442" t="s">
        <v>883</v>
      </c>
      <c r="D442" t="s">
        <v>73</v>
      </c>
      <c r="E442" t="s">
        <v>29</v>
      </c>
      <c r="F442">
        <v>28</v>
      </c>
      <c r="G442" t="s">
        <v>30</v>
      </c>
      <c r="H442" t="s">
        <v>31</v>
      </c>
      <c r="I442" t="s">
        <v>30</v>
      </c>
      <c r="J442" t="s">
        <v>112</v>
      </c>
      <c r="K442">
        <v>4</v>
      </c>
      <c r="L442">
        <v>24006</v>
      </c>
      <c r="M442">
        <v>0</v>
      </c>
      <c r="N442">
        <v>0</v>
      </c>
      <c r="O442">
        <v>17284.32</v>
      </c>
      <c r="P442">
        <v>134</v>
      </c>
      <c r="Q442">
        <v>113442.32</v>
      </c>
      <c r="R442" t="s">
        <v>45</v>
      </c>
      <c r="S442" t="s">
        <v>34</v>
      </c>
      <c r="T442" t="s">
        <v>46</v>
      </c>
      <c r="U442" t="s">
        <v>36</v>
      </c>
      <c r="V442" t="s">
        <v>37</v>
      </c>
      <c r="W442">
        <v>2</v>
      </c>
      <c r="X442" t="s">
        <v>47</v>
      </c>
      <c r="Y442">
        <v>5</v>
      </c>
      <c r="Z442" t="s">
        <v>39</v>
      </c>
    </row>
    <row r="443" spans="1:26" x14ac:dyDescent="0.3">
      <c r="A443" t="s">
        <v>884</v>
      </c>
      <c r="B443" s="2">
        <v>45868</v>
      </c>
      <c r="C443" t="s">
        <v>713</v>
      </c>
      <c r="D443" t="s">
        <v>28</v>
      </c>
      <c r="E443" t="s">
        <v>43</v>
      </c>
      <c r="F443">
        <v>44</v>
      </c>
      <c r="G443" t="s">
        <v>90</v>
      </c>
      <c r="H443" t="s">
        <v>31</v>
      </c>
      <c r="I443" t="s">
        <v>90</v>
      </c>
      <c r="J443" t="s">
        <v>32</v>
      </c>
      <c r="K443">
        <v>5</v>
      </c>
      <c r="L443">
        <v>23260</v>
      </c>
      <c r="M443">
        <v>10</v>
      </c>
      <c r="N443">
        <v>11630</v>
      </c>
      <c r="O443">
        <v>18840.599999999999</v>
      </c>
      <c r="P443">
        <v>403</v>
      </c>
      <c r="Q443">
        <v>123913.60000000001</v>
      </c>
      <c r="R443" t="s">
        <v>83</v>
      </c>
      <c r="S443" t="s">
        <v>34</v>
      </c>
      <c r="T443" t="s">
        <v>70</v>
      </c>
      <c r="U443" t="s">
        <v>56</v>
      </c>
      <c r="V443" t="s">
        <v>57</v>
      </c>
      <c r="W443">
        <v>10</v>
      </c>
      <c r="X443" t="s">
        <v>47</v>
      </c>
      <c r="Y443">
        <v>2</v>
      </c>
      <c r="Z443" t="s">
        <v>58</v>
      </c>
    </row>
    <row r="444" spans="1:26" x14ac:dyDescent="0.3">
      <c r="A444" t="s">
        <v>885</v>
      </c>
      <c r="B444" s="2">
        <v>46020</v>
      </c>
      <c r="C444" t="s">
        <v>886</v>
      </c>
      <c r="D444" t="s">
        <v>42</v>
      </c>
      <c r="E444" t="s">
        <v>43</v>
      </c>
      <c r="F444">
        <v>36</v>
      </c>
      <c r="G444" t="s">
        <v>44</v>
      </c>
      <c r="H444" t="s">
        <v>31</v>
      </c>
      <c r="I444" t="s">
        <v>44</v>
      </c>
      <c r="J444" t="s">
        <v>150</v>
      </c>
      <c r="K444">
        <v>5</v>
      </c>
      <c r="L444">
        <v>3544</v>
      </c>
      <c r="M444">
        <v>0</v>
      </c>
      <c r="N444">
        <v>0</v>
      </c>
      <c r="O444">
        <v>3189.6</v>
      </c>
      <c r="P444">
        <v>294</v>
      </c>
      <c r="Q444">
        <v>21203.599999999999</v>
      </c>
      <c r="R444" t="s">
        <v>33</v>
      </c>
      <c r="S444" t="s">
        <v>63</v>
      </c>
      <c r="T444" t="s">
        <v>84</v>
      </c>
      <c r="U444" t="s">
        <v>85</v>
      </c>
      <c r="V444" t="s">
        <v>86</v>
      </c>
      <c r="W444">
        <v>2</v>
      </c>
      <c r="X444" t="s">
        <v>47</v>
      </c>
      <c r="Y444">
        <v>1</v>
      </c>
      <c r="Z444" t="s">
        <v>91</v>
      </c>
    </row>
    <row r="445" spans="1:26" x14ac:dyDescent="0.3">
      <c r="A445" t="s">
        <v>887</v>
      </c>
      <c r="B445" s="2">
        <v>46023</v>
      </c>
      <c r="C445" t="s">
        <v>888</v>
      </c>
      <c r="D445" t="s">
        <v>89</v>
      </c>
      <c r="E445" t="s">
        <v>43</v>
      </c>
      <c r="F445">
        <v>57</v>
      </c>
      <c r="G445" t="s">
        <v>74</v>
      </c>
      <c r="H445" t="s">
        <v>31</v>
      </c>
      <c r="I445" t="s">
        <v>74</v>
      </c>
      <c r="J445" t="s">
        <v>125</v>
      </c>
      <c r="K445">
        <v>3</v>
      </c>
      <c r="L445">
        <v>45381</v>
      </c>
      <c r="M445">
        <v>15</v>
      </c>
      <c r="N445">
        <v>20421.45</v>
      </c>
      <c r="O445">
        <v>20829.88</v>
      </c>
      <c r="P445">
        <v>110</v>
      </c>
      <c r="Q445">
        <v>136661.43</v>
      </c>
      <c r="R445" t="s">
        <v>54</v>
      </c>
      <c r="S445" t="s">
        <v>34</v>
      </c>
      <c r="T445" t="s">
        <v>95</v>
      </c>
      <c r="U445" t="s">
        <v>96</v>
      </c>
      <c r="V445" t="s">
        <v>57</v>
      </c>
      <c r="W445">
        <v>6</v>
      </c>
      <c r="X445" t="s">
        <v>47</v>
      </c>
      <c r="Y445">
        <v>3</v>
      </c>
      <c r="Z445" t="s">
        <v>47</v>
      </c>
    </row>
    <row r="446" spans="1:26" x14ac:dyDescent="0.3">
      <c r="A446" t="s">
        <v>889</v>
      </c>
      <c r="B446" s="2">
        <v>46010</v>
      </c>
      <c r="C446" t="s">
        <v>890</v>
      </c>
      <c r="D446" t="s">
        <v>28</v>
      </c>
      <c r="E446" t="s">
        <v>29</v>
      </c>
      <c r="F446">
        <v>52</v>
      </c>
      <c r="G446" t="s">
        <v>134</v>
      </c>
      <c r="H446" t="s">
        <v>31</v>
      </c>
      <c r="I446" t="s">
        <v>134</v>
      </c>
      <c r="J446" t="s">
        <v>201</v>
      </c>
      <c r="K446">
        <v>1</v>
      </c>
      <c r="L446">
        <v>12252</v>
      </c>
      <c r="M446">
        <v>5</v>
      </c>
      <c r="N446">
        <v>612.6</v>
      </c>
      <c r="O446">
        <v>2095.09</v>
      </c>
      <c r="P446">
        <v>379</v>
      </c>
      <c r="Q446">
        <v>14113.49</v>
      </c>
      <c r="R446" t="s">
        <v>33</v>
      </c>
      <c r="S446" t="s">
        <v>63</v>
      </c>
      <c r="T446" t="s">
        <v>35</v>
      </c>
      <c r="U446" t="s">
        <v>36</v>
      </c>
      <c r="V446" t="s">
        <v>37</v>
      </c>
      <c r="W446">
        <v>8</v>
      </c>
      <c r="X446" t="s">
        <v>38</v>
      </c>
      <c r="Y446">
        <v>1</v>
      </c>
      <c r="Z446" t="s">
        <v>91</v>
      </c>
    </row>
    <row r="447" spans="1:26" x14ac:dyDescent="0.3">
      <c r="A447" t="s">
        <v>891</v>
      </c>
      <c r="B447" s="2">
        <v>45914</v>
      </c>
      <c r="C447" t="s">
        <v>233</v>
      </c>
      <c r="D447" t="s">
        <v>73</v>
      </c>
      <c r="E447" t="s">
        <v>43</v>
      </c>
      <c r="F447">
        <v>47</v>
      </c>
      <c r="G447" t="s">
        <v>67</v>
      </c>
      <c r="H447" t="s">
        <v>68</v>
      </c>
      <c r="I447" t="s">
        <v>67</v>
      </c>
      <c r="J447" t="s">
        <v>125</v>
      </c>
      <c r="K447">
        <v>4</v>
      </c>
      <c r="L447">
        <v>30619</v>
      </c>
      <c r="M447">
        <v>0</v>
      </c>
      <c r="N447">
        <v>0</v>
      </c>
      <c r="O447">
        <v>22045.68</v>
      </c>
      <c r="P447">
        <v>231</v>
      </c>
      <c r="Q447">
        <v>144752.68</v>
      </c>
      <c r="R447" t="s">
        <v>45</v>
      </c>
      <c r="S447" t="s">
        <v>34</v>
      </c>
      <c r="T447" t="s">
        <v>70</v>
      </c>
      <c r="U447" t="s">
        <v>56</v>
      </c>
      <c r="V447" t="s">
        <v>57</v>
      </c>
      <c r="W447">
        <v>4</v>
      </c>
      <c r="X447" t="s">
        <v>38</v>
      </c>
      <c r="Y447">
        <v>2</v>
      </c>
      <c r="Z447" t="s">
        <v>47</v>
      </c>
    </row>
    <row r="448" spans="1:26" x14ac:dyDescent="0.3">
      <c r="A448" t="s">
        <v>892</v>
      </c>
      <c r="B448" s="2">
        <v>46084</v>
      </c>
      <c r="C448" t="s">
        <v>521</v>
      </c>
      <c r="D448" t="s">
        <v>42</v>
      </c>
      <c r="E448" t="s">
        <v>43</v>
      </c>
      <c r="F448">
        <v>20</v>
      </c>
      <c r="G448" t="s">
        <v>30</v>
      </c>
      <c r="H448" t="s">
        <v>31</v>
      </c>
      <c r="I448" t="s">
        <v>30</v>
      </c>
      <c r="J448" t="s">
        <v>53</v>
      </c>
      <c r="K448">
        <v>1</v>
      </c>
      <c r="L448">
        <v>23553</v>
      </c>
      <c r="M448">
        <v>20</v>
      </c>
      <c r="N448">
        <v>4710.6000000000004</v>
      </c>
      <c r="O448">
        <v>3391.63</v>
      </c>
      <c r="P448">
        <v>243</v>
      </c>
      <c r="Q448">
        <v>22477.03</v>
      </c>
      <c r="R448" t="s">
        <v>45</v>
      </c>
      <c r="S448" t="s">
        <v>34</v>
      </c>
      <c r="T448" t="s">
        <v>35</v>
      </c>
      <c r="U448" t="s">
        <v>36</v>
      </c>
      <c r="V448" t="s">
        <v>37</v>
      </c>
      <c r="W448">
        <v>8</v>
      </c>
      <c r="X448" t="s">
        <v>47</v>
      </c>
      <c r="Y448">
        <v>4</v>
      </c>
      <c r="Z448" t="s">
        <v>91</v>
      </c>
    </row>
    <row r="449" spans="1:26" x14ac:dyDescent="0.3">
      <c r="A449" t="s">
        <v>893</v>
      </c>
      <c r="B449" s="2">
        <v>45863</v>
      </c>
      <c r="C449" t="s">
        <v>894</v>
      </c>
      <c r="D449" t="s">
        <v>89</v>
      </c>
      <c r="E449" t="s">
        <v>43</v>
      </c>
      <c r="F449">
        <v>52</v>
      </c>
      <c r="G449" t="s">
        <v>44</v>
      </c>
      <c r="H449" t="s">
        <v>31</v>
      </c>
      <c r="I449" t="s">
        <v>44</v>
      </c>
      <c r="J449" t="s">
        <v>53</v>
      </c>
      <c r="K449">
        <v>2</v>
      </c>
      <c r="L449">
        <v>6603</v>
      </c>
      <c r="M449">
        <v>5</v>
      </c>
      <c r="N449">
        <v>660.3</v>
      </c>
      <c r="O449">
        <v>2258.23</v>
      </c>
      <c r="P449">
        <v>343</v>
      </c>
      <c r="Q449">
        <v>15146.93</v>
      </c>
      <c r="R449" t="s">
        <v>45</v>
      </c>
      <c r="S449" t="s">
        <v>34</v>
      </c>
      <c r="T449" t="s">
        <v>46</v>
      </c>
      <c r="U449" t="s">
        <v>36</v>
      </c>
      <c r="V449" t="s">
        <v>37</v>
      </c>
      <c r="W449">
        <v>7</v>
      </c>
      <c r="X449" t="s">
        <v>47</v>
      </c>
      <c r="Y449">
        <v>3</v>
      </c>
      <c r="Z449" t="s">
        <v>47</v>
      </c>
    </row>
    <row r="450" spans="1:26" x14ac:dyDescent="0.3">
      <c r="A450" t="s">
        <v>895</v>
      </c>
      <c r="B450" s="2">
        <v>45929</v>
      </c>
      <c r="C450" t="s">
        <v>523</v>
      </c>
      <c r="D450" t="s">
        <v>50</v>
      </c>
      <c r="E450" t="s">
        <v>43</v>
      </c>
      <c r="F450">
        <v>28</v>
      </c>
      <c r="G450" t="s">
        <v>67</v>
      </c>
      <c r="H450" t="s">
        <v>68</v>
      </c>
      <c r="I450" t="s">
        <v>67</v>
      </c>
      <c r="J450" t="s">
        <v>53</v>
      </c>
      <c r="K450">
        <v>4</v>
      </c>
      <c r="L450">
        <v>22851</v>
      </c>
      <c r="M450">
        <v>20</v>
      </c>
      <c r="N450">
        <v>18280.8</v>
      </c>
      <c r="O450">
        <v>13162.18</v>
      </c>
      <c r="P450">
        <v>359</v>
      </c>
      <c r="Q450">
        <v>86644.38</v>
      </c>
      <c r="R450" t="s">
        <v>45</v>
      </c>
      <c r="S450" t="s">
        <v>34</v>
      </c>
      <c r="T450" t="s">
        <v>84</v>
      </c>
      <c r="U450" t="s">
        <v>85</v>
      </c>
      <c r="V450" t="s">
        <v>86</v>
      </c>
      <c r="W450">
        <v>7</v>
      </c>
      <c r="X450" t="s">
        <v>47</v>
      </c>
      <c r="Y450">
        <v>3</v>
      </c>
      <c r="Z450" t="s">
        <v>47</v>
      </c>
    </row>
    <row r="451" spans="1:26" x14ac:dyDescent="0.3">
      <c r="A451" t="s">
        <v>896</v>
      </c>
      <c r="B451" s="2">
        <v>45761</v>
      </c>
      <c r="C451" t="s">
        <v>897</v>
      </c>
      <c r="D451" t="s">
        <v>28</v>
      </c>
      <c r="E451" t="s">
        <v>29</v>
      </c>
      <c r="F451">
        <v>36</v>
      </c>
      <c r="G451" t="s">
        <v>134</v>
      </c>
      <c r="H451" t="s">
        <v>31</v>
      </c>
      <c r="I451" t="s">
        <v>134</v>
      </c>
      <c r="J451" t="s">
        <v>69</v>
      </c>
      <c r="K451">
        <v>1</v>
      </c>
      <c r="L451">
        <v>25609</v>
      </c>
      <c r="M451">
        <v>5</v>
      </c>
      <c r="N451">
        <v>1280.45</v>
      </c>
      <c r="O451">
        <v>4379.1400000000003</v>
      </c>
      <c r="P451">
        <v>97</v>
      </c>
      <c r="Q451">
        <v>28804.69</v>
      </c>
      <c r="R451" t="s">
        <v>54</v>
      </c>
      <c r="S451" t="s">
        <v>34</v>
      </c>
      <c r="T451" t="s">
        <v>70</v>
      </c>
      <c r="U451" t="s">
        <v>56</v>
      </c>
      <c r="V451" t="s">
        <v>57</v>
      </c>
      <c r="W451">
        <v>1</v>
      </c>
      <c r="X451" t="s">
        <v>38</v>
      </c>
      <c r="Y451">
        <v>5</v>
      </c>
      <c r="Z451" t="s">
        <v>47</v>
      </c>
    </row>
    <row r="452" spans="1:26" x14ac:dyDescent="0.3">
      <c r="A452" t="s">
        <v>898</v>
      </c>
      <c r="B452" s="2">
        <v>45938</v>
      </c>
      <c r="C452" t="s">
        <v>899</v>
      </c>
      <c r="D452" t="s">
        <v>28</v>
      </c>
      <c r="E452" t="s">
        <v>43</v>
      </c>
      <c r="F452">
        <v>39</v>
      </c>
      <c r="G452" t="s">
        <v>30</v>
      </c>
      <c r="H452" t="s">
        <v>31</v>
      </c>
      <c r="I452" t="s">
        <v>30</v>
      </c>
      <c r="J452" t="s">
        <v>102</v>
      </c>
      <c r="K452">
        <v>2</v>
      </c>
      <c r="L452">
        <v>14636</v>
      </c>
      <c r="M452">
        <v>5</v>
      </c>
      <c r="N452">
        <v>1463.6</v>
      </c>
      <c r="O452">
        <v>5005.51</v>
      </c>
      <c r="P452">
        <v>189</v>
      </c>
      <c r="Q452">
        <v>33002.910000000003</v>
      </c>
      <c r="R452" t="s">
        <v>83</v>
      </c>
      <c r="S452" t="s">
        <v>63</v>
      </c>
      <c r="T452" t="s">
        <v>35</v>
      </c>
      <c r="U452" t="s">
        <v>36</v>
      </c>
      <c r="V452" t="s">
        <v>37</v>
      </c>
      <c r="W452">
        <v>2</v>
      </c>
      <c r="X452" t="s">
        <v>38</v>
      </c>
      <c r="Y452">
        <v>4</v>
      </c>
      <c r="Z452" t="s">
        <v>47</v>
      </c>
    </row>
    <row r="453" spans="1:26" x14ac:dyDescent="0.3">
      <c r="A453" t="s">
        <v>900</v>
      </c>
      <c r="B453" s="2">
        <v>45938</v>
      </c>
      <c r="C453" t="s">
        <v>901</v>
      </c>
      <c r="D453" t="s">
        <v>66</v>
      </c>
      <c r="E453" t="s">
        <v>43</v>
      </c>
      <c r="F453">
        <v>47</v>
      </c>
      <c r="G453" t="s">
        <v>44</v>
      </c>
      <c r="H453" t="s">
        <v>31</v>
      </c>
      <c r="I453" t="s">
        <v>44</v>
      </c>
      <c r="J453" t="s">
        <v>62</v>
      </c>
      <c r="K453">
        <v>2</v>
      </c>
      <c r="L453">
        <v>38206</v>
      </c>
      <c r="M453">
        <v>0</v>
      </c>
      <c r="N453">
        <v>0</v>
      </c>
      <c r="O453">
        <v>13754.16</v>
      </c>
      <c r="P453">
        <v>460</v>
      </c>
      <c r="Q453">
        <v>90626.16</v>
      </c>
      <c r="R453" t="s">
        <v>33</v>
      </c>
      <c r="S453" t="s">
        <v>34</v>
      </c>
      <c r="T453" t="s">
        <v>103</v>
      </c>
      <c r="U453" t="s">
        <v>103</v>
      </c>
      <c r="V453" t="s">
        <v>57</v>
      </c>
      <c r="W453">
        <v>7</v>
      </c>
      <c r="X453" t="s">
        <v>38</v>
      </c>
      <c r="Y453">
        <v>5</v>
      </c>
      <c r="Z453" t="s">
        <v>47</v>
      </c>
    </row>
    <row r="454" spans="1:26" x14ac:dyDescent="0.3">
      <c r="A454" t="s">
        <v>902</v>
      </c>
      <c r="B454" s="2">
        <v>45831</v>
      </c>
      <c r="C454" t="s">
        <v>235</v>
      </c>
      <c r="D454" t="s">
        <v>50</v>
      </c>
      <c r="E454" t="s">
        <v>43</v>
      </c>
      <c r="F454">
        <v>52</v>
      </c>
      <c r="G454" t="s">
        <v>30</v>
      </c>
      <c r="H454" t="s">
        <v>31</v>
      </c>
      <c r="I454" t="s">
        <v>30</v>
      </c>
      <c r="J454" t="s">
        <v>62</v>
      </c>
      <c r="K454">
        <v>4</v>
      </c>
      <c r="L454">
        <v>16160</v>
      </c>
      <c r="M454">
        <v>20</v>
      </c>
      <c r="N454">
        <v>12928</v>
      </c>
      <c r="O454">
        <v>9308.16</v>
      </c>
      <c r="P454">
        <v>422</v>
      </c>
      <c r="Q454">
        <v>61442.16</v>
      </c>
      <c r="R454" t="s">
        <v>33</v>
      </c>
      <c r="S454" t="s">
        <v>63</v>
      </c>
      <c r="T454" t="s">
        <v>84</v>
      </c>
      <c r="U454" t="s">
        <v>85</v>
      </c>
      <c r="V454" t="s">
        <v>86</v>
      </c>
      <c r="W454">
        <v>5</v>
      </c>
      <c r="X454" t="s">
        <v>38</v>
      </c>
      <c r="Y454">
        <v>1</v>
      </c>
      <c r="Z454" t="s">
        <v>58</v>
      </c>
    </row>
    <row r="455" spans="1:26" x14ac:dyDescent="0.3">
      <c r="A455" t="s">
        <v>903</v>
      </c>
      <c r="B455" s="2">
        <v>45998</v>
      </c>
      <c r="C455" t="s">
        <v>904</v>
      </c>
      <c r="D455" t="s">
        <v>108</v>
      </c>
      <c r="E455" t="s">
        <v>29</v>
      </c>
      <c r="F455">
        <v>32</v>
      </c>
      <c r="G455" t="s">
        <v>139</v>
      </c>
      <c r="H455" t="s">
        <v>31</v>
      </c>
      <c r="I455" t="s">
        <v>139</v>
      </c>
      <c r="J455" t="s">
        <v>125</v>
      </c>
      <c r="K455">
        <v>5</v>
      </c>
      <c r="L455">
        <v>31197</v>
      </c>
      <c r="M455">
        <v>15</v>
      </c>
      <c r="N455">
        <v>23397.75</v>
      </c>
      <c r="O455">
        <v>23865.7</v>
      </c>
      <c r="P455">
        <v>389</v>
      </c>
      <c r="Q455">
        <v>156841.95000000001</v>
      </c>
      <c r="R455" t="s">
        <v>33</v>
      </c>
      <c r="S455" t="s">
        <v>63</v>
      </c>
      <c r="T455" t="s">
        <v>95</v>
      </c>
      <c r="U455" t="s">
        <v>96</v>
      </c>
      <c r="V455" t="s">
        <v>57</v>
      </c>
      <c r="W455">
        <v>6</v>
      </c>
      <c r="X455" t="s">
        <v>38</v>
      </c>
      <c r="Y455">
        <v>2</v>
      </c>
      <c r="Z455" t="s">
        <v>39</v>
      </c>
    </row>
    <row r="456" spans="1:26" x14ac:dyDescent="0.3">
      <c r="A456" t="s">
        <v>905</v>
      </c>
      <c r="B456" s="2">
        <v>45911</v>
      </c>
      <c r="C456" t="s">
        <v>906</v>
      </c>
      <c r="D456" t="s">
        <v>108</v>
      </c>
      <c r="E456" t="s">
        <v>29</v>
      </c>
      <c r="F456">
        <v>29</v>
      </c>
      <c r="G456" t="s">
        <v>30</v>
      </c>
      <c r="H456" t="s">
        <v>31</v>
      </c>
      <c r="I456" t="s">
        <v>30</v>
      </c>
      <c r="J456" t="s">
        <v>62</v>
      </c>
      <c r="K456">
        <v>4</v>
      </c>
      <c r="L456">
        <v>10812</v>
      </c>
      <c r="M456">
        <v>0</v>
      </c>
      <c r="N456">
        <v>0</v>
      </c>
      <c r="O456">
        <v>7784.64</v>
      </c>
      <c r="P456">
        <v>76</v>
      </c>
      <c r="Q456">
        <v>51108.639999999999</v>
      </c>
      <c r="R456" t="s">
        <v>33</v>
      </c>
      <c r="S456" t="s">
        <v>34</v>
      </c>
      <c r="T456" t="s">
        <v>103</v>
      </c>
      <c r="U456" t="s">
        <v>103</v>
      </c>
      <c r="V456" t="s">
        <v>57</v>
      </c>
      <c r="W456">
        <v>6</v>
      </c>
      <c r="X456" t="s">
        <v>47</v>
      </c>
      <c r="Y456">
        <v>3</v>
      </c>
      <c r="Z456" t="s">
        <v>58</v>
      </c>
    </row>
    <row r="457" spans="1:26" x14ac:dyDescent="0.3">
      <c r="A457" t="s">
        <v>907</v>
      </c>
      <c r="B457" s="2">
        <v>46057</v>
      </c>
      <c r="C457" t="s">
        <v>890</v>
      </c>
      <c r="D457" t="s">
        <v>28</v>
      </c>
      <c r="E457" t="s">
        <v>29</v>
      </c>
      <c r="F457">
        <v>40</v>
      </c>
      <c r="G457" t="s">
        <v>139</v>
      </c>
      <c r="H457" t="s">
        <v>31</v>
      </c>
      <c r="I457" t="s">
        <v>139</v>
      </c>
      <c r="J457" t="s">
        <v>201</v>
      </c>
      <c r="K457">
        <v>1</v>
      </c>
      <c r="L457">
        <v>13238</v>
      </c>
      <c r="M457">
        <v>20</v>
      </c>
      <c r="N457">
        <v>2647.6</v>
      </c>
      <c r="O457">
        <v>1906.27</v>
      </c>
      <c r="P457">
        <v>33</v>
      </c>
      <c r="Q457">
        <v>12529.67</v>
      </c>
      <c r="R457" t="s">
        <v>33</v>
      </c>
      <c r="S457" t="s">
        <v>63</v>
      </c>
      <c r="T457" t="s">
        <v>84</v>
      </c>
      <c r="U457" t="s">
        <v>85</v>
      </c>
      <c r="V457" t="s">
        <v>86</v>
      </c>
      <c r="W457">
        <v>7</v>
      </c>
      <c r="X457" t="s">
        <v>47</v>
      </c>
      <c r="Y457">
        <v>1</v>
      </c>
      <c r="Z457" t="s">
        <v>58</v>
      </c>
    </row>
    <row r="458" spans="1:26" x14ac:dyDescent="0.3">
      <c r="A458" t="s">
        <v>908</v>
      </c>
      <c r="B458" s="2">
        <v>46047</v>
      </c>
      <c r="C458" t="s">
        <v>909</v>
      </c>
      <c r="D458" t="s">
        <v>80</v>
      </c>
      <c r="E458" t="s">
        <v>43</v>
      </c>
      <c r="F458">
        <v>44</v>
      </c>
      <c r="G458" t="s">
        <v>94</v>
      </c>
      <c r="H458" t="s">
        <v>31</v>
      </c>
      <c r="I458" t="s">
        <v>94</v>
      </c>
      <c r="J458" t="s">
        <v>69</v>
      </c>
      <c r="K458">
        <v>2</v>
      </c>
      <c r="L458">
        <v>19330</v>
      </c>
      <c r="M458">
        <v>5</v>
      </c>
      <c r="N458">
        <v>1933</v>
      </c>
      <c r="O458">
        <v>6610.86</v>
      </c>
      <c r="P458">
        <v>455</v>
      </c>
      <c r="Q458">
        <v>43792.86</v>
      </c>
      <c r="R458" t="s">
        <v>83</v>
      </c>
      <c r="S458" t="s">
        <v>34</v>
      </c>
      <c r="T458" t="s">
        <v>95</v>
      </c>
      <c r="U458" t="s">
        <v>96</v>
      </c>
      <c r="V458" t="s">
        <v>57</v>
      </c>
      <c r="W458">
        <v>10</v>
      </c>
      <c r="X458" t="s">
        <v>47</v>
      </c>
      <c r="Y458">
        <v>3</v>
      </c>
      <c r="Z458" t="s">
        <v>39</v>
      </c>
    </row>
    <row r="459" spans="1:26" x14ac:dyDescent="0.3">
      <c r="A459" t="s">
        <v>910</v>
      </c>
      <c r="B459" s="2">
        <v>45810</v>
      </c>
      <c r="C459" t="s">
        <v>911</v>
      </c>
      <c r="D459" t="s">
        <v>89</v>
      </c>
      <c r="E459" t="s">
        <v>29</v>
      </c>
      <c r="F459">
        <v>26</v>
      </c>
      <c r="G459" t="s">
        <v>74</v>
      </c>
      <c r="H459" t="s">
        <v>31</v>
      </c>
      <c r="I459" t="s">
        <v>74</v>
      </c>
      <c r="J459" t="s">
        <v>53</v>
      </c>
      <c r="K459">
        <v>5</v>
      </c>
      <c r="L459">
        <v>36209</v>
      </c>
      <c r="M459">
        <v>10</v>
      </c>
      <c r="N459">
        <v>18104.5</v>
      </c>
      <c r="O459">
        <v>29329.29</v>
      </c>
      <c r="P459">
        <v>361</v>
      </c>
      <c r="Q459">
        <v>192630.79</v>
      </c>
      <c r="R459" t="s">
        <v>45</v>
      </c>
      <c r="S459" t="s">
        <v>63</v>
      </c>
      <c r="T459" t="s">
        <v>76</v>
      </c>
      <c r="U459" t="s">
        <v>77</v>
      </c>
      <c r="V459" t="s">
        <v>57</v>
      </c>
      <c r="W459">
        <v>3</v>
      </c>
      <c r="X459" t="s">
        <v>38</v>
      </c>
      <c r="Y459">
        <v>3</v>
      </c>
      <c r="Z459" t="s">
        <v>91</v>
      </c>
    </row>
    <row r="460" spans="1:26" x14ac:dyDescent="0.3">
      <c r="A460" t="s">
        <v>912</v>
      </c>
      <c r="B460" s="2">
        <v>45970</v>
      </c>
      <c r="C460" t="s">
        <v>913</v>
      </c>
      <c r="D460" t="s">
        <v>28</v>
      </c>
      <c r="E460" t="s">
        <v>43</v>
      </c>
      <c r="F460">
        <v>48</v>
      </c>
      <c r="G460" t="s">
        <v>51</v>
      </c>
      <c r="H460" t="s">
        <v>52</v>
      </c>
      <c r="I460" t="s">
        <v>51</v>
      </c>
      <c r="J460" t="s">
        <v>75</v>
      </c>
      <c r="K460">
        <v>1</v>
      </c>
      <c r="L460">
        <v>29971</v>
      </c>
      <c r="M460">
        <v>10</v>
      </c>
      <c r="N460">
        <v>2997.1</v>
      </c>
      <c r="O460">
        <v>4855.3</v>
      </c>
      <c r="P460">
        <v>401</v>
      </c>
      <c r="Q460">
        <v>32230.2</v>
      </c>
      <c r="R460" t="s">
        <v>83</v>
      </c>
      <c r="S460" t="s">
        <v>63</v>
      </c>
      <c r="T460" t="s">
        <v>35</v>
      </c>
      <c r="U460" t="s">
        <v>36</v>
      </c>
      <c r="V460" t="s">
        <v>37</v>
      </c>
      <c r="W460">
        <v>3</v>
      </c>
      <c r="X460" t="s">
        <v>47</v>
      </c>
      <c r="Y460">
        <v>5</v>
      </c>
      <c r="Z460" t="s">
        <v>91</v>
      </c>
    </row>
    <row r="461" spans="1:26" x14ac:dyDescent="0.3">
      <c r="A461" t="s">
        <v>914</v>
      </c>
      <c r="B461" s="2">
        <v>45903</v>
      </c>
      <c r="C461" t="s">
        <v>915</v>
      </c>
      <c r="D461" t="s">
        <v>108</v>
      </c>
      <c r="E461" t="s">
        <v>43</v>
      </c>
      <c r="F461">
        <v>24</v>
      </c>
      <c r="G461" t="s">
        <v>139</v>
      </c>
      <c r="H461" t="s">
        <v>31</v>
      </c>
      <c r="I461" t="s">
        <v>139</v>
      </c>
      <c r="J461" t="s">
        <v>69</v>
      </c>
      <c r="K461">
        <v>2</v>
      </c>
      <c r="L461">
        <v>32711</v>
      </c>
      <c r="M461">
        <v>10</v>
      </c>
      <c r="N461">
        <v>6542.2</v>
      </c>
      <c r="O461">
        <v>10598.36</v>
      </c>
      <c r="P461">
        <v>374</v>
      </c>
      <c r="Q461">
        <v>69852.160000000003</v>
      </c>
      <c r="R461" t="s">
        <v>54</v>
      </c>
      <c r="S461" t="s">
        <v>63</v>
      </c>
      <c r="T461" t="s">
        <v>95</v>
      </c>
      <c r="U461" t="s">
        <v>96</v>
      </c>
      <c r="V461" t="s">
        <v>57</v>
      </c>
      <c r="W461">
        <v>9</v>
      </c>
      <c r="X461" t="s">
        <v>47</v>
      </c>
      <c r="Y461">
        <v>5</v>
      </c>
      <c r="Z461" t="s">
        <v>58</v>
      </c>
    </row>
    <row r="462" spans="1:26" x14ac:dyDescent="0.3">
      <c r="A462" t="s">
        <v>916</v>
      </c>
      <c r="B462" s="2">
        <v>45904</v>
      </c>
      <c r="C462" t="s">
        <v>917</v>
      </c>
      <c r="D462" t="s">
        <v>108</v>
      </c>
      <c r="E462" t="s">
        <v>29</v>
      </c>
      <c r="F462">
        <v>38</v>
      </c>
      <c r="G462" t="s">
        <v>139</v>
      </c>
      <c r="H462" t="s">
        <v>31</v>
      </c>
      <c r="I462" t="s">
        <v>139</v>
      </c>
      <c r="J462" t="s">
        <v>62</v>
      </c>
      <c r="K462">
        <v>2</v>
      </c>
      <c r="L462">
        <v>8328</v>
      </c>
      <c r="M462">
        <v>5</v>
      </c>
      <c r="N462">
        <v>832.8</v>
      </c>
      <c r="O462">
        <v>2848.18</v>
      </c>
      <c r="P462">
        <v>251</v>
      </c>
      <c r="Q462">
        <v>18922.38</v>
      </c>
      <c r="R462" t="s">
        <v>33</v>
      </c>
      <c r="S462" t="s">
        <v>63</v>
      </c>
      <c r="T462" t="s">
        <v>84</v>
      </c>
      <c r="U462" t="s">
        <v>85</v>
      </c>
      <c r="V462" t="s">
        <v>86</v>
      </c>
      <c r="W462">
        <v>3</v>
      </c>
      <c r="X462" t="s">
        <v>47</v>
      </c>
      <c r="Y462">
        <v>3</v>
      </c>
      <c r="Z462" t="s">
        <v>91</v>
      </c>
    </row>
    <row r="463" spans="1:26" x14ac:dyDescent="0.3">
      <c r="A463" t="s">
        <v>918</v>
      </c>
      <c r="B463" s="2">
        <v>46049</v>
      </c>
      <c r="C463" t="s">
        <v>919</v>
      </c>
      <c r="D463" t="s">
        <v>66</v>
      </c>
      <c r="E463" t="s">
        <v>29</v>
      </c>
      <c r="F463">
        <v>31</v>
      </c>
      <c r="G463" t="s">
        <v>94</v>
      </c>
      <c r="H463" t="s">
        <v>31</v>
      </c>
      <c r="I463" t="s">
        <v>94</v>
      </c>
      <c r="J463" t="s">
        <v>201</v>
      </c>
      <c r="K463">
        <v>4</v>
      </c>
      <c r="L463">
        <v>35256</v>
      </c>
      <c r="M463">
        <v>10</v>
      </c>
      <c r="N463">
        <v>14102.4</v>
      </c>
      <c r="O463">
        <v>22845.89</v>
      </c>
      <c r="P463">
        <v>104</v>
      </c>
      <c r="Q463">
        <v>149871.49</v>
      </c>
      <c r="R463" t="s">
        <v>83</v>
      </c>
      <c r="S463" t="s">
        <v>63</v>
      </c>
      <c r="T463" t="s">
        <v>70</v>
      </c>
      <c r="U463" t="s">
        <v>56</v>
      </c>
      <c r="V463" t="s">
        <v>57</v>
      </c>
      <c r="W463">
        <v>9</v>
      </c>
      <c r="X463" t="s">
        <v>47</v>
      </c>
      <c r="Y463">
        <v>5</v>
      </c>
      <c r="Z463" t="s">
        <v>47</v>
      </c>
    </row>
    <row r="464" spans="1:26" x14ac:dyDescent="0.3">
      <c r="A464" t="s">
        <v>920</v>
      </c>
      <c r="B464" s="2">
        <v>45878</v>
      </c>
      <c r="C464" t="s">
        <v>921</v>
      </c>
      <c r="D464" t="s">
        <v>80</v>
      </c>
      <c r="E464" t="s">
        <v>43</v>
      </c>
      <c r="F464">
        <v>28</v>
      </c>
      <c r="G464" t="s">
        <v>30</v>
      </c>
      <c r="H464" t="s">
        <v>31</v>
      </c>
      <c r="I464" t="s">
        <v>30</v>
      </c>
      <c r="J464" t="s">
        <v>69</v>
      </c>
      <c r="K464">
        <v>2</v>
      </c>
      <c r="L464">
        <v>45154</v>
      </c>
      <c r="M464">
        <v>20</v>
      </c>
      <c r="N464">
        <v>18061.599999999999</v>
      </c>
      <c r="O464">
        <v>13004.35</v>
      </c>
      <c r="P464">
        <v>214</v>
      </c>
      <c r="Q464">
        <v>85464.75</v>
      </c>
      <c r="R464" t="s">
        <v>83</v>
      </c>
      <c r="S464" t="s">
        <v>34</v>
      </c>
      <c r="T464" t="s">
        <v>35</v>
      </c>
      <c r="U464" t="s">
        <v>36</v>
      </c>
      <c r="V464" t="s">
        <v>37</v>
      </c>
      <c r="W464">
        <v>6</v>
      </c>
      <c r="X464" t="s">
        <v>38</v>
      </c>
      <c r="Y464">
        <v>3</v>
      </c>
      <c r="Z464" t="s">
        <v>39</v>
      </c>
    </row>
    <row r="465" spans="1:26" x14ac:dyDescent="0.3">
      <c r="A465" t="s">
        <v>922</v>
      </c>
      <c r="B465" s="2">
        <v>45828</v>
      </c>
      <c r="C465" t="s">
        <v>713</v>
      </c>
      <c r="D465" t="s">
        <v>89</v>
      </c>
      <c r="E465" t="s">
        <v>29</v>
      </c>
      <c r="F465">
        <v>41</v>
      </c>
      <c r="G465" t="s">
        <v>30</v>
      </c>
      <c r="H465" t="s">
        <v>31</v>
      </c>
      <c r="I465" t="s">
        <v>30</v>
      </c>
      <c r="J465" t="s">
        <v>53</v>
      </c>
      <c r="K465">
        <v>4</v>
      </c>
      <c r="L465">
        <v>12691</v>
      </c>
      <c r="M465">
        <v>5</v>
      </c>
      <c r="N465">
        <v>2538.1999999999998</v>
      </c>
      <c r="O465">
        <v>8680.64</v>
      </c>
      <c r="P465">
        <v>366</v>
      </c>
      <c r="Q465">
        <v>57272.44</v>
      </c>
      <c r="R465" t="s">
        <v>45</v>
      </c>
      <c r="S465" t="s">
        <v>63</v>
      </c>
      <c r="T465" t="s">
        <v>84</v>
      </c>
      <c r="U465" t="s">
        <v>85</v>
      </c>
      <c r="V465" t="s">
        <v>86</v>
      </c>
      <c r="W465">
        <v>3</v>
      </c>
      <c r="X465" t="s">
        <v>47</v>
      </c>
      <c r="Y465">
        <v>4</v>
      </c>
      <c r="Z465" t="s">
        <v>91</v>
      </c>
    </row>
    <row r="466" spans="1:26" x14ac:dyDescent="0.3">
      <c r="A466" t="s">
        <v>923</v>
      </c>
      <c r="B466" s="2">
        <v>45804</v>
      </c>
      <c r="C466" t="s">
        <v>509</v>
      </c>
      <c r="D466" t="s">
        <v>28</v>
      </c>
      <c r="E466" t="s">
        <v>29</v>
      </c>
      <c r="F466">
        <v>57</v>
      </c>
      <c r="G466" t="s">
        <v>51</v>
      </c>
      <c r="H466" t="s">
        <v>52</v>
      </c>
      <c r="I466" t="s">
        <v>51</v>
      </c>
      <c r="J466" t="s">
        <v>150</v>
      </c>
      <c r="K466">
        <v>1</v>
      </c>
      <c r="L466">
        <v>34542</v>
      </c>
      <c r="M466">
        <v>20</v>
      </c>
      <c r="N466">
        <v>6908.4</v>
      </c>
      <c r="O466">
        <v>4974.05</v>
      </c>
      <c r="P466">
        <v>179</v>
      </c>
      <c r="Q466">
        <v>32786.65</v>
      </c>
      <c r="R466" t="s">
        <v>83</v>
      </c>
      <c r="S466" t="s">
        <v>63</v>
      </c>
      <c r="T466" t="s">
        <v>76</v>
      </c>
      <c r="U466" t="s">
        <v>77</v>
      </c>
      <c r="V466" t="s">
        <v>57</v>
      </c>
      <c r="W466">
        <v>8</v>
      </c>
      <c r="X466" t="s">
        <v>38</v>
      </c>
      <c r="Y466">
        <v>2</v>
      </c>
      <c r="Z466" t="s">
        <v>58</v>
      </c>
    </row>
    <row r="467" spans="1:26" x14ac:dyDescent="0.3">
      <c r="A467" t="s">
        <v>924</v>
      </c>
      <c r="B467" s="2">
        <v>46017</v>
      </c>
      <c r="C467" t="s">
        <v>925</v>
      </c>
      <c r="D467" t="s">
        <v>89</v>
      </c>
      <c r="E467" t="s">
        <v>43</v>
      </c>
      <c r="F467">
        <v>21</v>
      </c>
      <c r="G467" t="s">
        <v>139</v>
      </c>
      <c r="H467" t="s">
        <v>31</v>
      </c>
      <c r="I467" t="s">
        <v>139</v>
      </c>
      <c r="J467" t="s">
        <v>75</v>
      </c>
      <c r="K467">
        <v>2</v>
      </c>
      <c r="L467">
        <v>43091</v>
      </c>
      <c r="M467">
        <v>5</v>
      </c>
      <c r="N467">
        <v>4309.1000000000004</v>
      </c>
      <c r="O467">
        <v>14737.12</v>
      </c>
      <c r="P467">
        <v>410</v>
      </c>
      <c r="Q467">
        <v>97020.02</v>
      </c>
      <c r="R467" t="s">
        <v>45</v>
      </c>
      <c r="S467" t="s">
        <v>63</v>
      </c>
      <c r="T467" t="s">
        <v>46</v>
      </c>
      <c r="U467" t="s">
        <v>36</v>
      </c>
      <c r="V467" t="s">
        <v>37</v>
      </c>
      <c r="W467">
        <v>1</v>
      </c>
      <c r="X467" t="s">
        <v>47</v>
      </c>
      <c r="Y467">
        <v>2</v>
      </c>
      <c r="Z467" t="s">
        <v>91</v>
      </c>
    </row>
    <row r="468" spans="1:26" x14ac:dyDescent="0.3">
      <c r="A468" t="s">
        <v>926</v>
      </c>
      <c r="B468" s="2">
        <v>46018</v>
      </c>
      <c r="C468" t="s">
        <v>746</v>
      </c>
      <c r="D468" t="s">
        <v>28</v>
      </c>
      <c r="E468" t="s">
        <v>29</v>
      </c>
      <c r="F468">
        <v>53</v>
      </c>
      <c r="G468" t="s">
        <v>99</v>
      </c>
      <c r="H468" t="s">
        <v>52</v>
      </c>
      <c r="I468" t="s">
        <v>99</v>
      </c>
      <c r="J468" t="s">
        <v>53</v>
      </c>
      <c r="K468">
        <v>4</v>
      </c>
      <c r="L468">
        <v>8212</v>
      </c>
      <c r="M468">
        <v>5</v>
      </c>
      <c r="N468">
        <v>1642.4</v>
      </c>
      <c r="O468">
        <v>5617.01</v>
      </c>
      <c r="P468">
        <v>456</v>
      </c>
      <c r="Q468">
        <v>37278.61</v>
      </c>
      <c r="R468" t="s">
        <v>83</v>
      </c>
      <c r="S468" t="s">
        <v>34</v>
      </c>
      <c r="T468" t="s">
        <v>70</v>
      </c>
      <c r="U468" t="s">
        <v>56</v>
      </c>
      <c r="V468" t="s">
        <v>57</v>
      </c>
      <c r="W468">
        <v>5</v>
      </c>
      <c r="X468" t="s">
        <v>47</v>
      </c>
      <c r="Y468">
        <v>2</v>
      </c>
      <c r="Z468" t="s">
        <v>39</v>
      </c>
    </row>
    <row r="469" spans="1:26" x14ac:dyDescent="0.3">
      <c r="A469" t="s">
        <v>927</v>
      </c>
      <c r="B469" s="2">
        <v>45900</v>
      </c>
      <c r="C469" t="s">
        <v>928</v>
      </c>
      <c r="D469" t="s">
        <v>61</v>
      </c>
      <c r="E469" t="s">
        <v>29</v>
      </c>
      <c r="F469">
        <v>41</v>
      </c>
      <c r="G469" t="s">
        <v>99</v>
      </c>
      <c r="H469" t="s">
        <v>52</v>
      </c>
      <c r="I469" t="s">
        <v>99</v>
      </c>
      <c r="J469" t="s">
        <v>32</v>
      </c>
      <c r="K469">
        <v>2</v>
      </c>
      <c r="L469">
        <v>20842</v>
      </c>
      <c r="M469">
        <v>5</v>
      </c>
      <c r="N469">
        <v>2084.1999999999998</v>
      </c>
      <c r="O469">
        <v>7127.96</v>
      </c>
      <c r="P469">
        <v>476</v>
      </c>
      <c r="Q469">
        <v>47203.76</v>
      </c>
      <c r="R469" t="s">
        <v>83</v>
      </c>
      <c r="S469" t="s">
        <v>34</v>
      </c>
      <c r="T469" t="s">
        <v>76</v>
      </c>
      <c r="U469" t="s">
        <v>77</v>
      </c>
      <c r="V469" t="s">
        <v>57</v>
      </c>
      <c r="W469">
        <v>6</v>
      </c>
      <c r="X469" t="s">
        <v>38</v>
      </c>
      <c r="Y469">
        <v>5</v>
      </c>
      <c r="Z469" t="s">
        <v>39</v>
      </c>
    </row>
    <row r="470" spans="1:26" x14ac:dyDescent="0.3">
      <c r="A470" t="s">
        <v>929</v>
      </c>
      <c r="B470" s="2">
        <v>46020</v>
      </c>
      <c r="C470" t="s">
        <v>127</v>
      </c>
      <c r="D470" t="s">
        <v>73</v>
      </c>
      <c r="E470" t="s">
        <v>29</v>
      </c>
      <c r="F470">
        <v>24</v>
      </c>
      <c r="G470" t="s">
        <v>44</v>
      </c>
      <c r="H470" t="s">
        <v>31</v>
      </c>
      <c r="I470" t="s">
        <v>44</v>
      </c>
      <c r="J470" t="s">
        <v>53</v>
      </c>
      <c r="K470">
        <v>1</v>
      </c>
      <c r="L470">
        <v>47724</v>
      </c>
      <c r="M470">
        <v>0</v>
      </c>
      <c r="N470">
        <v>0</v>
      </c>
      <c r="O470">
        <v>8590.32</v>
      </c>
      <c r="P470">
        <v>1</v>
      </c>
      <c r="Q470">
        <v>56315.32</v>
      </c>
      <c r="R470" t="s">
        <v>33</v>
      </c>
      <c r="S470" t="s">
        <v>63</v>
      </c>
      <c r="T470" t="s">
        <v>103</v>
      </c>
      <c r="U470" t="s">
        <v>103</v>
      </c>
      <c r="V470" t="s">
        <v>57</v>
      </c>
      <c r="W470">
        <v>9</v>
      </c>
      <c r="X470" t="s">
        <v>47</v>
      </c>
      <c r="Y470">
        <v>5</v>
      </c>
      <c r="Z470" t="s">
        <v>47</v>
      </c>
    </row>
    <row r="471" spans="1:26" x14ac:dyDescent="0.3">
      <c r="A471" t="s">
        <v>930</v>
      </c>
      <c r="B471" s="2">
        <v>45924</v>
      </c>
      <c r="C471" t="s">
        <v>314</v>
      </c>
      <c r="D471" t="s">
        <v>28</v>
      </c>
      <c r="E471" t="s">
        <v>29</v>
      </c>
      <c r="F471">
        <v>40</v>
      </c>
      <c r="G471" t="s">
        <v>90</v>
      </c>
      <c r="H471" t="s">
        <v>31</v>
      </c>
      <c r="I471" t="s">
        <v>90</v>
      </c>
      <c r="J471" t="s">
        <v>125</v>
      </c>
      <c r="K471">
        <v>4</v>
      </c>
      <c r="L471">
        <v>10839</v>
      </c>
      <c r="M471">
        <v>0</v>
      </c>
      <c r="N471">
        <v>0</v>
      </c>
      <c r="O471">
        <v>7804.08</v>
      </c>
      <c r="P471">
        <v>263</v>
      </c>
      <c r="Q471">
        <v>51423.08</v>
      </c>
      <c r="R471" t="s">
        <v>83</v>
      </c>
      <c r="S471" t="s">
        <v>63</v>
      </c>
      <c r="T471" t="s">
        <v>70</v>
      </c>
      <c r="U471" t="s">
        <v>56</v>
      </c>
      <c r="V471" t="s">
        <v>57</v>
      </c>
      <c r="W471">
        <v>10</v>
      </c>
      <c r="X471" t="s">
        <v>47</v>
      </c>
      <c r="Y471">
        <v>2</v>
      </c>
      <c r="Z471" t="s">
        <v>39</v>
      </c>
    </row>
    <row r="472" spans="1:26" x14ac:dyDescent="0.3">
      <c r="A472" t="s">
        <v>931</v>
      </c>
      <c r="B472" s="2">
        <v>45940</v>
      </c>
      <c r="C472" t="s">
        <v>491</v>
      </c>
      <c r="D472" t="s">
        <v>80</v>
      </c>
      <c r="E472" t="s">
        <v>29</v>
      </c>
      <c r="F472">
        <v>59</v>
      </c>
      <c r="G472" t="s">
        <v>30</v>
      </c>
      <c r="H472" t="s">
        <v>31</v>
      </c>
      <c r="I472" t="s">
        <v>30</v>
      </c>
      <c r="J472" t="s">
        <v>69</v>
      </c>
      <c r="K472">
        <v>3</v>
      </c>
      <c r="L472">
        <v>26534</v>
      </c>
      <c r="M472">
        <v>20</v>
      </c>
      <c r="N472">
        <v>15920.4</v>
      </c>
      <c r="O472">
        <v>11462.69</v>
      </c>
      <c r="P472">
        <v>204</v>
      </c>
      <c r="Q472">
        <v>75348.289999999994</v>
      </c>
      <c r="R472" t="s">
        <v>45</v>
      </c>
      <c r="S472" t="s">
        <v>34</v>
      </c>
      <c r="T472" t="s">
        <v>70</v>
      </c>
      <c r="U472" t="s">
        <v>56</v>
      </c>
      <c r="V472" t="s">
        <v>57</v>
      </c>
      <c r="W472">
        <v>1</v>
      </c>
      <c r="X472" t="s">
        <v>38</v>
      </c>
      <c r="Y472">
        <v>3</v>
      </c>
      <c r="Z472" t="s">
        <v>91</v>
      </c>
    </row>
    <row r="473" spans="1:26" x14ac:dyDescent="0.3">
      <c r="A473" t="s">
        <v>932</v>
      </c>
      <c r="B473" s="2">
        <v>45795</v>
      </c>
      <c r="C473" t="s">
        <v>332</v>
      </c>
      <c r="D473" t="s">
        <v>80</v>
      </c>
      <c r="E473" t="s">
        <v>29</v>
      </c>
      <c r="F473">
        <v>30</v>
      </c>
      <c r="G473" t="s">
        <v>134</v>
      </c>
      <c r="H473" t="s">
        <v>31</v>
      </c>
      <c r="I473" t="s">
        <v>134</v>
      </c>
      <c r="J473" t="s">
        <v>62</v>
      </c>
      <c r="K473">
        <v>4</v>
      </c>
      <c r="L473">
        <v>31580</v>
      </c>
      <c r="M473">
        <v>0</v>
      </c>
      <c r="N473">
        <v>0</v>
      </c>
      <c r="O473">
        <v>22737.599999999999</v>
      </c>
      <c r="P473">
        <v>323</v>
      </c>
      <c r="Q473">
        <v>149380.6</v>
      </c>
      <c r="R473" t="s">
        <v>83</v>
      </c>
      <c r="S473" t="s">
        <v>63</v>
      </c>
      <c r="T473" t="s">
        <v>35</v>
      </c>
      <c r="U473" t="s">
        <v>36</v>
      </c>
      <c r="V473" t="s">
        <v>37</v>
      </c>
      <c r="W473">
        <v>9</v>
      </c>
      <c r="X473" t="s">
        <v>47</v>
      </c>
      <c r="Y473">
        <v>4</v>
      </c>
      <c r="Z473" t="s">
        <v>47</v>
      </c>
    </row>
    <row r="474" spans="1:26" x14ac:dyDescent="0.3">
      <c r="A474" t="s">
        <v>933</v>
      </c>
      <c r="B474" s="2">
        <v>45864</v>
      </c>
      <c r="C474" t="s">
        <v>934</v>
      </c>
      <c r="D474" t="s">
        <v>61</v>
      </c>
      <c r="E474" t="s">
        <v>43</v>
      </c>
      <c r="F474">
        <v>42</v>
      </c>
      <c r="G474" t="s">
        <v>44</v>
      </c>
      <c r="H474" t="s">
        <v>31</v>
      </c>
      <c r="I474" t="s">
        <v>44</v>
      </c>
      <c r="J474" t="s">
        <v>125</v>
      </c>
      <c r="K474">
        <v>2</v>
      </c>
      <c r="L474">
        <v>35161</v>
      </c>
      <c r="M474">
        <v>15</v>
      </c>
      <c r="N474">
        <v>10548.3</v>
      </c>
      <c r="O474">
        <v>10759.27</v>
      </c>
      <c r="P474">
        <v>349</v>
      </c>
      <c r="Q474">
        <v>70881.97</v>
      </c>
      <c r="R474" t="s">
        <v>45</v>
      </c>
      <c r="S474" t="s">
        <v>63</v>
      </c>
      <c r="T474" t="s">
        <v>76</v>
      </c>
      <c r="U474" t="s">
        <v>77</v>
      </c>
      <c r="V474" t="s">
        <v>57</v>
      </c>
      <c r="W474">
        <v>3</v>
      </c>
      <c r="X474" t="s">
        <v>38</v>
      </c>
      <c r="Y474">
        <v>2</v>
      </c>
      <c r="Z474" t="s">
        <v>58</v>
      </c>
    </row>
    <row r="475" spans="1:26" x14ac:dyDescent="0.3">
      <c r="A475" t="s">
        <v>935</v>
      </c>
      <c r="B475" s="2">
        <v>46034</v>
      </c>
      <c r="C475" t="s">
        <v>936</v>
      </c>
      <c r="D475" t="s">
        <v>108</v>
      </c>
      <c r="E475" t="s">
        <v>29</v>
      </c>
      <c r="F475">
        <v>46</v>
      </c>
      <c r="G475" t="s">
        <v>134</v>
      </c>
      <c r="H475" t="s">
        <v>31</v>
      </c>
      <c r="I475" t="s">
        <v>134</v>
      </c>
      <c r="J475" t="s">
        <v>75</v>
      </c>
      <c r="K475">
        <v>3</v>
      </c>
      <c r="L475">
        <v>48636</v>
      </c>
      <c r="M475">
        <v>0</v>
      </c>
      <c r="N475">
        <v>0</v>
      </c>
      <c r="O475">
        <v>26263.439999999999</v>
      </c>
      <c r="P475">
        <v>268</v>
      </c>
      <c r="Q475">
        <v>172439.44</v>
      </c>
      <c r="R475" t="s">
        <v>54</v>
      </c>
      <c r="S475" t="s">
        <v>34</v>
      </c>
      <c r="T475" t="s">
        <v>46</v>
      </c>
      <c r="U475" t="s">
        <v>36</v>
      </c>
      <c r="V475" t="s">
        <v>37</v>
      </c>
      <c r="W475">
        <v>6</v>
      </c>
      <c r="X475" t="s">
        <v>38</v>
      </c>
      <c r="Y475">
        <v>3</v>
      </c>
      <c r="Z475" t="s">
        <v>58</v>
      </c>
    </row>
    <row r="476" spans="1:26" x14ac:dyDescent="0.3">
      <c r="A476" t="s">
        <v>937</v>
      </c>
      <c r="B476" s="2">
        <v>46088</v>
      </c>
      <c r="C476" t="s">
        <v>938</v>
      </c>
      <c r="D476" t="s">
        <v>108</v>
      </c>
      <c r="E476" t="s">
        <v>43</v>
      </c>
      <c r="F476">
        <v>31</v>
      </c>
      <c r="G476" t="s">
        <v>67</v>
      </c>
      <c r="H476" t="s">
        <v>68</v>
      </c>
      <c r="I476" t="s">
        <v>67</v>
      </c>
      <c r="J476" t="s">
        <v>75</v>
      </c>
      <c r="K476">
        <v>2</v>
      </c>
      <c r="L476">
        <v>31744</v>
      </c>
      <c r="M476">
        <v>20</v>
      </c>
      <c r="N476">
        <v>12697.6</v>
      </c>
      <c r="O476">
        <v>9142.27</v>
      </c>
      <c r="P476">
        <v>209</v>
      </c>
      <c r="Q476">
        <v>60141.67</v>
      </c>
      <c r="R476" t="s">
        <v>83</v>
      </c>
      <c r="S476" t="s">
        <v>34</v>
      </c>
      <c r="T476" t="s">
        <v>55</v>
      </c>
      <c r="U476" t="s">
        <v>56</v>
      </c>
      <c r="V476" t="s">
        <v>57</v>
      </c>
      <c r="W476">
        <v>7</v>
      </c>
      <c r="X476" t="s">
        <v>38</v>
      </c>
      <c r="Y476">
        <v>5</v>
      </c>
      <c r="Z476" t="s">
        <v>91</v>
      </c>
    </row>
    <row r="477" spans="1:26" x14ac:dyDescent="0.3">
      <c r="A477" t="s">
        <v>939</v>
      </c>
      <c r="B477" s="2">
        <v>46051</v>
      </c>
      <c r="C477" t="s">
        <v>940</v>
      </c>
      <c r="D477" t="s">
        <v>61</v>
      </c>
      <c r="E477" t="s">
        <v>43</v>
      </c>
      <c r="F477">
        <v>32</v>
      </c>
      <c r="G477" t="s">
        <v>30</v>
      </c>
      <c r="H477" t="s">
        <v>31</v>
      </c>
      <c r="I477" t="s">
        <v>30</v>
      </c>
      <c r="J477" t="s">
        <v>102</v>
      </c>
      <c r="K477">
        <v>4</v>
      </c>
      <c r="L477">
        <v>31822</v>
      </c>
      <c r="M477">
        <v>0</v>
      </c>
      <c r="N477">
        <v>0</v>
      </c>
      <c r="O477">
        <v>22911.84</v>
      </c>
      <c r="P477">
        <v>60</v>
      </c>
      <c r="Q477">
        <v>150259.84</v>
      </c>
      <c r="R477" t="s">
        <v>45</v>
      </c>
      <c r="S477" t="s">
        <v>63</v>
      </c>
      <c r="T477" t="s">
        <v>95</v>
      </c>
      <c r="U477" t="s">
        <v>96</v>
      </c>
      <c r="V477" t="s">
        <v>57</v>
      </c>
      <c r="W477">
        <v>1</v>
      </c>
      <c r="X477" t="s">
        <v>38</v>
      </c>
      <c r="Y477">
        <v>3</v>
      </c>
      <c r="Z477" t="s">
        <v>47</v>
      </c>
    </row>
    <row r="478" spans="1:26" x14ac:dyDescent="0.3">
      <c r="A478" t="s">
        <v>941</v>
      </c>
      <c r="B478" s="2">
        <v>45832</v>
      </c>
      <c r="C478" t="s">
        <v>942</v>
      </c>
      <c r="D478" t="s">
        <v>111</v>
      </c>
      <c r="E478" t="s">
        <v>29</v>
      </c>
      <c r="F478">
        <v>33</v>
      </c>
      <c r="G478" t="s">
        <v>99</v>
      </c>
      <c r="H478" t="s">
        <v>52</v>
      </c>
      <c r="I478" t="s">
        <v>99</v>
      </c>
      <c r="J478" t="s">
        <v>53</v>
      </c>
      <c r="K478">
        <v>4</v>
      </c>
      <c r="L478">
        <v>2368</v>
      </c>
      <c r="M478">
        <v>20</v>
      </c>
      <c r="N478">
        <v>1894.4</v>
      </c>
      <c r="O478">
        <v>1363.97</v>
      </c>
      <c r="P478">
        <v>373</v>
      </c>
      <c r="Q478">
        <v>9314.57</v>
      </c>
      <c r="R478" t="s">
        <v>45</v>
      </c>
      <c r="S478" t="s">
        <v>34</v>
      </c>
      <c r="T478" t="s">
        <v>76</v>
      </c>
      <c r="U478" t="s">
        <v>77</v>
      </c>
      <c r="V478" t="s">
        <v>57</v>
      </c>
      <c r="W478">
        <v>6</v>
      </c>
      <c r="X478" t="s">
        <v>47</v>
      </c>
      <c r="Y478">
        <v>1</v>
      </c>
      <c r="Z478" t="s">
        <v>47</v>
      </c>
    </row>
    <row r="479" spans="1:26" x14ac:dyDescent="0.3">
      <c r="A479" t="s">
        <v>943</v>
      </c>
      <c r="B479" s="2">
        <v>46109</v>
      </c>
      <c r="C479" t="s">
        <v>944</v>
      </c>
      <c r="D479" t="s">
        <v>61</v>
      </c>
      <c r="E479" t="s">
        <v>29</v>
      </c>
      <c r="F479">
        <v>20</v>
      </c>
      <c r="G479" t="s">
        <v>99</v>
      </c>
      <c r="H479" t="s">
        <v>52</v>
      </c>
      <c r="I479" t="s">
        <v>99</v>
      </c>
      <c r="J479" t="s">
        <v>32</v>
      </c>
      <c r="K479">
        <v>5</v>
      </c>
      <c r="L479">
        <v>48760</v>
      </c>
      <c r="M479">
        <v>5</v>
      </c>
      <c r="N479">
        <v>12190</v>
      </c>
      <c r="O479">
        <v>41689.800000000003</v>
      </c>
      <c r="P479">
        <v>420</v>
      </c>
      <c r="Q479">
        <v>273719.8</v>
      </c>
      <c r="R479" t="s">
        <v>33</v>
      </c>
      <c r="S479" t="s">
        <v>34</v>
      </c>
      <c r="T479" t="s">
        <v>95</v>
      </c>
      <c r="U479" t="s">
        <v>96</v>
      </c>
      <c r="V479" t="s">
        <v>57</v>
      </c>
      <c r="W479">
        <v>7</v>
      </c>
      <c r="X479" t="s">
        <v>47</v>
      </c>
      <c r="Y479">
        <v>4</v>
      </c>
      <c r="Z479" t="s">
        <v>47</v>
      </c>
    </row>
    <row r="480" spans="1:26" x14ac:dyDescent="0.3">
      <c r="A480" t="s">
        <v>945</v>
      </c>
      <c r="B480" s="2">
        <v>45804</v>
      </c>
      <c r="C480" t="s">
        <v>143</v>
      </c>
      <c r="D480" t="s">
        <v>80</v>
      </c>
      <c r="E480" t="s">
        <v>43</v>
      </c>
      <c r="F480">
        <v>38</v>
      </c>
      <c r="G480" t="s">
        <v>30</v>
      </c>
      <c r="H480" t="s">
        <v>31</v>
      </c>
      <c r="I480" t="s">
        <v>30</v>
      </c>
      <c r="J480" t="s">
        <v>62</v>
      </c>
      <c r="K480">
        <v>5</v>
      </c>
      <c r="L480">
        <v>39991</v>
      </c>
      <c r="M480">
        <v>10</v>
      </c>
      <c r="N480">
        <v>19995.5</v>
      </c>
      <c r="O480">
        <v>32392.71</v>
      </c>
      <c r="P480">
        <v>310</v>
      </c>
      <c r="Q480">
        <v>212662.21</v>
      </c>
      <c r="R480" t="s">
        <v>33</v>
      </c>
      <c r="S480" t="s">
        <v>34</v>
      </c>
      <c r="T480" t="s">
        <v>46</v>
      </c>
      <c r="U480" t="s">
        <v>36</v>
      </c>
      <c r="V480" t="s">
        <v>37</v>
      </c>
      <c r="W480">
        <v>8</v>
      </c>
      <c r="X480" t="s">
        <v>38</v>
      </c>
      <c r="Y480">
        <v>5</v>
      </c>
      <c r="Z480" t="s">
        <v>47</v>
      </c>
    </row>
    <row r="481" spans="1:26" x14ac:dyDescent="0.3">
      <c r="A481" t="s">
        <v>946</v>
      </c>
      <c r="B481" s="2">
        <v>45909</v>
      </c>
      <c r="C481" t="s">
        <v>665</v>
      </c>
      <c r="D481" t="s">
        <v>66</v>
      </c>
      <c r="E481" t="s">
        <v>43</v>
      </c>
      <c r="F481">
        <v>53</v>
      </c>
      <c r="G481" t="s">
        <v>90</v>
      </c>
      <c r="H481" t="s">
        <v>31</v>
      </c>
      <c r="I481" t="s">
        <v>90</v>
      </c>
      <c r="J481" t="s">
        <v>112</v>
      </c>
      <c r="K481">
        <v>1</v>
      </c>
      <c r="L481">
        <v>47402</v>
      </c>
      <c r="M481">
        <v>5</v>
      </c>
      <c r="N481">
        <v>2370.1</v>
      </c>
      <c r="O481">
        <v>8105.74</v>
      </c>
      <c r="P481">
        <v>192</v>
      </c>
      <c r="Q481">
        <v>53329.64</v>
      </c>
      <c r="R481" t="s">
        <v>54</v>
      </c>
      <c r="S481" t="s">
        <v>63</v>
      </c>
      <c r="T481" t="s">
        <v>55</v>
      </c>
      <c r="U481" t="s">
        <v>56</v>
      </c>
      <c r="V481" t="s">
        <v>57</v>
      </c>
      <c r="W481">
        <v>5</v>
      </c>
      <c r="X481" t="s">
        <v>38</v>
      </c>
      <c r="Y481">
        <v>2</v>
      </c>
      <c r="Z481" t="s">
        <v>58</v>
      </c>
    </row>
    <row r="482" spans="1:26" x14ac:dyDescent="0.3">
      <c r="A482" t="s">
        <v>947</v>
      </c>
      <c r="B482" s="2">
        <v>46034</v>
      </c>
      <c r="C482" t="s">
        <v>948</v>
      </c>
      <c r="D482" t="s">
        <v>61</v>
      </c>
      <c r="E482" t="s">
        <v>43</v>
      </c>
      <c r="F482">
        <v>34</v>
      </c>
      <c r="G482" t="s">
        <v>94</v>
      </c>
      <c r="H482" t="s">
        <v>31</v>
      </c>
      <c r="I482" t="s">
        <v>94</v>
      </c>
      <c r="J482" t="s">
        <v>150</v>
      </c>
      <c r="K482">
        <v>3</v>
      </c>
      <c r="L482">
        <v>42924</v>
      </c>
      <c r="M482">
        <v>20</v>
      </c>
      <c r="N482">
        <v>25754.400000000001</v>
      </c>
      <c r="O482">
        <v>18543.169999999998</v>
      </c>
      <c r="P482">
        <v>373</v>
      </c>
      <c r="Q482">
        <v>121933.77</v>
      </c>
      <c r="R482" t="s">
        <v>54</v>
      </c>
      <c r="S482" t="s">
        <v>34</v>
      </c>
      <c r="T482" t="s">
        <v>70</v>
      </c>
      <c r="U482" t="s">
        <v>56</v>
      </c>
      <c r="V482" t="s">
        <v>57</v>
      </c>
      <c r="W482">
        <v>2</v>
      </c>
      <c r="X482" t="s">
        <v>47</v>
      </c>
      <c r="Y482">
        <v>4</v>
      </c>
      <c r="Z482" t="s">
        <v>91</v>
      </c>
    </row>
    <row r="483" spans="1:26" x14ac:dyDescent="0.3">
      <c r="A483" t="s">
        <v>949</v>
      </c>
      <c r="B483" s="2">
        <v>46000</v>
      </c>
      <c r="C483" t="s">
        <v>950</v>
      </c>
      <c r="D483" t="s">
        <v>108</v>
      </c>
      <c r="E483" t="s">
        <v>43</v>
      </c>
      <c r="F483">
        <v>29</v>
      </c>
      <c r="G483" t="s">
        <v>44</v>
      </c>
      <c r="H483" t="s">
        <v>31</v>
      </c>
      <c r="I483" t="s">
        <v>44</v>
      </c>
      <c r="J483" t="s">
        <v>62</v>
      </c>
      <c r="K483">
        <v>2</v>
      </c>
      <c r="L483">
        <v>43493</v>
      </c>
      <c r="M483">
        <v>5</v>
      </c>
      <c r="N483">
        <v>4349.3</v>
      </c>
      <c r="O483">
        <v>14874.61</v>
      </c>
      <c r="P483">
        <v>499</v>
      </c>
      <c r="Q483">
        <v>98010.31</v>
      </c>
      <c r="R483" t="s">
        <v>83</v>
      </c>
      <c r="S483" t="s">
        <v>63</v>
      </c>
      <c r="T483" t="s">
        <v>35</v>
      </c>
      <c r="U483" t="s">
        <v>36</v>
      </c>
      <c r="V483" t="s">
        <v>37</v>
      </c>
      <c r="W483">
        <v>10</v>
      </c>
      <c r="X483" t="s">
        <v>47</v>
      </c>
      <c r="Y483">
        <v>4</v>
      </c>
      <c r="Z483" t="s">
        <v>39</v>
      </c>
    </row>
    <row r="484" spans="1:26" x14ac:dyDescent="0.3">
      <c r="A484" t="s">
        <v>951</v>
      </c>
      <c r="B484" s="2">
        <v>46087</v>
      </c>
      <c r="C484" t="s">
        <v>952</v>
      </c>
      <c r="D484" t="s">
        <v>42</v>
      </c>
      <c r="E484" t="s">
        <v>29</v>
      </c>
      <c r="F484">
        <v>52</v>
      </c>
      <c r="G484" t="s">
        <v>99</v>
      </c>
      <c r="H484" t="s">
        <v>52</v>
      </c>
      <c r="I484" t="s">
        <v>99</v>
      </c>
      <c r="J484" t="s">
        <v>75</v>
      </c>
      <c r="K484">
        <v>1</v>
      </c>
      <c r="L484">
        <v>23370</v>
      </c>
      <c r="M484">
        <v>0</v>
      </c>
      <c r="N484">
        <v>0</v>
      </c>
      <c r="O484">
        <v>4206.6000000000004</v>
      </c>
      <c r="P484">
        <v>413</v>
      </c>
      <c r="Q484">
        <v>27989.599999999999</v>
      </c>
      <c r="R484" t="s">
        <v>83</v>
      </c>
      <c r="S484" t="s">
        <v>63</v>
      </c>
      <c r="T484" t="s">
        <v>84</v>
      </c>
      <c r="U484" t="s">
        <v>85</v>
      </c>
      <c r="V484" t="s">
        <v>86</v>
      </c>
      <c r="W484">
        <v>6</v>
      </c>
      <c r="X484" t="s">
        <v>38</v>
      </c>
      <c r="Y484">
        <v>4</v>
      </c>
      <c r="Z484" t="s">
        <v>47</v>
      </c>
    </row>
    <row r="485" spans="1:26" x14ac:dyDescent="0.3">
      <c r="A485" t="s">
        <v>953</v>
      </c>
      <c r="B485" s="2">
        <v>46070</v>
      </c>
      <c r="C485" t="s">
        <v>954</v>
      </c>
      <c r="D485" t="s">
        <v>42</v>
      </c>
      <c r="E485" t="s">
        <v>43</v>
      </c>
      <c r="F485">
        <v>58</v>
      </c>
      <c r="G485" t="s">
        <v>30</v>
      </c>
      <c r="H485" t="s">
        <v>31</v>
      </c>
      <c r="I485" t="s">
        <v>30</v>
      </c>
      <c r="J485" t="s">
        <v>53</v>
      </c>
      <c r="K485">
        <v>3</v>
      </c>
      <c r="L485">
        <v>47124</v>
      </c>
      <c r="M485">
        <v>10</v>
      </c>
      <c r="N485">
        <v>14137.2</v>
      </c>
      <c r="O485">
        <v>22902.26</v>
      </c>
      <c r="P485">
        <v>40</v>
      </c>
      <c r="Q485">
        <v>150177.06</v>
      </c>
      <c r="R485" t="s">
        <v>54</v>
      </c>
      <c r="S485" t="s">
        <v>63</v>
      </c>
      <c r="T485" t="s">
        <v>103</v>
      </c>
      <c r="U485" t="s">
        <v>103</v>
      </c>
      <c r="V485" t="s">
        <v>57</v>
      </c>
      <c r="W485">
        <v>4</v>
      </c>
      <c r="X485" t="s">
        <v>38</v>
      </c>
      <c r="Y485">
        <v>3</v>
      </c>
      <c r="Z485" t="s">
        <v>91</v>
      </c>
    </row>
    <row r="486" spans="1:26" x14ac:dyDescent="0.3">
      <c r="A486" t="s">
        <v>955</v>
      </c>
      <c r="B486" s="2">
        <v>46062</v>
      </c>
      <c r="C486" t="s">
        <v>956</v>
      </c>
      <c r="D486" t="s">
        <v>89</v>
      </c>
      <c r="E486" t="s">
        <v>29</v>
      </c>
      <c r="F486">
        <v>30</v>
      </c>
      <c r="G486" t="s">
        <v>139</v>
      </c>
      <c r="H486" t="s">
        <v>31</v>
      </c>
      <c r="I486" t="s">
        <v>139</v>
      </c>
      <c r="J486" t="s">
        <v>201</v>
      </c>
      <c r="K486">
        <v>1</v>
      </c>
      <c r="L486">
        <v>27733</v>
      </c>
      <c r="M486">
        <v>5</v>
      </c>
      <c r="N486">
        <v>1386.65</v>
      </c>
      <c r="O486">
        <v>4742.34</v>
      </c>
      <c r="P486">
        <v>481</v>
      </c>
      <c r="Q486">
        <v>31569.69</v>
      </c>
      <c r="R486" t="s">
        <v>83</v>
      </c>
      <c r="S486" t="s">
        <v>34</v>
      </c>
      <c r="T486" t="s">
        <v>46</v>
      </c>
      <c r="U486" t="s">
        <v>36</v>
      </c>
      <c r="V486" t="s">
        <v>37</v>
      </c>
      <c r="W486">
        <v>8</v>
      </c>
      <c r="X486" t="s">
        <v>38</v>
      </c>
      <c r="Y486">
        <v>3</v>
      </c>
      <c r="Z486" t="s">
        <v>39</v>
      </c>
    </row>
    <row r="487" spans="1:26" x14ac:dyDescent="0.3">
      <c r="A487" t="s">
        <v>957</v>
      </c>
      <c r="B487" s="2">
        <v>45913</v>
      </c>
      <c r="C487" t="s">
        <v>742</v>
      </c>
      <c r="D487" t="s">
        <v>42</v>
      </c>
      <c r="E487" t="s">
        <v>29</v>
      </c>
      <c r="F487">
        <v>26</v>
      </c>
      <c r="G487" t="s">
        <v>74</v>
      </c>
      <c r="H487" t="s">
        <v>31</v>
      </c>
      <c r="I487" t="s">
        <v>74</v>
      </c>
      <c r="J487" t="s">
        <v>201</v>
      </c>
      <c r="K487">
        <v>1</v>
      </c>
      <c r="L487">
        <v>16619</v>
      </c>
      <c r="M487">
        <v>5</v>
      </c>
      <c r="N487">
        <v>830.95</v>
      </c>
      <c r="O487">
        <v>2841.85</v>
      </c>
      <c r="P487">
        <v>416</v>
      </c>
      <c r="Q487">
        <v>19045.900000000001</v>
      </c>
      <c r="R487" t="s">
        <v>54</v>
      </c>
      <c r="S487" t="s">
        <v>34</v>
      </c>
      <c r="T487" t="s">
        <v>84</v>
      </c>
      <c r="U487" t="s">
        <v>85</v>
      </c>
      <c r="V487" t="s">
        <v>86</v>
      </c>
      <c r="W487">
        <v>4</v>
      </c>
      <c r="X487" t="s">
        <v>38</v>
      </c>
      <c r="Y487">
        <v>1</v>
      </c>
      <c r="Z487" t="s">
        <v>47</v>
      </c>
    </row>
    <row r="488" spans="1:26" x14ac:dyDescent="0.3">
      <c r="A488" t="s">
        <v>958</v>
      </c>
      <c r="B488" s="2">
        <v>45939</v>
      </c>
      <c r="C488" t="s">
        <v>172</v>
      </c>
      <c r="D488" t="s">
        <v>28</v>
      </c>
      <c r="E488" t="s">
        <v>43</v>
      </c>
      <c r="F488">
        <v>39</v>
      </c>
      <c r="G488" t="s">
        <v>99</v>
      </c>
      <c r="H488" t="s">
        <v>52</v>
      </c>
      <c r="I488" t="s">
        <v>99</v>
      </c>
      <c r="J488" t="s">
        <v>112</v>
      </c>
      <c r="K488">
        <v>3</v>
      </c>
      <c r="L488">
        <v>16882</v>
      </c>
      <c r="M488">
        <v>10</v>
      </c>
      <c r="N488">
        <v>5064.6000000000004</v>
      </c>
      <c r="O488">
        <v>8204.65</v>
      </c>
      <c r="P488">
        <v>146</v>
      </c>
      <c r="Q488">
        <v>53932.05</v>
      </c>
      <c r="R488" t="s">
        <v>33</v>
      </c>
      <c r="S488" t="s">
        <v>63</v>
      </c>
      <c r="T488" t="s">
        <v>103</v>
      </c>
      <c r="U488" t="s">
        <v>103</v>
      </c>
      <c r="V488" t="s">
        <v>57</v>
      </c>
      <c r="W488">
        <v>2</v>
      </c>
      <c r="X488" t="s">
        <v>38</v>
      </c>
      <c r="Y488">
        <v>5</v>
      </c>
      <c r="Z488" t="s">
        <v>91</v>
      </c>
    </row>
    <row r="489" spans="1:26" x14ac:dyDescent="0.3">
      <c r="A489" t="s">
        <v>959</v>
      </c>
      <c r="B489" s="2">
        <v>46009</v>
      </c>
      <c r="C489" t="s">
        <v>960</v>
      </c>
      <c r="D489" t="s">
        <v>80</v>
      </c>
      <c r="E489" t="s">
        <v>29</v>
      </c>
      <c r="F489">
        <v>52</v>
      </c>
      <c r="G489" t="s">
        <v>74</v>
      </c>
      <c r="H489" t="s">
        <v>31</v>
      </c>
      <c r="I489" t="s">
        <v>74</v>
      </c>
      <c r="J489" t="s">
        <v>125</v>
      </c>
      <c r="K489">
        <v>3</v>
      </c>
      <c r="L489">
        <v>42848</v>
      </c>
      <c r="M489">
        <v>15</v>
      </c>
      <c r="N489">
        <v>19281.599999999999</v>
      </c>
      <c r="O489">
        <v>19667.23</v>
      </c>
      <c r="P489">
        <v>22</v>
      </c>
      <c r="Q489">
        <v>128951.63</v>
      </c>
      <c r="R489" t="s">
        <v>54</v>
      </c>
      <c r="S489" t="s">
        <v>34</v>
      </c>
      <c r="T489" t="s">
        <v>70</v>
      </c>
      <c r="U489" t="s">
        <v>56</v>
      </c>
      <c r="V489" t="s">
        <v>57</v>
      </c>
      <c r="W489">
        <v>3</v>
      </c>
      <c r="X489" t="s">
        <v>38</v>
      </c>
      <c r="Y489">
        <v>2</v>
      </c>
      <c r="Z489" t="s">
        <v>47</v>
      </c>
    </row>
    <row r="490" spans="1:26" x14ac:dyDescent="0.3">
      <c r="A490" t="s">
        <v>961</v>
      </c>
      <c r="B490" s="2">
        <v>45860</v>
      </c>
      <c r="C490" t="s">
        <v>962</v>
      </c>
      <c r="D490" t="s">
        <v>73</v>
      </c>
      <c r="E490" t="s">
        <v>43</v>
      </c>
      <c r="F490">
        <v>25</v>
      </c>
      <c r="G490" t="s">
        <v>67</v>
      </c>
      <c r="H490" t="s">
        <v>68</v>
      </c>
      <c r="I490" t="s">
        <v>67</v>
      </c>
      <c r="J490" t="s">
        <v>62</v>
      </c>
      <c r="K490">
        <v>3</v>
      </c>
      <c r="L490">
        <v>17988</v>
      </c>
      <c r="M490">
        <v>10</v>
      </c>
      <c r="N490">
        <v>5396.4</v>
      </c>
      <c r="O490">
        <v>8742.17</v>
      </c>
      <c r="P490">
        <v>462</v>
      </c>
      <c r="Q490">
        <v>57771.77</v>
      </c>
      <c r="R490" t="s">
        <v>83</v>
      </c>
      <c r="S490" t="s">
        <v>34</v>
      </c>
      <c r="T490" t="s">
        <v>76</v>
      </c>
      <c r="U490" t="s">
        <v>77</v>
      </c>
      <c r="V490" t="s">
        <v>57</v>
      </c>
      <c r="W490">
        <v>10</v>
      </c>
      <c r="X490" t="s">
        <v>38</v>
      </c>
      <c r="Y490">
        <v>2</v>
      </c>
      <c r="Z490" t="s">
        <v>91</v>
      </c>
    </row>
    <row r="491" spans="1:26" x14ac:dyDescent="0.3">
      <c r="A491" t="s">
        <v>963</v>
      </c>
      <c r="B491" s="2">
        <v>45807</v>
      </c>
      <c r="C491" t="s">
        <v>203</v>
      </c>
      <c r="D491" t="s">
        <v>66</v>
      </c>
      <c r="E491" t="s">
        <v>43</v>
      </c>
      <c r="F491">
        <v>51</v>
      </c>
      <c r="G491" t="s">
        <v>99</v>
      </c>
      <c r="H491" t="s">
        <v>52</v>
      </c>
      <c r="I491" t="s">
        <v>99</v>
      </c>
      <c r="J491" t="s">
        <v>102</v>
      </c>
      <c r="K491">
        <v>4</v>
      </c>
      <c r="L491">
        <v>20757</v>
      </c>
      <c r="M491">
        <v>0</v>
      </c>
      <c r="N491">
        <v>0</v>
      </c>
      <c r="O491">
        <v>14945.04</v>
      </c>
      <c r="P491">
        <v>65</v>
      </c>
      <c r="Q491">
        <v>98038.04</v>
      </c>
      <c r="R491" t="s">
        <v>54</v>
      </c>
      <c r="S491" t="s">
        <v>34</v>
      </c>
      <c r="T491" t="s">
        <v>70</v>
      </c>
      <c r="U491" t="s">
        <v>56</v>
      </c>
      <c r="V491" t="s">
        <v>57</v>
      </c>
      <c r="W491">
        <v>6</v>
      </c>
      <c r="X491" t="s">
        <v>47</v>
      </c>
      <c r="Y491">
        <v>4</v>
      </c>
      <c r="Z491" t="s">
        <v>58</v>
      </c>
    </row>
    <row r="492" spans="1:26" x14ac:dyDescent="0.3">
      <c r="A492" t="s">
        <v>964</v>
      </c>
      <c r="B492" s="2">
        <v>45868</v>
      </c>
      <c r="C492" t="s">
        <v>965</v>
      </c>
      <c r="D492" t="s">
        <v>50</v>
      </c>
      <c r="E492" t="s">
        <v>43</v>
      </c>
      <c r="F492">
        <v>54</v>
      </c>
      <c r="G492" t="s">
        <v>134</v>
      </c>
      <c r="H492" t="s">
        <v>31</v>
      </c>
      <c r="I492" t="s">
        <v>134</v>
      </c>
      <c r="J492" t="s">
        <v>75</v>
      </c>
      <c r="K492">
        <v>2</v>
      </c>
      <c r="L492">
        <v>36202</v>
      </c>
      <c r="M492">
        <v>10</v>
      </c>
      <c r="N492">
        <v>7240.4</v>
      </c>
      <c r="O492">
        <v>11729.45</v>
      </c>
      <c r="P492">
        <v>49</v>
      </c>
      <c r="Q492">
        <v>76942.05</v>
      </c>
      <c r="R492" t="s">
        <v>54</v>
      </c>
      <c r="S492" t="s">
        <v>63</v>
      </c>
      <c r="T492" t="s">
        <v>103</v>
      </c>
      <c r="U492" t="s">
        <v>103</v>
      </c>
      <c r="V492" t="s">
        <v>57</v>
      </c>
      <c r="W492">
        <v>10</v>
      </c>
      <c r="X492" t="s">
        <v>47</v>
      </c>
      <c r="Y492">
        <v>3</v>
      </c>
      <c r="Z492" t="s">
        <v>58</v>
      </c>
    </row>
    <row r="493" spans="1:26" x14ac:dyDescent="0.3">
      <c r="A493" t="s">
        <v>966</v>
      </c>
      <c r="B493" s="2">
        <v>46089</v>
      </c>
      <c r="C493" t="s">
        <v>777</v>
      </c>
      <c r="D493" t="s">
        <v>80</v>
      </c>
      <c r="E493" t="s">
        <v>43</v>
      </c>
      <c r="F493">
        <v>55</v>
      </c>
      <c r="G493" t="s">
        <v>90</v>
      </c>
      <c r="H493" t="s">
        <v>31</v>
      </c>
      <c r="I493" t="s">
        <v>90</v>
      </c>
      <c r="J493" t="s">
        <v>62</v>
      </c>
      <c r="K493">
        <v>5</v>
      </c>
      <c r="L493">
        <v>8252</v>
      </c>
      <c r="M493">
        <v>20</v>
      </c>
      <c r="N493">
        <v>8252</v>
      </c>
      <c r="O493">
        <v>5941.44</v>
      </c>
      <c r="P493">
        <v>389</v>
      </c>
      <c r="Q493">
        <v>39338.44</v>
      </c>
      <c r="R493" t="s">
        <v>54</v>
      </c>
      <c r="S493" t="s">
        <v>34</v>
      </c>
      <c r="T493" t="s">
        <v>46</v>
      </c>
      <c r="U493" t="s">
        <v>36</v>
      </c>
      <c r="V493" t="s">
        <v>37</v>
      </c>
      <c r="W493">
        <v>5</v>
      </c>
      <c r="X493" t="s">
        <v>47</v>
      </c>
      <c r="Y493">
        <v>3</v>
      </c>
      <c r="Z493" t="s">
        <v>91</v>
      </c>
    </row>
    <row r="494" spans="1:26" x14ac:dyDescent="0.3">
      <c r="A494" t="s">
        <v>967</v>
      </c>
      <c r="B494" s="2">
        <v>45776</v>
      </c>
      <c r="C494" t="s">
        <v>203</v>
      </c>
      <c r="D494" t="s">
        <v>80</v>
      </c>
      <c r="E494" t="s">
        <v>29</v>
      </c>
      <c r="F494">
        <v>50</v>
      </c>
      <c r="G494" t="s">
        <v>67</v>
      </c>
      <c r="H494" t="s">
        <v>68</v>
      </c>
      <c r="I494" t="s">
        <v>67</v>
      </c>
      <c r="J494" t="s">
        <v>62</v>
      </c>
      <c r="K494">
        <v>1</v>
      </c>
      <c r="L494">
        <v>49467</v>
      </c>
      <c r="M494">
        <v>20</v>
      </c>
      <c r="N494">
        <v>9893.4</v>
      </c>
      <c r="O494">
        <v>7123.25</v>
      </c>
      <c r="P494">
        <v>217</v>
      </c>
      <c r="Q494">
        <v>46913.85</v>
      </c>
      <c r="R494" t="s">
        <v>54</v>
      </c>
      <c r="S494" t="s">
        <v>63</v>
      </c>
      <c r="T494" t="s">
        <v>84</v>
      </c>
      <c r="U494" t="s">
        <v>85</v>
      </c>
      <c r="V494" t="s">
        <v>86</v>
      </c>
      <c r="W494">
        <v>5</v>
      </c>
      <c r="X494" t="s">
        <v>38</v>
      </c>
      <c r="Y494">
        <v>3</v>
      </c>
      <c r="Z494" t="s">
        <v>58</v>
      </c>
    </row>
    <row r="495" spans="1:26" x14ac:dyDescent="0.3">
      <c r="A495" t="s">
        <v>968</v>
      </c>
      <c r="B495" s="2">
        <v>45941</v>
      </c>
      <c r="C495" t="s">
        <v>388</v>
      </c>
      <c r="D495" t="s">
        <v>42</v>
      </c>
      <c r="E495" t="s">
        <v>29</v>
      </c>
      <c r="F495">
        <v>55</v>
      </c>
      <c r="G495" t="s">
        <v>51</v>
      </c>
      <c r="H495" t="s">
        <v>52</v>
      </c>
      <c r="I495" t="s">
        <v>51</v>
      </c>
      <c r="J495" t="s">
        <v>102</v>
      </c>
      <c r="K495">
        <v>4</v>
      </c>
      <c r="L495">
        <v>21774</v>
      </c>
      <c r="M495">
        <v>20</v>
      </c>
      <c r="N495">
        <v>17419.2</v>
      </c>
      <c r="O495">
        <v>12541.82</v>
      </c>
      <c r="P495">
        <v>11</v>
      </c>
      <c r="Q495">
        <v>82229.62</v>
      </c>
      <c r="R495" t="s">
        <v>54</v>
      </c>
      <c r="S495" t="s">
        <v>63</v>
      </c>
      <c r="T495" t="s">
        <v>95</v>
      </c>
      <c r="U495" t="s">
        <v>96</v>
      </c>
      <c r="V495" t="s">
        <v>57</v>
      </c>
      <c r="W495">
        <v>5</v>
      </c>
      <c r="X495" t="s">
        <v>47</v>
      </c>
      <c r="Y495">
        <v>1</v>
      </c>
      <c r="Z495" t="s">
        <v>91</v>
      </c>
    </row>
    <row r="496" spans="1:26" x14ac:dyDescent="0.3">
      <c r="A496" t="s">
        <v>969</v>
      </c>
      <c r="B496" s="2">
        <v>45994</v>
      </c>
      <c r="C496" t="s">
        <v>283</v>
      </c>
      <c r="D496" t="s">
        <v>80</v>
      </c>
      <c r="E496" t="s">
        <v>43</v>
      </c>
      <c r="F496">
        <v>54</v>
      </c>
      <c r="G496" t="s">
        <v>74</v>
      </c>
      <c r="H496" t="s">
        <v>31</v>
      </c>
      <c r="I496" t="s">
        <v>74</v>
      </c>
      <c r="J496" t="s">
        <v>112</v>
      </c>
      <c r="K496">
        <v>4</v>
      </c>
      <c r="L496">
        <v>47507</v>
      </c>
      <c r="M496">
        <v>5</v>
      </c>
      <c r="N496">
        <v>9501.4</v>
      </c>
      <c r="O496">
        <v>32494.79</v>
      </c>
      <c r="P496">
        <v>181</v>
      </c>
      <c r="Q496">
        <v>213202.39</v>
      </c>
      <c r="R496" t="s">
        <v>33</v>
      </c>
      <c r="S496" t="s">
        <v>63</v>
      </c>
      <c r="T496" t="s">
        <v>95</v>
      </c>
      <c r="U496" t="s">
        <v>96</v>
      </c>
      <c r="V496" t="s">
        <v>57</v>
      </c>
      <c r="W496">
        <v>7</v>
      </c>
      <c r="X496" t="s">
        <v>47</v>
      </c>
      <c r="Y496">
        <v>2</v>
      </c>
      <c r="Z496" t="s">
        <v>91</v>
      </c>
    </row>
    <row r="497" spans="1:26" x14ac:dyDescent="0.3">
      <c r="A497" t="s">
        <v>970</v>
      </c>
      <c r="B497" s="2">
        <v>45961</v>
      </c>
      <c r="C497" t="s">
        <v>971</v>
      </c>
      <c r="D497" t="s">
        <v>73</v>
      </c>
      <c r="E497" t="s">
        <v>43</v>
      </c>
      <c r="F497">
        <v>29</v>
      </c>
      <c r="G497" t="s">
        <v>139</v>
      </c>
      <c r="H497" t="s">
        <v>31</v>
      </c>
      <c r="I497" t="s">
        <v>139</v>
      </c>
      <c r="J497" t="s">
        <v>112</v>
      </c>
      <c r="K497">
        <v>3</v>
      </c>
      <c r="L497">
        <v>36790</v>
      </c>
      <c r="M497">
        <v>10</v>
      </c>
      <c r="N497">
        <v>11037</v>
      </c>
      <c r="O497">
        <v>17879.939999999999</v>
      </c>
      <c r="P497">
        <v>0</v>
      </c>
      <c r="Q497">
        <v>117212.94</v>
      </c>
      <c r="R497" t="s">
        <v>33</v>
      </c>
      <c r="S497" t="s">
        <v>63</v>
      </c>
      <c r="T497" t="s">
        <v>95</v>
      </c>
      <c r="U497" t="s">
        <v>96</v>
      </c>
      <c r="V497" t="s">
        <v>57</v>
      </c>
      <c r="W497">
        <v>7</v>
      </c>
      <c r="X497" t="s">
        <v>38</v>
      </c>
      <c r="Y497">
        <v>1</v>
      </c>
      <c r="Z497" t="s">
        <v>91</v>
      </c>
    </row>
    <row r="498" spans="1:26" x14ac:dyDescent="0.3">
      <c r="A498" t="s">
        <v>972</v>
      </c>
      <c r="B498" s="2">
        <v>45831</v>
      </c>
      <c r="C498" t="s">
        <v>973</v>
      </c>
      <c r="D498" t="s">
        <v>66</v>
      </c>
      <c r="E498" t="s">
        <v>29</v>
      </c>
      <c r="F498">
        <v>22</v>
      </c>
      <c r="G498" t="s">
        <v>74</v>
      </c>
      <c r="H498" t="s">
        <v>31</v>
      </c>
      <c r="I498" t="s">
        <v>74</v>
      </c>
      <c r="J498" t="s">
        <v>62</v>
      </c>
      <c r="K498">
        <v>1</v>
      </c>
      <c r="L498">
        <v>29785</v>
      </c>
      <c r="M498">
        <v>20</v>
      </c>
      <c r="N498">
        <v>5957</v>
      </c>
      <c r="O498">
        <v>4289.04</v>
      </c>
      <c r="P498">
        <v>223</v>
      </c>
      <c r="Q498">
        <v>28340.04</v>
      </c>
      <c r="R498" t="s">
        <v>33</v>
      </c>
      <c r="S498" t="s">
        <v>63</v>
      </c>
      <c r="T498" t="s">
        <v>46</v>
      </c>
      <c r="U498" t="s">
        <v>36</v>
      </c>
      <c r="V498" t="s">
        <v>37</v>
      </c>
      <c r="W498">
        <v>1</v>
      </c>
      <c r="X498" t="s">
        <v>47</v>
      </c>
      <c r="Y498">
        <v>1</v>
      </c>
      <c r="Z498" t="s">
        <v>91</v>
      </c>
    </row>
    <row r="499" spans="1:26" x14ac:dyDescent="0.3">
      <c r="A499" t="s">
        <v>974</v>
      </c>
      <c r="B499" s="2">
        <v>46019</v>
      </c>
      <c r="C499" t="s">
        <v>975</v>
      </c>
      <c r="D499" t="s">
        <v>73</v>
      </c>
      <c r="E499" t="s">
        <v>29</v>
      </c>
      <c r="F499">
        <v>21</v>
      </c>
      <c r="G499" t="s">
        <v>94</v>
      </c>
      <c r="H499" t="s">
        <v>31</v>
      </c>
      <c r="I499" t="s">
        <v>94</v>
      </c>
      <c r="J499" t="s">
        <v>75</v>
      </c>
      <c r="K499">
        <v>3</v>
      </c>
      <c r="L499">
        <v>44354</v>
      </c>
      <c r="M499">
        <v>0</v>
      </c>
      <c r="N499">
        <v>0</v>
      </c>
      <c r="O499">
        <v>23951.16</v>
      </c>
      <c r="P499">
        <v>395</v>
      </c>
      <c r="Q499">
        <v>157408.16</v>
      </c>
      <c r="R499" t="s">
        <v>54</v>
      </c>
      <c r="S499" t="s">
        <v>34</v>
      </c>
      <c r="T499" t="s">
        <v>70</v>
      </c>
      <c r="U499" t="s">
        <v>56</v>
      </c>
      <c r="V499" t="s">
        <v>57</v>
      </c>
      <c r="W499">
        <v>4</v>
      </c>
      <c r="X499" t="s">
        <v>47</v>
      </c>
      <c r="Y499">
        <v>3</v>
      </c>
      <c r="Z499" t="s">
        <v>47</v>
      </c>
    </row>
    <row r="500" spans="1:26" x14ac:dyDescent="0.3">
      <c r="A500" t="s">
        <v>976</v>
      </c>
      <c r="B500" s="2">
        <v>45921</v>
      </c>
      <c r="C500" t="s">
        <v>977</v>
      </c>
      <c r="D500" t="s">
        <v>80</v>
      </c>
      <c r="E500" t="s">
        <v>29</v>
      </c>
      <c r="F500">
        <v>26</v>
      </c>
      <c r="G500" t="s">
        <v>67</v>
      </c>
      <c r="H500" t="s">
        <v>68</v>
      </c>
      <c r="I500" t="s">
        <v>67</v>
      </c>
      <c r="J500" t="s">
        <v>69</v>
      </c>
      <c r="K500">
        <v>4</v>
      </c>
      <c r="L500">
        <v>42490</v>
      </c>
      <c r="M500">
        <v>10</v>
      </c>
      <c r="N500">
        <v>16996</v>
      </c>
      <c r="O500">
        <v>27533.52</v>
      </c>
      <c r="P500">
        <v>135</v>
      </c>
      <c r="Q500">
        <v>180632.52</v>
      </c>
      <c r="R500" t="s">
        <v>54</v>
      </c>
      <c r="S500" t="s">
        <v>63</v>
      </c>
      <c r="T500" t="s">
        <v>103</v>
      </c>
      <c r="U500" t="s">
        <v>103</v>
      </c>
      <c r="V500" t="s">
        <v>57</v>
      </c>
      <c r="W500">
        <v>3</v>
      </c>
      <c r="X500" t="s">
        <v>38</v>
      </c>
      <c r="Y500">
        <v>3</v>
      </c>
      <c r="Z500" t="s">
        <v>91</v>
      </c>
    </row>
    <row r="501" spans="1:26" x14ac:dyDescent="0.3">
      <c r="A501" t="s">
        <v>978</v>
      </c>
      <c r="B501" s="2">
        <v>46014</v>
      </c>
      <c r="C501" t="s">
        <v>631</v>
      </c>
      <c r="D501" t="s">
        <v>111</v>
      </c>
      <c r="E501" t="s">
        <v>43</v>
      </c>
      <c r="F501">
        <v>28</v>
      </c>
      <c r="G501" t="s">
        <v>94</v>
      </c>
      <c r="H501" t="s">
        <v>31</v>
      </c>
      <c r="I501" t="s">
        <v>94</v>
      </c>
      <c r="J501" t="s">
        <v>150</v>
      </c>
      <c r="K501">
        <v>1</v>
      </c>
      <c r="L501">
        <v>7815</v>
      </c>
      <c r="M501">
        <v>0</v>
      </c>
      <c r="N501">
        <v>0</v>
      </c>
      <c r="O501">
        <v>1406.7</v>
      </c>
      <c r="P501">
        <v>306</v>
      </c>
      <c r="Q501">
        <v>9527.7000000000007</v>
      </c>
      <c r="R501" t="s">
        <v>45</v>
      </c>
      <c r="S501" t="s">
        <v>63</v>
      </c>
      <c r="T501" t="s">
        <v>103</v>
      </c>
      <c r="U501" t="s">
        <v>103</v>
      </c>
      <c r="V501" t="s">
        <v>57</v>
      </c>
      <c r="W501">
        <v>7</v>
      </c>
      <c r="X501" t="s">
        <v>47</v>
      </c>
      <c r="Y501">
        <v>1</v>
      </c>
      <c r="Z501" t="s">
        <v>39</v>
      </c>
    </row>
    <row r="502" spans="1:26" x14ac:dyDescent="0.3">
      <c r="A502" t="s">
        <v>979</v>
      </c>
      <c r="B502" s="2">
        <v>45949</v>
      </c>
      <c r="C502" t="s">
        <v>980</v>
      </c>
      <c r="D502" t="s">
        <v>108</v>
      </c>
      <c r="E502" t="s">
        <v>29</v>
      </c>
      <c r="F502">
        <v>47</v>
      </c>
      <c r="G502" t="s">
        <v>94</v>
      </c>
      <c r="H502" t="s">
        <v>31</v>
      </c>
      <c r="I502" t="s">
        <v>94</v>
      </c>
      <c r="J502" t="s">
        <v>112</v>
      </c>
      <c r="K502">
        <v>1</v>
      </c>
      <c r="L502">
        <v>36934</v>
      </c>
      <c r="M502">
        <v>20</v>
      </c>
      <c r="N502">
        <v>7386.8</v>
      </c>
      <c r="O502">
        <v>5318.5</v>
      </c>
      <c r="P502">
        <v>83</v>
      </c>
      <c r="Q502">
        <v>34948.699999999997</v>
      </c>
      <c r="R502" t="s">
        <v>54</v>
      </c>
      <c r="S502" t="s">
        <v>34</v>
      </c>
      <c r="T502" t="s">
        <v>46</v>
      </c>
      <c r="U502" t="s">
        <v>36</v>
      </c>
      <c r="V502" t="s">
        <v>37</v>
      </c>
      <c r="W502">
        <v>4</v>
      </c>
      <c r="X502" t="s">
        <v>38</v>
      </c>
      <c r="Y502">
        <v>3</v>
      </c>
      <c r="Z502" t="s">
        <v>47</v>
      </c>
    </row>
    <row r="503" spans="1:26" x14ac:dyDescent="0.3">
      <c r="A503" t="s">
        <v>981</v>
      </c>
      <c r="B503" s="2">
        <v>46005</v>
      </c>
      <c r="C503" t="s">
        <v>810</v>
      </c>
      <c r="D503" t="s">
        <v>66</v>
      </c>
      <c r="E503" t="s">
        <v>43</v>
      </c>
      <c r="F503">
        <v>25</v>
      </c>
      <c r="G503" t="s">
        <v>90</v>
      </c>
      <c r="H503" t="s">
        <v>31</v>
      </c>
      <c r="I503" t="s">
        <v>90</v>
      </c>
      <c r="J503" t="s">
        <v>32</v>
      </c>
      <c r="K503">
        <v>4</v>
      </c>
      <c r="L503">
        <v>22888</v>
      </c>
      <c r="M503">
        <v>0</v>
      </c>
      <c r="N503">
        <v>0</v>
      </c>
      <c r="O503">
        <v>16479.36</v>
      </c>
      <c r="P503">
        <v>377</v>
      </c>
      <c r="Q503">
        <v>108408.36</v>
      </c>
      <c r="R503" t="s">
        <v>83</v>
      </c>
      <c r="S503" t="s">
        <v>34</v>
      </c>
      <c r="T503" t="s">
        <v>70</v>
      </c>
      <c r="U503" t="s">
        <v>56</v>
      </c>
      <c r="V503" t="s">
        <v>57</v>
      </c>
      <c r="W503">
        <v>10</v>
      </c>
      <c r="X503" t="s">
        <v>38</v>
      </c>
      <c r="Y503">
        <v>1</v>
      </c>
      <c r="Z503" t="s">
        <v>39</v>
      </c>
    </row>
    <row r="504" spans="1:26" x14ac:dyDescent="0.3">
      <c r="A504" t="s">
        <v>982</v>
      </c>
      <c r="B504" s="2">
        <v>46008</v>
      </c>
      <c r="C504" t="s">
        <v>983</v>
      </c>
      <c r="D504" t="s">
        <v>28</v>
      </c>
      <c r="E504" t="s">
        <v>43</v>
      </c>
      <c r="F504">
        <v>27</v>
      </c>
      <c r="G504" t="s">
        <v>99</v>
      </c>
      <c r="H504" t="s">
        <v>52</v>
      </c>
      <c r="I504" t="s">
        <v>99</v>
      </c>
      <c r="J504" t="s">
        <v>62</v>
      </c>
      <c r="K504">
        <v>4</v>
      </c>
      <c r="L504">
        <v>36131</v>
      </c>
      <c r="M504">
        <v>0</v>
      </c>
      <c r="N504">
        <v>0</v>
      </c>
      <c r="O504">
        <v>26014.32</v>
      </c>
      <c r="P504">
        <v>402</v>
      </c>
      <c r="Q504">
        <v>170940.32</v>
      </c>
      <c r="R504" t="s">
        <v>45</v>
      </c>
      <c r="S504" t="s">
        <v>63</v>
      </c>
      <c r="T504" t="s">
        <v>70</v>
      </c>
      <c r="U504" t="s">
        <v>56</v>
      </c>
      <c r="V504" t="s">
        <v>57</v>
      </c>
      <c r="W504">
        <v>4</v>
      </c>
      <c r="X504" t="s">
        <v>38</v>
      </c>
      <c r="Y504">
        <v>4</v>
      </c>
      <c r="Z504" t="s">
        <v>58</v>
      </c>
    </row>
    <row r="505" spans="1:26" x14ac:dyDescent="0.3">
      <c r="A505" t="s">
        <v>984</v>
      </c>
      <c r="B505" s="2">
        <v>45948</v>
      </c>
      <c r="C505" t="s">
        <v>985</v>
      </c>
      <c r="D505" t="s">
        <v>66</v>
      </c>
      <c r="E505" t="s">
        <v>43</v>
      </c>
      <c r="F505">
        <v>43</v>
      </c>
      <c r="G505" t="s">
        <v>44</v>
      </c>
      <c r="H505" t="s">
        <v>31</v>
      </c>
      <c r="I505" t="s">
        <v>44</v>
      </c>
      <c r="J505" t="s">
        <v>53</v>
      </c>
      <c r="K505">
        <v>2</v>
      </c>
      <c r="L505">
        <v>1030</v>
      </c>
      <c r="M505">
        <v>0</v>
      </c>
      <c r="N505">
        <v>0</v>
      </c>
      <c r="O505">
        <v>370.8</v>
      </c>
      <c r="P505">
        <v>174</v>
      </c>
      <c r="Q505">
        <v>2604.8000000000002</v>
      </c>
      <c r="R505" t="s">
        <v>45</v>
      </c>
      <c r="S505" t="s">
        <v>34</v>
      </c>
      <c r="T505" t="s">
        <v>35</v>
      </c>
      <c r="U505" t="s">
        <v>36</v>
      </c>
      <c r="V505" t="s">
        <v>37</v>
      </c>
      <c r="W505">
        <v>7</v>
      </c>
      <c r="X505" t="s">
        <v>47</v>
      </c>
      <c r="Y505">
        <v>2</v>
      </c>
      <c r="Z505" t="s">
        <v>91</v>
      </c>
    </row>
    <row r="506" spans="1:26" x14ac:dyDescent="0.3">
      <c r="A506" t="s">
        <v>986</v>
      </c>
      <c r="B506" s="2">
        <v>45963</v>
      </c>
      <c r="C506" t="s">
        <v>647</v>
      </c>
      <c r="D506" t="s">
        <v>73</v>
      </c>
      <c r="E506" t="s">
        <v>29</v>
      </c>
      <c r="F506">
        <v>55</v>
      </c>
      <c r="G506" t="s">
        <v>67</v>
      </c>
      <c r="H506" t="s">
        <v>68</v>
      </c>
      <c r="I506" t="s">
        <v>67</v>
      </c>
      <c r="J506" t="s">
        <v>32</v>
      </c>
      <c r="K506">
        <v>3</v>
      </c>
      <c r="L506">
        <v>22483</v>
      </c>
      <c r="M506">
        <v>15</v>
      </c>
      <c r="N506">
        <v>10117.35</v>
      </c>
      <c r="O506">
        <v>10319.700000000001</v>
      </c>
      <c r="P506">
        <v>275</v>
      </c>
      <c r="Q506">
        <v>67926.350000000006</v>
      </c>
      <c r="R506" t="s">
        <v>54</v>
      </c>
      <c r="S506" t="s">
        <v>34</v>
      </c>
      <c r="T506" t="s">
        <v>46</v>
      </c>
      <c r="U506" t="s">
        <v>36</v>
      </c>
      <c r="V506" t="s">
        <v>37</v>
      </c>
      <c r="W506">
        <v>7</v>
      </c>
      <c r="X506" t="s">
        <v>38</v>
      </c>
      <c r="Y506">
        <v>5</v>
      </c>
      <c r="Z506" t="s">
        <v>58</v>
      </c>
    </row>
    <row r="507" spans="1:26" x14ac:dyDescent="0.3">
      <c r="A507" t="s">
        <v>987</v>
      </c>
      <c r="B507" s="2">
        <v>45877</v>
      </c>
      <c r="C507" t="s">
        <v>635</v>
      </c>
      <c r="D507" t="s">
        <v>28</v>
      </c>
      <c r="E507" t="s">
        <v>43</v>
      </c>
      <c r="F507">
        <v>26</v>
      </c>
      <c r="G507" t="s">
        <v>90</v>
      </c>
      <c r="H507" t="s">
        <v>31</v>
      </c>
      <c r="I507" t="s">
        <v>90</v>
      </c>
      <c r="J507" t="s">
        <v>53</v>
      </c>
      <c r="K507">
        <v>4</v>
      </c>
      <c r="L507">
        <v>7865</v>
      </c>
      <c r="M507">
        <v>0</v>
      </c>
      <c r="N507">
        <v>0</v>
      </c>
      <c r="O507">
        <v>5662.8</v>
      </c>
      <c r="P507">
        <v>311</v>
      </c>
      <c r="Q507">
        <v>37433.800000000003</v>
      </c>
      <c r="R507" t="s">
        <v>33</v>
      </c>
      <c r="S507" t="s">
        <v>34</v>
      </c>
      <c r="T507" t="s">
        <v>103</v>
      </c>
      <c r="U507" t="s">
        <v>103</v>
      </c>
      <c r="V507" t="s">
        <v>57</v>
      </c>
      <c r="W507">
        <v>8</v>
      </c>
      <c r="X507" t="s">
        <v>38</v>
      </c>
      <c r="Y507">
        <v>3</v>
      </c>
      <c r="Z507" t="s">
        <v>58</v>
      </c>
    </row>
    <row r="508" spans="1:26" x14ac:dyDescent="0.3">
      <c r="A508" t="s">
        <v>988</v>
      </c>
      <c r="B508" s="2">
        <v>45980</v>
      </c>
      <c r="C508" t="s">
        <v>989</v>
      </c>
      <c r="D508" t="s">
        <v>66</v>
      </c>
      <c r="E508" t="s">
        <v>29</v>
      </c>
      <c r="F508">
        <v>27</v>
      </c>
      <c r="G508" t="s">
        <v>99</v>
      </c>
      <c r="H508" t="s">
        <v>52</v>
      </c>
      <c r="I508" t="s">
        <v>99</v>
      </c>
      <c r="J508" t="s">
        <v>102</v>
      </c>
      <c r="K508">
        <v>5</v>
      </c>
      <c r="L508">
        <v>20520</v>
      </c>
      <c r="M508">
        <v>20</v>
      </c>
      <c r="N508">
        <v>20520</v>
      </c>
      <c r="O508">
        <v>14774.4</v>
      </c>
      <c r="P508">
        <v>70</v>
      </c>
      <c r="Q508">
        <v>96924.4</v>
      </c>
      <c r="R508" t="s">
        <v>33</v>
      </c>
      <c r="S508" t="s">
        <v>63</v>
      </c>
      <c r="T508" t="s">
        <v>95</v>
      </c>
      <c r="U508" t="s">
        <v>96</v>
      </c>
      <c r="V508" t="s">
        <v>57</v>
      </c>
      <c r="W508">
        <v>10</v>
      </c>
      <c r="X508" t="s">
        <v>38</v>
      </c>
      <c r="Y508">
        <v>5</v>
      </c>
      <c r="Z508" t="s">
        <v>91</v>
      </c>
    </row>
    <row r="509" spans="1:26" x14ac:dyDescent="0.3">
      <c r="A509" t="s">
        <v>990</v>
      </c>
      <c r="B509" s="2">
        <v>45770</v>
      </c>
      <c r="C509" t="s">
        <v>293</v>
      </c>
      <c r="D509" t="s">
        <v>42</v>
      </c>
      <c r="E509" t="s">
        <v>43</v>
      </c>
      <c r="F509">
        <v>32</v>
      </c>
      <c r="G509" t="s">
        <v>134</v>
      </c>
      <c r="H509" t="s">
        <v>31</v>
      </c>
      <c r="I509" t="s">
        <v>134</v>
      </c>
      <c r="J509" t="s">
        <v>69</v>
      </c>
      <c r="K509">
        <v>3</v>
      </c>
      <c r="L509">
        <v>31680</v>
      </c>
      <c r="M509">
        <v>0</v>
      </c>
      <c r="N509">
        <v>0</v>
      </c>
      <c r="O509">
        <v>17107.2</v>
      </c>
      <c r="P509">
        <v>218</v>
      </c>
      <c r="Q509">
        <v>112365.2</v>
      </c>
      <c r="R509" t="s">
        <v>83</v>
      </c>
      <c r="S509" t="s">
        <v>63</v>
      </c>
      <c r="T509" t="s">
        <v>55</v>
      </c>
      <c r="U509" t="s">
        <v>56</v>
      </c>
      <c r="V509" t="s">
        <v>57</v>
      </c>
      <c r="W509">
        <v>7</v>
      </c>
      <c r="X509" t="s">
        <v>38</v>
      </c>
      <c r="Y509">
        <v>5</v>
      </c>
      <c r="Z509" t="s">
        <v>47</v>
      </c>
    </row>
    <row r="510" spans="1:26" x14ac:dyDescent="0.3">
      <c r="A510" t="s">
        <v>991</v>
      </c>
      <c r="B510" s="2">
        <v>45876</v>
      </c>
      <c r="C510" t="s">
        <v>992</v>
      </c>
      <c r="D510" t="s">
        <v>61</v>
      </c>
      <c r="E510" t="s">
        <v>29</v>
      </c>
      <c r="F510">
        <v>56</v>
      </c>
      <c r="G510" t="s">
        <v>74</v>
      </c>
      <c r="H510" t="s">
        <v>31</v>
      </c>
      <c r="I510" t="s">
        <v>74</v>
      </c>
      <c r="J510" t="s">
        <v>53</v>
      </c>
      <c r="K510">
        <v>5</v>
      </c>
      <c r="L510">
        <v>9895</v>
      </c>
      <c r="M510">
        <v>20</v>
      </c>
      <c r="N510">
        <v>9895</v>
      </c>
      <c r="O510">
        <v>7124.4</v>
      </c>
      <c r="P510">
        <v>285</v>
      </c>
      <c r="Q510">
        <v>46989.4</v>
      </c>
      <c r="R510" t="s">
        <v>45</v>
      </c>
      <c r="S510" t="s">
        <v>63</v>
      </c>
      <c r="T510" t="s">
        <v>55</v>
      </c>
      <c r="U510" t="s">
        <v>56</v>
      </c>
      <c r="V510" t="s">
        <v>57</v>
      </c>
      <c r="W510">
        <v>10</v>
      </c>
      <c r="X510" t="s">
        <v>38</v>
      </c>
      <c r="Y510">
        <v>3</v>
      </c>
      <c r="Z510" t="s">
        <v>58</v>
      </c>
    </row>
    <row r="511" spans="1:26" x14ac:dyDescent="0.3">
      <c r="A511" t="s">
        <v>993</v>
      </c>
      <c r="B511" s="2">
        <v>46106</v>
      </c>
      <c r="C511" t="s">
        <v>623</v>
      </c>
      <c r="D511" t="s">
        <v>89</v>
      </c>
      <c r="E511" t="s">
        <v>29</v>
      </c>
      <c r="F511">
        <v>48</v>
      </c>
      <c r="G511" t="s">
        <v>30</v>
      </c>
      <c r="H511" t="s">
        <v>31</v>
      </c>
      <c r="I511" t="s">
        <v>30</v>
      </c>
      <c r="J511" t="s">
        <v>201</v>
      </c>
      <c r="K511">
        <v>4</v>
      </c>
      <c r="L511">
        <v>11370</v>
      </c>
      <c r="M511">
        <v>10</v>
      </c>
      <c r="N511">
        <v>4548</v>
      </c>
      <c r="O511">
        <v>7367.76</v>
      </c>
      <c r="P511">
        <v>129</v>
      </c>
      <c r="Q511">
        <v>48428.76</v>
      </c>
      <c r="R511" t="s">
        <v>83</v>
      </c>
      <c r="S511" t="s">
        <v>63</v>
      </c>
      <c r="T511" t="s">
        <v>46</v>
      </c>
      <c r="U511" t="s">
        <v>36</v>
      </c>
      <c r="V511" t="s">
        <v>37</v>
      </c>
      <c r="W511">
        <v>4</v>
      </c>
      <c r="X511" t="s">
        <v>47</v>
      </c>
      <c r="Y511">
        <v>4</v>
      </c>
      <c r="Z511" t="s">
        <v>39</v>
      </c>
    </row>
    <row r="512" spans="1:26" x14ac:dyDescent="0.3">
      <c r="A512" t="s">
        <v>994</v>
      </c>
      <c r="B512" s="2">
        <v>46025</v>
      </c>
      <c r="C512" t="s">
        <v>995</v>
      </c>
      <c r="D512" t="s">
        <v>42</v>
      </c>
      <c r="E512" t="s">
        <v>43</v>
      </c>
      <c r="F512">
        <v>51</v>
      </c>
      <c r="G512" t="s">
        <v>99</v>
      </c>
      <c r="H512" t="s">
        <v>52</v>
      </c>
      <c r="I512" t="s">
        <v>99</v>
      </c>
      <c r="J512" t="s">
        <v>150</v>
      </c>
      <c r="K512">
        <v>1</v>
      </c>
      <c r="L512">
        <v>47284</v>
      </c>
      <c r="M512">
        <v>15</v>
      </c>
      <c r="N512">
        <v>7092.6</v>
      </c>
      <c r="O512">
        <v>7234.45</v>
      </c>
      <c r="P512">
        <v>432</v>
      </c>
      <c r="Q512">
        <v>47857.85</v>
      </c>
      <c r="R512" t="s">
        <v>33</v>
      </c>
      <c r="S512" t="s">
        <v>34</v>
      </c>
      <c r="T512" t="s">
        <v>76</v>
      </c>
      <c r="U512" t="s">
        <v>77</v>
      </c>
      <c r="V512" t="s">
        <v>57</v>
      </c>
      <c r="W512">
        <v>9</v>
      </c>
      <c r="X512" t="s">
        <v>38</v>
      </c>
      <c r="Y512">
        <v>4</v>
      </c>
      <c r="Z512" t="s">
        <v>91</v>
      </c>
    </row>
    <row r="513" spans="1:26" x14ac:dyDescent="0.3">
      <c r="A513" t="s">
        <v>996</v>
      </c>
      <c r="B513" s="2">
        <v>45941</v>
      </c>
      <c r="C513" t="s">
        <v>997</v>
      </c>
      <c r="D513" t="s">
        <v>111</v>
      </c>
      <c r="E513" t="s">
        <v>29</v>
      </c>
      <c r="F513">
        <v>49</v>
      </c>
      <c r="G513" t="s">
        <v>94</v>
      </c>
      <c r="H513" t="s">
        <v>31</v>
      </c>
      <c r="I513" t="s">
        <v>94</v>
      </c>
      <c r="J513" t="s">
        <v>62</v>
      </c>
      <c r="K513">
        <v>5</v>
      </c>
      <c r="L513">
        <v>15893</v>
      </c>
      <c r="M513">
        <v>15</v>
      </c>
      <c r="N513">
        <v>11919.75</v>
      </c>
      <c r="O513">
        <v>12158.15</v>
      </c>
      <c r="P513">
        <v>282</v>
      </c>
      <c r="Q513">
        <v>79985.399999999994</v>
      </c>
      <c r="R513" t="s">
        <v>33</v>
      </c>
      <c r="S513" t="s">
        <v>34</v>
      </c>
      <c r="T513" t="s">
        <v>84</v>
      </c>
      <c r="U513" t="s">
        <v>85</v>
      </c>
      <c r="V513" t="s">
        <v>86</v>
      </c>
      <c r="W513">
        <v>9</v>
      </c>
      <c r="X513" t="s">
        <v>47</v>
      </c>
      <c r="Y513">
        <v>4</v>
      </c>
      <c r="Z513" t="s">
        <v>91</v>
      </c>
    </row>
    <row r="514" spans="1:26" x14ac:dyDescent="0.3">
      <c r="A514" t="s">
        <v>998</v>
      </c>
      <c r="B514" s="2">
        <v>45939</v>
      </c>
      <c r="C514" t="s">
        <v>999</v>
      </c>
      <c r="D514" t="s">
        <v>28</v>
      </c>
      <c r="E514" t="s">
        <v>43</v>
      </c>
      <c r="F514">
        <v>24</v>
      </c>
      <c r="G514" t="s">
        <v>74</v>
      </c>
      <c r="H514" t="s">
        <v>31</v>
      </c>
      <c r="I514" t="s">
        <v>74</v>
      </c>
      <c r="J514" t="s">
        <v>112</v>
      </c>
      <c r="K514">
        <v>5</v>
      </c>
      <c r="L514">
        <v>27748</v>
      </c>
      <c r="M514">
        <v>10</v>
      </c>
      <c r="N514">
        <v>13874</v>
      </c>
      <c r="O514">
        <v>22475.88</v>
      </c>
      <c r="P514">
        <v>237</v>
      </c>
      <c r="Q514">
        <v>147578.88</v>
      </c>
      <c r="R514" t="s">
        <v>33</v>
      </c>
      <c r="S514" t="s">
        <v>34</v>
      </c>
      <c r="T514" t="s">
        <v>76</v>
      </c>
      <c r="U514" t="s">
        <v>77</v>
      </c>
      <c r="V514" t="s">
        <v>57</v>
      </c>
      <c r="W514">
        <v>9</v>
      </c>
      <c r="X514" t="s">
        <v>47</v>
      </c>
      <c r="Y514">
        <v>2</v>
      </c>
      <c r="Z514" t="s">
        <v>91</v>
      </c>
    </row>
    <row r="515" spans="1:26" x14ac:dyDescent="0.3">
      <c r="A515" t="s">
        <v>1000</v>
      </c>
      <c r="B515" s="2">
        <v>46082</v>
      </c>
      <c r="C515" t="s">
        <v>1001</v>
      </c>
      <c r="D515" t="s">
        <v>89</v>
      </c>
      <c r="E515" t="s">
        <v>43</v>
      </c>
      <c r="F515">
        <v>30</v>
      </c>
      <c r="G515" t="s">
        <v>67</v>
      </c>
      <c r="H515" t="s">
        <v>68</v>
      </c>
      <c r="I515" t="s">
        <v>67</v>
      </c>
      <c r="J515" t="s">
        <v>112</v>
      </c>
      <c r="K515">
        <v>1</v>
      </c>
      <c r="L515">
        <v>48180</v>
      </c>
      <c r="M515">
        <v>0</v>
      </c>
      <c r="N515">
        <v>0</v>
      </c>
      <c r="O515">
        <v>8672.4</v>
      </c>
      <c r="P515">
        <v>48</v>
      </c>
      <c r="Q515">
        <v>56900.4</v>
      </c>
      <c r="R515" t="s">
        <v>33</v>
      </c>
      <c r="S515" t="s">
        <v>63</v>
      </c>
      <c r="T515" t="s">
        <v>46</v>
      </c>
      <c r="U515" t="s">
        <v>36</v>
      </c>
      <c r="V515" t="s">
        <v>37</v>
      </c>
      <c r="W515">
        <v>7</v>
      </c>
      <c r="X515" t="s">
        <v>38</v>
      </c>
      <c r="Y515">
        <v>3</v>
      </c>
      <c r="Z515" t="s">
        <v>39</v>
      </c>
    </row>
    <row r="516" spans="1:26" x14ac:dyDescent="0.3">
      <c r="A516" t="s">
        <v>1002</v>
      </c>
      <c r="B516" s="2">
        <v>46016</v>
      </c>
      <c r="C516" t="s">
        <v>1003</v>
      </c>
      <c r="D516" t="s">
        <v>73</v>
      </c>
      <c r="E516" t="s">
        <v>29</v>
      </c>
      <c r="F516">
        <v>49</v>
      </c>
      <c r="G516" t="s">
        <v>99</v>
      </c>
      <c r="H516" t="s">
        <v>52</v>
      </c>
      <c r="I516" t="s">
        <v>99</v>
      </c>
      <c r="J516" t="s">
        <v>201</v>
      </c>
      <c r="K516">
        <v>3</v>
      </c>
      <c r="L516">
        <v>13292</v>
      </c>
      <c r="M516">
        <v>15</v>
      </c>
      <c r="N516">
        <v>5981.4</v>
      </c>
      <c r="O516">
        <v>6101.03</v>
      </c>
      <c r="P516">
        <v>233</v>
      </c>
      <c r="Q516">
        <v>40228.629999999997</v>
      </c>
      <c r="R516" t="s">
        <v>83</v>
      </c>
      <c r="S516" t="s">
        <v>34</v>
      </c>
      <c r="T516" t="s">
        <v>70</v>
      </c>
      <c r="U516" t="s">
        <v>56</v>
      </c>
      <c r="V516" t="s">
        <v>57</v>
      </c>
      <c r="W516">
        <v>1</v>
      </c>
      <c r="X516" t="s">
        <v>38</v>
      </c>
      <c r="Y516">
        <v>4</v>
      </c>
      <c r="Z516" t="s">
        <v>58</v>
      </c>
    </row>
    <row r="517" spans="1:26" x14ac:dyDescent="0.3">
      <c r="A517" t="s">
        <v>1004</v>
      </c>
      <c r="B517" s="2">
        <v>46120</v>
      </c>
      <c r="C517" t="s">
        <v>1005</v>
      </c>
      <c r="D517" t="s">
        <v>66</v>
      </c>
      <c r="E517" t="s">
        <v>29</v>
      </c>
      <c r="F517">
        <v>19</v>
      </c>
      <c r="G517" t="s">
        <v>134</v>
      </c>
      <c r="H517" t="s">
        <v>31</v>
      </c>
      <c r="I517" t="s">
        <v>134</v>
      </c>
      <c r="J517" t="s">
        <v>201</v>
      </c>
      <c r="K517">
        <v>4</v>
      </c>
      <c r="L517">
        <v>48469</v>
      </c>
      <c r="M517">
        <v>20</v>
      </c>
      <c r="N517">
        <v>38775.199999999997</v>
      </c>
      <c r="O517">
        <v>27918.14</v>
      </c>
      <c r="P517">
        <v>368</v>
      </c>
      <c r="Q517">
        <v>183386.94</v>
      </c>
      <c r="R517" t="s">
        <v>45</v>
      </c>
      <c r="S517" t="s">
        <v>63</v>
      </c>
      <c r="T517" t="s">
        <v>35</v>
      </c>
      <c r="U517" t="s">
        <v>36</v>
      </c>
      <c r="V517" t="s">
        <v>37</v>
      </c>
      <c r="W517">
        <v>6</v>
      </c>
      <c r="X517" t="s">
        <v>38</v>
      </c>
      <c r="Y517">
        <v>2</v>
      </c>
      <c r="Z517" t="s">
        <v>91</v>
      </c>
    </row>
    <row r="518" spans="1:26" x14ac:dyDescent="0.3">
      <c r="A518" t="s">
        <v>1006</v>
      </c>
      <c r="B518" s="2">
        <v>45990</v>
      </c>
      <c r="C518" t="s">
        <v>1007</v>
      </c>
      <c r="D518" t="s">
        <v>111</v>
      </c>
      <c r="E518" t="s">
        <v>43</v>
      </c>
      <c r="F518">
        <v>53</v>
      </c>
      <c r="G518" t="s">
        <v>139</v>
      </c>
      <c r="H518" t="s">
        <v>31</v>
      </c>
      <c r="I518" t="s">
        <v>139</v>
      </c>
      <c r="J518" t="s">
        <v>75</v>
      </c>
      <c r="K518">
        <v>5</v>
      </c>
      <c r="L518">
        <v>31571</v>
      </c>
      <c r="M518">
        <v>5</v>
      </c>
      <c r="N518">
        <v>7892.75</v>
      </c>
      <c r="O518">
        <v>26993.200000000001</v>
      </c>
      <c r="P518">
        <v>388</v>
      </c>
      <c r="Q518">
        <v>177343.45</v>
      </c>
      <c r="R518" t="s">
        <v>54</v>
      </c>
      <c r="S518" t="s">
        <v>63</v>
      </c>
      <c r="T518" t="s">
        <v>103</v>
      </c>
      <c r="U518" t="s">
        <v>103</v>
      </c>
      <c r="V518" t="s">
        <v>57</v>
      </c>
      <c r="W518">
        <v>2</v>
      </c>
      <c r="X518" t="s">
        <v>38</v>
      </c>
      <c r="Y518">
        <v>2</v>
      </c>
      <c r="Z518" t="s">
        <v>47</v>
      </c>
    </row>
    <row r="519" spans="1:26" x14ac:dyDescent="0.3">
      <c r="A519" t="s">
        <v>1008</v>
      </c>
      <c r="B519" s="2">
        <v>46044</v>
      </c>
      <c r="C519" t="s">
        <v>1009</v>
      </c>
      <c r="D519" t="s">
        <v>111</v>
      </c>
      <c r="E519" t="s">
        <v>43</v>
      </c>
      <c r="F519">
        <v>23</v>
      </c>
      <c r="G519" t="s">
        <v>51</v>
      </c>
      <c r="H519" t="s">
        <v>52</v>
      </c>
      <c r="I519" t="s">
        <v>51</v>
      </c>
      <c r="J519" t="s">
        <v>62</v>
      </c>
      <c r="K519">
        <v>3</v>
      </c>
      <c r="L519">
        <v>48754</v>
      </c>
      <c r="M519">
        <v>10</v>
      </c>
      <c r="N519">
        <v>14626.2</v>
      </c>
      <c r="O519">
        <v>23694.44</v>
      </c>
      <c r="P519">
        <v>56</v>
      </c>
      <c r="Q519">
        <v>155386.23999999999</v>
      </c>
      <c r="R519" t="s">
        <v>83</v>
      </c>
      <c r="S519" t="s">
        <v>63</v>
      </c>
      <c r="T519" t="s">
        <v>103</v>
      </c>
      <c r="U519" t="s">
        <v>103</v>
      </c>
      <c r="V519" t="s">
        <v>57</v>
      </c>
      <c r="W519">
        <v>4</v>
      </c>
      <c r="X519" t="s">
        <v>47</v>
      </c>
      <c r="Y519">
        <v>2</v>
      </c>
      <c r="Z519" t="s">
        <v>39</v>
      </c>
    </row>
    <row r="520" spans="1:26" x14ac:dyDescent="0.3">
      <c r="A520" t="s">
        <v>1010</v>
      </c>
      <c r="B520" s="2">
        <v>45761</v>
      </c>
      <c r="C520" t="s">
        <v>515</v>
      </c>
      <c r="D520" t="s">
        <v>50</v>
      </c>
      <c r="E520" t="s">
        <v>43</v>
      </c>
      <c r="F520">
        <v>59</v>
      </c>
      <c r="G520" t="s">
        <v>99</v>
      </c>
      <c r="H520" t="s">
        <v>52</v>
      </c>
      <c r="I520" t="s">
        <v>99</v>
      </c>
      <c r="J520" t="s">
        <v>125</v>
      </c>
      <c r="K520">
        <v>5</v>
      </c>
      <c r="L520">
        <v>49241</v>
      </c>
      <c r="M520">
        <v>20</v>
      </c>
      <c r="N520">
        <v>49241</v>
      </c>
      <c r="O520">
        <v>35453.519999999997</v>
      </c>
      <c r="P520">
        <v>323</v>
      </c>
      <c r="Q520">
        <v>232740.52</v>
      </c>
      <c r="R520" t="s">
        <v>45</v>
      </c>
      <c r="S520" t="s">
        <v>63</v>
      </c>
      <c r="T520" t="s">
        <v>35</v>
      </c>
      <c r="U520" t="s">
        <v>36</v>
      </c>
      <c r="V520" t="s">
        <v>37</v>
      </c>
      <c r="W520">
        <v>9</v>
      </c>
      <c r="X520" t="s">
        <v>47</v>
      </c>
      <c r="Y520">
        <v>3</v>
      </c>
      <c r="Z520" t="s">
        <v>58</v>
      </c>
    </row>
    <row r="521" spans="1:26" x14ac:dyDescent="0.3">
      <c r="A521" t="s">
        <v>1011</v>
      </c>
      <c r="B521" s="2">
        <v>45802</v>
      </c>
      <c r="C521" t="s">
        <v>359</v>
      </c>
      <c r="D521" t="s">
        <v>80</v>
      </c>
      <c r="E521" t="s">
        <v>43</v>
      </c>
      <c r="F521">
        <v>52</v>
      </c>
      <c r="G521" t="s">
        <v>134</v>
      </c>
      <c r="H521" t="s">
        <v>31</v>
      </c>
      <c r="I521" t="s">
        <v>134</v>
      </c>
      <c r="J521" t="s">
        <v>75</v>
      </c>
      <c r="K521">
        <v>2</v>
      </c>
      <c r="L521">
        <v>17576</v>
      </c>
      <c r="M521">
        <v>10</v>
      </c>
      <c r="N521">
        <v>3515.2</v>
      </c>
      <c r="O521">
        <v>5694.62</v>
      </c>
      <c r="P521">
        <v>234</v>
      </c>
      <c r="Q521">
        <v>37565.42</v>
      </c>
      <c r="R521" t="s">
        <v>54</v>
      </c>
      <c r="S521" t="s">
        <v>34</v>
      </c>
      <c r="T521" t="s">
        <v>55</v>
      </c>
      <c r="U521" t="s">
        <v>56</v>
      </c>
      <c r="V521" t="s">
        <v>57</v>
      </c>
      <c r="W521">
        <v>8</v>
      </c>
      <c r="X521" t="s">
        <v>47</v>
      </c>
      <c r="Y521">
        <v>4</v>
      </c>
      <c r="Z521" t="s">
        <v>91</v>
      </c>
    </row>
    <row r="522" spans="1:26" x14ac:dyDescent="0.3">
      <c r="A522" t="s">
        <v>1012</v>
      </c>
      <c r="B522" s="2">
        <v>46034</v>
      </c>
      <c r="C522" t="s">
        <v>459</v>
      </c>
      <c r="D522" t="s">
        <v>73</v>
      </c>
      <c r="E522" t="s">
        <v>43</v>
      </c>
      <c r="F522">
        <v>48</v>
      </c>
      <c r="G522" t="s">
        <v>99</v>
      </c>
      <c r="H522" t="s">
        <v>52</v>
      </c>
      <c r="I522" t="s">
        <v>99</v>
      </c>
      <c r="J522" t="s">
        <v>201</v>
      </c>
      <c r="K522">
        <v>4</v>
      </c>
      <c r="L522">
        <v>14213</v>
      </c>
      <c r="M522">
        <v>5</v>
      </c>
      <c r="N522">
        <v>2842.6</v>
      </c>
      <c r="O522">
        <v>9721.69</v>
      </c>
      <c r="P522">
        <v>74</v>
      </c>
      <c r="Q522">
        <v>63805.09</v>
      </c>
      <c r="R522" t="s">
        <v>45</v>
      </c>
      <c r="S522" t="s">
        <v>34</v>
      </c>
      <c r="T522" t="s">
        <v>35</v>
      </c>
      <c r="U522" t="s">
        <v>36</v>
      </c>
      <c r="V522" t="s">
        <v>37</v>
      </c>
      <c r="W522">
        <v>8</v>
      </c>
      <c r="X522" t="s">
        <v>47</v>
      </c>
      <c r="Y522">
        <v>5</v>
      </c>
      <c r="Z522" t="s">
        <v>91</v>
      </c>
    </row>
    <row r="523" spans="1:26" x14ac:dyDescent="0.3">
      <c r="A523" t="s">
        <v>1013</v>
      </c>
      <c r="B523" s="2">
        <v>45953</v>
      </c>
      <c r="C523" t="s">
        <v>764</v>
      </c>
      <c r="D523" t="s">
        <v>111</v>
      </c>
      <c r="E523" t="s">
        <v>43</v>
      </c>
      <c r="F523">
        <v>35</v>
      </c>
      <c r="G523" t="s">
        <v>67</v>
      </c>
      <c r="H523" t="s">
        <v>68</v>
      </c>
      <c r="I523" t="s">
        <v>67</v>
      </c>
      <c r="J523" t="s">
        <v>201</v>
      </c>
      <c r="K523">
        <v>1</v>
      </c>
      <c r="L523">
        <v>43439</v>
      </c>
      <c r="M523">
        <v>0</v>
      </c>
      <c r="N523">
        <v>0</v>
      </c>
      <c r="O523">
        <v>7819.02</v>
      </c>
      <c r="P523">
        <v>403</v>
      </c>
      <c r="Q523">
        <v>51661.02</v>
      </c>
      <c r="R523" t="s">
        <v>45</v>
      </c>
      <c r="S523" t="s">
        <v>63</v>
      </c>
      <c r="T523" t="s">
        <v>35</v>
      </c>
      <c r="U523" t="s">
        <v>36</v>
      </c>
      <c r="V523" t="s">
        <v>37</v>
      </c>
      <c r="W523">
        <v>3</v>
      </c>
      <c r="X523" t="s">
        <v>38</v>
      </c>
      <c r="Y523">
        <v>1</v>
      </c>
      <c r="Z523" t="s">
        <v>58</v>
      </c>
    </row>
    <row r="524" spans="1:26" x14ac:dyDescent="0.3">
      <c r="A524" t="s">
        <v>1014</v>
      </c>
      <c r="B524" s="2">
        <v>45966</v>
      </c>
      <c r="C524" t="s">
        <v>1015</v>
      </c>
      <c r="D524" t="s">
        <v>73</v>
      </c>
      <c r="E524" t="s">
        <v>43</v>
      </c>
      <c r="F524">
        <v>42</v>
      </c>
      <c r="G524" t="s">
        <v>51</v>
      </c>
      <c r="H524" t="s">
        <v>52</v>
      </c>
      <c r="I524" t="s">
        <v>51</v>
      </c>
      <c r="J524" t="s">
        <v>112</v>
      </c>
      <c r="K524">
        <v>1</v>
      </c>
      <c r="L524">
        <v>35941</v>
      </c>
      <c r="M524">
        <v>5</v>
      </c>
      <c r="N524">
        <v>1797.05</v>
      </c>
      <c r="O524">
        <v>6145.91</v>
      </c>
      <c r="P524">
        <v>20</v>
      </c>
      <c r="Q524">
        <v>40309.86</v>
      </c>
      <c r="R524" t="s">
        <v>45</v>
      </c>
      <c r="S524" t="s">
        <v>63</v>
      </c>
      <c r="T524" t="s">
        <v>46</v>
      </c>
      <c r="U524" t="s">
        <v>36</v>
      </c>
      <c r="V524" t="s">
        <v>37</v>
      </c>
      <c r="W524">
        <v>2</v>
      </c>
      <c r="X524" t="s">
        <v>38</v>
      </c>
      <c r="Y524">
        <v>2</v>
      </c>
      <c r="Z524" t="s">
        <v>58</v>
      </c>
    </row>
    <row r="525" spans="1:26" x14ac:dyDescent="0.3">
      <c r="A525" t="s">
        <v>1016</v>
      </c>
      <c r="B525" s="2">
        <v>45937</v>
      </c>
      <c r="C525" t="s">
        <v>1017</v>
      </c>
      <c r="D525" t="s">
        <v>28</v>
      </c>
      <c r="E525" t="s">
        <v>43</v>
      </c>
      <c r="F525">
        <v>56</v>
      </c>
      <c r="G525" t="s">
        <v>30</v>
      </c>
      <c r="H525" t="s">
        <v>31</v>
      </c>
      <c r="I525" t="s">
        <v>30</v>
      </c>
      <c r="J525" t="s">
        <v>53</v>
      </c>
      <c r="K525">
        <v>2</v>
      </c>
      <c r="L525">
        <v>6043</v>
      </c>
      <c r="M525">
        <v>15</v>
      </c>
      <c r="N525">
        <v>1812.9</v>
      </c>
      <c r="O525">
        <v>1849.16</v>
      </c>
      <c r="P525">
        <v>480</v>
      </c>
      <c r="Q525">
        <v>12602.26</v>
      </c>
      <c r="R525" t="s">
        <v>33</v>
      </c>
      <c r="S525" t="s">
        <v>34</v>
      </c>
      <c r="T525" t="s">
        <v>76</v>
      </c>
      <c r="U525" t="s">
        <v>77</v>
      </c>
      <c r="V525" t="s">
        <v>57</v>
      </c>
      <c r="W525">
        <v>7</v>
      </c>
      <c r="X525" t="s">
        <v>47</v>
      </c>
      <c r="Y525">
        <v>5</v>
      </c>
      <c r="Z525" t="s">
        <v>47</v>
      </c>
    </row>
    <row r="526" spans="1:26" x14ac:dyDescent="0.3">
      <c r="A526" t="s">
        <v>1018</v>
      </c>
      <c r="B526" s="2">
        <v>46011</v>
      </c>
      <c r="C526" t="s">
        <v>338</v>
      </c>
      <c r="D526" t="s">
        <v>61</v>
      </c>
      <c r="E526" t="s">
        <v>43</v>
      </c>
      <c r="F526">
        <v>58</v>
      </c>
      <c r="G526" t="s">
        <v>90</v>
      </c>
      <c r="H526" t="s">
        <v>31</v>
      </c>
      <c r="I526" t="s">
        <v>90</v>
      </c>
      <c r="J526" t="s">
        <v>102</v>
      </c>
      <c r="K526">
        <v>3</v>
      </c>
      <c r="L526">
        <v>26460</v>
      </c>
      <c r="M526">
        <v>5</v>
      </c>
      <c r="N526">
        <v>3969</v>
      </c>
      <c r="O526">
        <v>13573.98</v>
      </c>
      <c r="P526">
        <v>340</v>
      </c>
      <c r="Q526">
        <v>89324.98</v>
      </c>
      <c r="R526" t="s">
        <v>54</v>
      </c>
      <c r="S526" t="s">
        <v>63</v>
      </c>
      <c r="T526" t="s">
        <v>55</v>
      </c>
      <c r="U526" t="s">
        <v>56</v>
      </c>
      <c r="V526" t="s">
        <v>57</v>
      </c>
      <c r="W526">
        <v>2</v>
      </c>
      <c r="X526" t="s">
        <v>38</v>
      </c>
      <c r="Y526">
        <v>4</v>
      </c>
      <c r="Z526" t="s">
        <v>91</v>
      </c>
    </row>
    <row r="527" spans="1:26" x14ac:dyDescent="0.3">
      <c r="A527" t="s">
        <v>1019</v>
      </c>
      <c r="B527" s="2">
        <v>45927</v>
      </c>
      <c r="C527" t="s">
        <v>1020</v>
      </c>
      <c r="D527" t="s">
        <v>28</v>
      </c>
      <c r="E527" t="s">
        <v>29</v>
      </c>
      <c r="F527">
        <v>51</v>
      </c>
      <c r="G527" t="s">
        <v>30</v>
      </c>
      <c r="H527" t="s">
        <v>31</v>
      </c>
      <c r="I527" t="s">
        <v>30</v>
      </c>
      <c r="J527" t="s">
        <v>150</v>
      </c>
      <c r="K527">
        <v>5</v>
      </c>
      <c r="L527">
        <v>37592</v>
      </c>
      <c r="M527">
        <v>10</v>
      </c>
      <c r="N527">
        <v>18796</v>
      </c>
      <c r="O527">
        <v>30449.52</v>
      </c>
      <c r="P527">
        <v>380</v>
      </c>
      <c r="Q527">
        <v>199993.52</v>
      </c>
      <c r="R527" t="s">
        <v>54</v>
      </c>
      <c r="S527" t="s">
        <v>63</v>
      </c>
      <c r="T527" t="s">
        <v>76</v>
      </c>
      <c r="U527" t="s">
        <v>77</v>
      </c>
      <c r="V527" t="s">
        <v>57</v>
      </c>
      <c r="W527">
        <v>4</v>
      </c>
      <c r="X527" t="s">
        <v>47</v>
      </c>
      <c r="Y527">
        <v>1</v>
      </c>
      <c r="Z527" t="s">
        <v>91</v>
      </c>
    </row>
    <row r="528" spans="1:26" x14ac:dyDescent="0.3">
      <c r="A528" t="s">
        <v>1021</v>
      </c>
      <c r="B528" s="2">
        <v>45925</v>
      </c>
      <c r="C528" t="s">
        <v>1022</v>
      </c>
      <c r="D528" t="s">
        <v>89</v>
      </c>
      <c r="E528" t="s">
        <v>29</v>
      </c>
      <c r="F528">
        <v>57</v>
      </c>
      <c r="G528" t="s">
        <v>74</v>
      </c>
      <c r="H528" t="s">
        <v>31</v>
      </c>
      <c r="I528" t="s">
        <v>74</v>
      </c>
      <c r="J528" t="s">
        <v>32</v>
      </c>
      <c r="K528">
        <v>1</v>
      </c>
      <c r="L528">
        <v>21149</v>
      </c>
      <c r="M528">
        <v>20</v>
      </c>
      <c r="N528">
        <v>4229.8</v>
      </c>
      <c r="O528">
        <v>3045.46</v>
      </c>
      <c r="P528">
        <v>298</v>
      </c>
      <c r="Q528">
        <v>20262.66</v>
      </c>
      <c r="R528" t="s">
        <v>83</v>
      </c>
      <c r="S528" t="s">
        <v>63</v>
      </c>
      <c r="T528" t="s">
        <v>55</v>
      </c>
      <c r="U528" t="s">
        <v>56</v>
      </c>
      <c r="V528" t="s">
        <v>57</v>
      </c>
      <c r="W528">
        <v>1</v>
      </c>
      <c r="X528" t="s">
        <v>47</v>
      </c>
      <c r="Y528">
        <v>5</v>
      </c>
      <c r="Z528" t="s">
        <v>39</v>
      </c>
    </row>
    <row r="529" spans="1:26" x14ac:dyDescent="0.3">
      <c r="A529" t="s">
        <v>1023</v>
      </c>
      <c r="B529" s="2">
        <v>46116</v>
      </c>
      <c r="C529" t="s">
        <v>980</v>
      </c>
      <c r="D529" t="s">
        <v>42</v>
      </c>
      <c r="E529" t="s">
        <v>29</v>
      </c>
      <c r="F529">
        <v>29</v>
      </c>
      <c r="G529" t="s">
        <v>139</v>
      </c>
      <c r="H529" t="s">
        <v>31</v>
      </c>
      <c r="I529" t="s">
        <v>139</v>
      </c>
      <c r="J529" t="s">
        <v>125</v>
      </c>
      <c r="K529">
        <v>2</v>
      </c>
      <c r="L529">
        <v>7542</v>
      </c>
      <c r="M529">
        <v>0</v>
      </c>
      <c r="N529">
        <v>0</v>
      </c>
      <c r="O529">
        <v>2715.12</v>
      </c>
      <c r="P529">
        <v>336</v>
      </c>
      <c r="Q529">
        <v>18135.12</v>
      </c>
      <c r="R529" t="s">
        <v>83</v>
      </c>
      <c r="S529" t="s">
        <v>34</v>
      </c>
      <c r="T529" t="s">
        <v>55</v>
      </c>
      <c r="U529" t="s">
        <v>56</v>
      </c>
      <c r="V529" t="s">
        <v>57</v>
      </c>
      <c r="W529">
        <v>4</v>
      </c>
      <c r="X529" t="s">
        <v>38</v>
      </c>
      <c r="Y529">
        <v>2</v>
      </c>
      <c r="Z529" t="s">
        <v>39</v>
      </c>
    </row>
    <row r="530" spans="1:26" x14ac:dyDescent="0.3">
      <c r="A530" t="s">
        <v>1024</v>
      </c>
      <c r="B530" s="2">
        <v>45796</v>
      </c>
      <c r="C530" t="s">
        <v>909</v>
      </c>
      <c r="D530" t="s">
        <v>42</v>
      </c>
      <c r="E530" t="s">
        <v>43</v>
      </c>
      <c r="F530">
        <v>44</v>
      </c>
      <c r="G530" t="s">
        <v>74</v>
      </c>
      <c r="H530" t="s">
        <v>31</v>
      </c>
      <c r="I530" t="s">
        <v>74</v>
      </c>
      <c r="J530" t="s">
        <v>112</v>
      </c>
      <c r="K530">
        <v>1</v>
      </c>
      <c r="L530">
        <v>13196</v>
      </c>
      <c r="M530">
        <v>15</v>
      </c>
      <c r="N530">
        <v>1979.4</v>
      </c>
      <c r="O530">
        <v>2018.99</v>
      </c>
      <c r="P530">
        <v>439</v>
      </c>
      <c r="Q530">
        <v>13674.59</v>
      </c>
      <c r="R530" t="s">
        <v>45</v>
      </c>
      <c r="S530" t="s">
        <v>63</v>
      </c>
      <c r="T530" t="s">
        <v>55</v>
      </c>
      <c r="U530" t="s">
        <v>56</v>
      </c>
      <c r="V530" t="s">
        <v>57</v>
      </c>
      <c r="W530">
        <v>8</v>
      </c>
      <c r="X530" t="s">
        <v>47</v>
      </c>
      <c r="Y530">
        <v>2</v>
      </c>
      <c r="Z530" t="s">
        <v>39</v>
      </c>
    </row>
    <row r="531" spans="1:26" x14ac:dyDescent="0.3">
      <c r="A531" t="s">
        <v>1025</v>
      </c>
      <c r="B531" s="2">
        <v>45843</v>
      </c>
      <c r="C531" t="s">
        <v>1026</v>
      </c>
      <c r="D531" t="s">
        <v>108</v>
      </c>
      <c r="E531" t="s">
        <v>29</v>
      </c>
      <c r="F531">
        <v>18</v>
      </c>
      <c r="G531" t="s">
        <v>74</v>
      </c>
      <c r="H531" t="s">
        <v>31</v>
      </c>
      <c r="I531" t="s">
        <v>74</v>
      </c>
      <c r="J531" t="s">
        <v>32</v>
      </c>
      <c r="K531">
        <v>4</v>
      </c>
      <c r="L531">
        <v>14222</v>
      </c>
      <c r="M531">
        <v>0</v>
      </c>
      <c r="N531">
        <v>0</v>
      </c>
      <c r="O531">
        <v>10239.84</v>
      </c>
      <c r="P531">
        <v>498</v>
      </c>
      <c r="Q531">
        <v>67625.84</v>
      </c>
      <c r="R531" t="s">
        <v>83</v>
      </c>
      <c r="S531" t="s">
        <v>34</v>
      </c>
      <c r="T531" t="s">
        <v>95</v>
      </c>
      <c r="U531" t="s">
        <v>96</v>
      </c>
      <c r="V531" t="s">
        <v>57</v>
      </c>
      <c r="W531">
        <v>8</v>
      </c>
      <c r="X531" t="s">
        <v>47</v>
      </c>
      <c r="Y531">
        <v>4</v>
      </c>
      <c r="Z531" t="s">
        <v>58</v>
      </c>
    </row>
    <row r="532" spans="1:26" x14ac:dyDescent="0.3">
      <c r="A532" t="s">
        <v>1027</v>
      </c>
      <c r="B532" s="2">
        <v>45799</v>
      </c>
      <c r="C532" t="s">
        <v>1028</v>
      </c>
      <c r="D532" t="s">
        <v>66</v>
      </c>
      <c r="E532" t="s">
        <v>43</v>
      </c>
      <c r="F532">
        <v>33</v>
      </c>
      <c r="G532" t="s">
        <v>44</v>
      </c>
      <c r="H532" t="s">
        <v>31</v>
      </c>
      <c r="I532" t="s">
        <v>44</v>
      </c>
      <c r="J532" t="s">
        <v>125</v>
      </c>
      <c r="K532">
        <v>4</v>
      </c>
      <c r="L532">
        <v>19887</v>
      </c>
      <c r="M532">
        <v>10</v>
      </c>
      <c r="N532">
        <v>7954.8</v>
      </c>
      <c r="O532">
        <v>12886.78</v>
      </c>
      <c r="P532">
        <v>318</v>
      </c>
      <c r="Q532">
        <v>84797.98</v>
      </c>
      <c r="R532" t="s">
        <v>33</v>
      </c>
      <c r="S532" t="s">
        <v>63</v>
      </c>
      <c r="T532" t="s">
        <v>35</v>
      </c>
      <c r="U532" t="s">
        <v>36</v>
      </c>
      <c r="V532" t="s">
        <v>37</v>
      </c>
      <c r="W532">
        <v>2</v>
      </c>
      <c r="X532" t="s">
        <v>47</v>
      </c>
      <c r="Y532">
        <v>4</v>
      </c>
      <c r="Z532" t="s">
        <v>91</v>
      </c>
    </row>
    <row r="533" spans="1:26" x14ac:dyDescent="0.3">
      <c r="A533" t="s">
        <v>1029</v>
      </c>
      <c r="B533" s="2">
        <v>45808</v>
      </c>
      <c r="C533" t="s">
        <v>643</v>
      </c>
      <c r="D533" t="s">
        <v>50</v>
      </c>
      <c r="E533" t="s">
        <v>29</v>
      </c>
      <c r="F533">
        <v>51</v>
      </c>
      <c r="G533" t="s">
        <v>139</v>
      </c>
      <c r="H533" t="s">
        <v>31</v>
      </c>
      <c r="I533" t="s">
        <v>139</v>
      </c>
      <c r="J533" t="s">
        <v>32</v>
      </c>
      <c r="K533">
        <v>2</v>
      </c>
      <c r="L533">
        <v>7873</v>
      </c>
      <c r="M533">
        <v>5</v>
      </c>
      <c r="N533">
        <v>787.3</v>
      </c>
      <c r="O533">
        <v>2692.57</v>
      </c>
      <c r="P533">
        <v>155</v>
      </c>
      <c r="Q533">
        <v>17806.27</v>
      </c>
      <c r="R533" t="s">
        <v>33</v>
      </c>
      <c r="S533" t="s">
        <v>34</v>
      </c>
      <c r="T533" t="s">
        <v>95</v>
      </c>
      <c r="U533" t="s">
        <v>96</v>
      </c>
      <c r="V533" t="s">
        <v>57</v>
      </c>
      <c r="W533">
        <v>7</v>
      </c>
      <c r="X533" t="s">
        <v>47</v>
      </c>
      <c r="Y533">
        <v>5</v>
      </c>
      <c r="Z533" t="s">
        <v>91</v>
      </c>
    </row>
    <row r="534" spans="1:26" x14ac:dyDescent="0.3">
      <c r="A534" t="s">
        <v>1030</v>
      </c>
      <c r="B534" s="2">
        <v>45832</v>
      </c>
      <c r="C534" t="s">
        <v>338</v>
      </c>
      <c r="D534" t="s">
        <v>28</v>
      </c>
      <c r="E534" t="s">
        <v>29</v>
      </c>
      <c r="F534">
        <v>46</v>
      </c>
      <c r="G534" t="s">
        <v>44</v>
      </c>
      <c r="H534" t="s">
        <v>31</v>
      </c>
      <c r="I534" t="s">
        <v>44</v>
      </c>
      <c r="J534" t="s">
        <v>32</v>
      </c>
      <c r="K534">
        <v>1</v>
      </c>
      <c r="L534">
        <v>42929</v>
      </c>
      <c r="M534">
        <v>20</v>
      </c>
      <c r="N534">
        <v>8585.7999999999993</v>
      </c>
      <c r="O534">
        <v>6181.78</v>
      </c>
      <c r="P534">
        <v>228</v>
      </c>
      <c r="Q534">
        <v>40752.980000000003</v>
      </c>
      <c r="R534" t="s">
        <v>83</v>
      </c>
      <c r="S534" t="s">
        <v>34</v>
      </c>
      <c r="T534" t="s">
        <v>103</v>
      </c>
      <c r="U534" t="s">
        <v>103</v>
      </c>
      <c r="V534" t="s">
        <v>57</v>
      </c>
      <c r="W534">
        <v>10</v>
      </c>
      <c r="X534" t="s">
        <v>38</v>
      </c>
      <c r="Y534">
        <v>3</v>
      </c>
      <c r="Z534" t="s">
        <v>91</v>
      </c>
    </row>
    <row r="535" spans="1:26" x14ac:dyDescent="0.3">
      <c r="A535" t="s">
        <v>1031</v>
      </c>
      <c r="B535" s="2">
        <v>45874</v>
      </c>
      <c r="C535" t="s">
        <v>1032</v>
      </c>
      <c r="D535" t="s">
        <v>89</v>
      </c>
      <c r="E535" t="s">
        <v>29</v>
      </c>
      <c r="F535">
        <v>43</v>
      </c>
      <c r="G535" t="s">
        <v>90</v>
      </c>
      <c r="H535" t="s">
        <v>31</v>
      </c>
      <c r="I535" t="s">
        <v>90</v>
      </c>
      <c r="J535" t="s">
        <v>75</v>
      </c>
      <c r="K535">
        <v>1</v>
      </c>
      <c r="L535">
        <v>41961</v>
      </c>
      <c r="M535">
        <v>10</v>
      </c>
      <c r="N535">
        <v>4196.1000000000004</v>
      </c>
      <c r="O535">
        <v>6797.68</v>
      </c>
      <c r="P535">
        <v>63</v>
      </c>
      <c r="Q535">
        <v>44625.58</v>
      </c>
      <c r="R535" t="s">
        <v>54</v>
      </c>
      <c r="S535" t="s">
        <v>63</v>
      </c>
      <c r="T535" t="s">
        <v>76</v>
      </c>
      <c r="U535" t="s">
        <v>77</v>
      </c>
      <c r="V535" t="s">
        <v>57</v>
      </c>
      <c r="W535">
        <v>8</v>
      </c>
      <c r="X535" t="s">
        <v>47</v>
      </c>
      <c r="Y535">
        <v>5</v>
      </c>
      <c r="Z535" t="s">
        <v>91</v>
      </c>
    </row>
    <row r="536" spans="1:26" x14ac:dyDescent="0.3">
      <c r="A536" t="s">
        <v>1033</v>
      </c>
      <c r="B536" s="2">
        <v>45879</v>
      </c>
      <c r="C536" t="s">
        <v>1034</v>
      </c>
      <c r="D536" t="s">
        <v>80</v>
      </c>
      <c r="E536" t="s">
        <v>29</v>
      </c>
      <c r="F536">
        <v>60</v>
      </c>
      <c r="G536" t="s">
        <v>134</v>
      </c>
      <c r="H536" t="s">
        <v>31</v>
      </c>
      <c r="I536" t="s">
        <v>134</v>
      </c>
      <c r="J536" t="s">
        <v>112</v>
      </c>
      <c r="K536">
        <v>5</v>
      </c>
      <c r="L536">
        <v>6154</v>
      </c>
      <c r="M536">
        <v>15</v>
      </c>
      <c r="N536">
        <v>4615.5</v>
      </c>
      <c r="O536">
        <v>4707.8100000000004</v>
      </c>
      <c r="P536">
        <v>460</v>
      </c>
      <c r="Q536">
        <v>31322.31</v>
      </c>
      <c r="R536" t="s">
        <v>54</v>
      </c>
      <c r="S536" t="s">
        <v>63</v>
      </c>
      <c r="T536" t="s">
        <v>55</v>
      </c>
      <c r="U536" t="s">
        <v>56</v>
      </c>
      <c r="V536" t="s">
        <v>57</v>
      </c>
      <c r="W536">
        <v>10</v>
      </c>
      <c r="X536" t="s">
        <v>47</v>
      </c>
      <c r="Y536">
        <v>1</v>
      </c>
      <c r="Z536" t="s">
        <v>39</v>
      </c>
    </row>
    <row r="537" spans="1:26" x14ac:dyDescent="0.3">
      <c r="A537" t="s">
        <v>1035</v>
      </c>
      <c r="B537" s="2">
        <v>46074</v>
      </c>
      <c r="C537" t="s">
        <v>936</v>
      </c>
      <c r="D537" t="s">
        <v>80</v>
      </c>
      <c r="E537" t="s">
        <v>43</v>
      </c>
      <c r="F537">
        <v>44</v>
      </c>
      <c r="G537" t="s">
        <v>67</v>
      </c>
      <c r="H537" t="s">
        <v>68</v>
      </c>
      <c r="I537" t="s">
        <v>67</v>
      </c>
      <c r="J537" t="s">
        <v>150</v>
      </c>
      <c r="K537">
        <v>2</v>
      </c>
      <c r="L537">
        <v>43139</v>
      </c>
      <c r="M537">
        <v>20</v>
      </c>
      <c r="N537">
        <v>17255.599999999999</v>
      </c>
      <c r="O537">
        <v>12424.03</v>
      </c>
      <c r="P537">
        <v>165</v>
      </c>
      <c r="Q537">
        <v>81611.429999999993</v>
      </c>
      <c r="R537" t="s">
        <v>54</v>
      </c>
      <c r="S537" t="s">
        <v>34</v>
      </c>
      <c r="T537" t="s">
        <v>55</v>
      </c>
      <c r="U537" t="s">
        <v>56</v>
      </c>
      <c r="V537" t="s">
        <v>57</v>
      </c>
      <c r="W537">
        <v>1</v>
      </c>
      <c r="X537" t="s">
        <v>38</v>
      </c>
      <c r="Y537">
        <v>5</v>
      </c>
      <c r="Z537" t="s">
        <v>47</v>
      </c>
    </row>
    <row r="538" spans="1:26" x14ac:dyDescent="0.3">
      <c r="A538" t="s">
        <v>1036</v>
      </c>
      <c r="B538" s="2">
        <v>45867</v>
      </c>
      <c r="C538" t="s">
        <v>1037</v>
      </c>
      <c r="D538" t="s">
        <v>80</v>
      </c>
      <c r="E538" t="s">
        <v>43</v>
      </c>
      <c r="F538">
        <v>26</v>
      </c>
      <c r="G538" t="s">
        <v>51</v>
      </c>
      <c r="H538" t="s">
        <v>52</v>
      </c>
      <c r="I538" t="s">
        <v>51</v>
      </c>
      <c r="J538" t="s">
        <v>62</v>
      </c>
      <c r="K538">
        <v>4</v>
      </c>
      <c r="L538">
        <v>39551</v>
      </c>
      <c r="M538">
        <v>0</v>
      </c>
      <c r="N538">
        <v>0</v>
      </c>
      <c r="O538">
        <v>28476.720000000001</v>
      </c>
      <c r="P538">
        <v>416</v>
      </c>
      <c r="Q538">
        <v>187096.72</v>
      </c>
      <c r="R538" t="s">
        <v>33</v>
      </c>
      <c r="S538" t="s">
        <v>63</v>
      </c>
      <c r="T538" t="s">
        <v>84</v>
      </c>
      <c r="U538" t="s">
        <v>85</v>
      </c>
      <c r="V538" t="s">
        <v>86</v>
      </c>
      <c r="W538">
        <v>5</v>
      </c>
      <c r="X538" t="s">
        <v>47</v>
      </c>
      <c r="Y538">
        <v>4</v>
      </c>
      <c r="Z538" t="s">
        <v>47</v>
      </c>
    </row>
    <row r="539" spans="1:26" x14ac:dyDescent="0.3">
      <c r="A539" t="s">
        <v>1038</v>
      </c>
      <c r="B539" s="2">
        <v>46022</v>
      </c>
      <c r="C539" t="s">
        <v>1039</v>
      </c>
      <c r="D539" t="s">
        <v>89</v>
      </c>
      <c r="E539" t="s">
        <v>29</v>
      </c>
      <c r="F539">
        <v>27</v>
      </c>
      <c r="G539" t="s">
        <v>134</v>
      </c>
      <c r="H539" t="s">
        <v>31</v>
      </c>
      <c r="I539" t="s">
        <v>134</v>
      </c>
      <c r="J539" t="s">
        <v>32</v>
      </c>
      <c r="K539">
        <v>4</v>
      </c>
      <c r="L539">
        <v>48917</v>
      </c>
      <c r="M539">
        <v>0</v>
      </c>
      <c r="N539">
        <v>0</v>
      </c>
      <c r="O539">
        <v>35220.239999999998</v>
      </c>
      <c r="P539">
        <v>296</v>
      </c>
      <c r="Q539">
        <v>231184.24</v>
      </c>
      <c r="R539" t="s">
        <v>83</v>
      </c>
      <c r="S539" t="s">
        <v>63</v>
      </c>
      <c r="T539" t="s">
        <v>70</v>
      </c>
      <c r="U539" t="s">
        <v>56</v>
      </c>
      <c r="V539" t="s">
        <v>57</v>
      </c>
      <c r="W539">
        <v>6</v>
      </c>
      <c r="X539" t="s">
        <v>47</v>
      </c>
      <c r="Y539">
        <v>4</v>
      </c>
      <c r="Z539" t="s">
        <v>39</v>
      </c>
    </row>
    <row r="540" spans="1:26" x14ac:dyDescent="0.3">
      <c r="A540" t="s">
        <v>1040</v>
      </c>
      <c r="B540" s="2">
        <v>45952</v>
      </c>
      <c r="C540" t="s">
        <v>316</v>
      </c>
      <c r="D540" t="s">
        <v>28</v>
      </c>
      <c r="E540" t="s">
        <v>43</v>
      </c>
      <c r="F540">
        <v>47</v>
      </c>
      <c r="G540" t="s">
        <v>74</v>
      </c>
      <c r="H540" t="s">
        <v>31</v>
      </c>
      <c r="I540" t="s">
        <v>74</v>
      </c>
      <c r="J540" t="s">
        <v>150</v>
      </c>
      <c r="K540">
        <v>3</v>
      </c>
      <c r="L540">
        <v>40702</v>
      </c>
      <c r="M540">
        <v>20</v>
      </c>
      <c r="N540">
        <v>24421.200000000001</v>
      </c>
      <c r="O540">
        <v>17583.259999999998</v>
      </c>
      <c r="P540">
        <v>193</v>
      </c>
      <c r="Q540">
        <v>115461.06</v>
      </c>
      <c r="R540" t="s">
        <v>83</v>
      </c>
      <c r="S540" t="s">
        <v>63</v>
      </c>
      <c r="T540" t="s">
        <v>84</v>
      </c>
      <c r="U540" t="s">
        <v>85</v>
      </c>
      <c r="V540" t="s">
        <v>86</v>
      </c>
      <c r="W540">
        <v>5</v>
      </c>
      <c r="X540" t="s">
        <v>38</v>
      </c>
      <c r="Y540">
        <v>2</v>
      </c>
      <c r="Z540" t="s">
        <v>39</v>
      </c>
    </row>
    <row r="541" spans="1:26" x14ac:dyDescent="0.3">
      <c r="A541" t="s">
        <v>1041</v>
      </c>
      <c r="B541" s="2">
        <v>45908</v>
      </c>
      <c r="C541" t="s">
        <v>49</v>
      </c>
      <c r="D541" t="s">
        <v>80</v>
      </c>
      <c r="E541" t="s">
        <v>29</v>
      </c>
      <c r="F541">
        <v>58</v>
      </c>
      <c r="G541" t="s">
        <v>134</v>
      </c>
      <c r="H541" t="s">
        <v>31</v>
      </c>
      <c r="I541" t="s">
        <v>134</v>
      </c>
      <c r="J541" t="s">
        <v>150</v>
      </c>
      <c r="K541">
        <v>2</v>
      </c>
      <c r="L541">
        <v>4559</v>
      </c>
      <c r="M541">
        <v>0</v>
      </c>
      <c r="N541">
        <v>0</v>
      </c>
      <c r="O541">
        <v>1641.24</v>
      </c>
      <c r="P541">
        <v>387</v>
      </c>
      <c r="Q541">
        <v>11146.24</v>
      </c>
      <c r="R541" t="s">
        <v>33</v>
      </c>
      <c r="S541" t="s">
        <v>63</v>
      </c>
      <c r="T541" t="s">
        <v>70</v>
      </c>
      <c r="U541" t="s">
        <v>56</v>
      </c>
      <c r="V541" t="s">
        <v>57</v>
      </c>
      <c r="W541">
        <v>6</v>
      </c>
      <c r="X541" t="s">
        <v>47</v>
      </c>
      <c r="Y541">
        <v>1</v>
      </c>
      <c r="Z541" t="s">
        <v>47</v>
      </c>
    </row>
    <row r="542" spans="1:26" x14ac:dyDescent="0.3">
      <c r="A542" t="s">
        <v>1042</v>
      </c>
      <c r="B542" s="2">
        <v>46101</v>
      </c>
      <c r="C542" t="s">
        <v>1043</v>
      </c>
      <c r="D542" t="s">
        <v>28</v>
      </c>
      <c r="E542" t="s">
        <v>43</v>
      </c>
      <c r="F542">
        <v>34</v>
      </c>
      <c r="G542" t="s">
        <v>74</v>
      </c>
      <c r="H542" t="s">
        <v>31</v>
      </c>
      <c r="I542" t="s">
        <v>74</v>
      </c>
      <c r="J542" t="s">
        <v>32</v>
      </c>
      <c r="K542">
        <v>5</v>
      </c>
      <c r="L542">
        <v>2350</v>
      </c>
      <c r="M542">
        <v>10</v>
      </c>
      <c r="N542">
        <v>1175</v>
      </c>
      <c r="O542">
        <v>1903.5</v>
      </c>
      <c r="P542">
        <v>454</v>
      </c>
      <c r="Q542">
        <v>12932.5</v>
      </c>
      <c r="R542" t="s">
        <v>33</v>
      </c>
      <c r="S542" t="s">
        <v>63</v>
      </c>
      <c r="T542" t="s">
        <v>55</v>
      </c>
      <c r="U542" t="s">
        <v>56</v>
      </c>
      <c r="V542" t="s">
        <v>57</v>
      </c>
      <c r="W542">
        <v>2</v>
      </c>
      <c r="X542" t="s">
        <v>38</v>
      </c>
      <c r="Y542">
        <v>3</v>
      </c>
      <c r="Z542" t="s">
        <v>58</v>
      </c>
    </row>
    <row r="543" spans="1:26" x14ac:dyDescent="0.3">
      <c r="A543" t="s">
        <v>1044</v>
      </c>
      <c r="B543" s="2">
        <v>45985</v>
      </c>
      <c r="C543" t="s">
        <v>1022</v>
      </c>
      <c r="D543" t="s">
        <v>111</v>
      </c>
      <c r="E543" t="s">
        <v>29</v>
      </c>
      <c r="F543">
        <v>19</v>
      </c>
      <c r="G543" t="s">
        <v>74</v>
      </c>
      <c r="H543" t="s">
        <v>31</v>
      </c>
      <c r="I543" t="s">
        <v>74</v>
      </c>
      <c r="J543" t="s">
        <v>69</v>
      </c>
      <c r="K543">
        <v>2</v>
      </c>
      <c r="L543">
        <v>25923</v>
      </c>
      <c r="M543">
        <v>0</v>
      </c>
      <c r="N543">
        <v>0</v>
      </c>
      <c r="O543">
        <v>9332.2800000000007</v>
      </c>
      <c r="P543">
        <v>274</v>
      </c>
      <c r="Q543">
        <v>61452.28</v>
      </c>
      <c r="R543" t="s">
        <v>33</v>
      </c>
      <c r="S543" t="s">
        <v>34</v>
      </c>
      <c r="T543" t="s">
        <v>46</v>
      </c>
      <c r="U543" t="s">
        <v>36</v>
      </c>
      <c r="V543" t="s">
        <v>37</v>
      </c>
      <c r="W543">
        <v>6</v>
      </c>
      <c r="X543" t="s">
        <v>47</v>
      </c>
      <c r="Y543">
        <v>3</v>
      </c>
      <c r="Z543" t="s">
        <v>39</v>
      </c>
    </row>
    <row r="544" spans="1:26" x14ac:dyDescent="0.3">
      <c r="A544" t="s">
        <v>1045</v>
      </c>
      <c r="B544" s="2">
        <v>45863</v>
      </c>
      <c r="C544" t="s">
        <v>1046</v>
      </c>
      <c r="D544" t="s">
        <v>73</v>
      </c>
      <c r="E544" t="s">
        <v>29</v>
      </c>
      <c r="F544">
        <v>41</v>
      </c>
      <c r="G544" t="s">
        <v>51</v>
      </c>
      <c r="H544" t="s">
        <v>52</v>
      </c>
      <c r="I544" t="s">
        <v>51</v>
      </c>
      <c r="J544" t="s">
        <v>201</v>
      </c>
      <c r="K544">
        <v>5</v>
      </c>
      <c r="L544">
        <v>27464</v>
      </c>
      <c r="M544">
        <v>20</v>
      </c>
      <c r="N544">
        <v>27464</v>
      </c>
      <c r="O544">
        <v>19774.080000000002</v>
      </c>
      <c r="P544">
        <v>74</v>
      </c>
      <c r="Q544">
        <v>129704.08</v>
      </c>
      <c r="R544" t="s">
        <v>45</v>
      </c>
      <c r="S544" t="s">
        <v>63</v>
      </c>
      <c r="T544" t="s">
        <v>35</v>
      </c>
      <c r="U544" t="s">
        <v>36</v>
      </c>
      <c r="V544" t="s">
        <v>37</v>
      </c>
      <c r="W544">
        <v>8</v>
      </c>
      <c r="X544" t="s">
        <v>47</v>
      </c>
      <c r="Y544">
        <v>5</v>
      </c>
      <c r="Z544" t="s">
        <v>47</v>
      </c>
    </row>
    <row r="545" spans="1:26" x14ac:dyDescent="0.3">
      <c r="A545" t="s">
        <v>1047</v>
      </c>
      <c r="B545" s="2">
        <v>45882</v>
      </c>
      <c r="C545" t="s">
        <v>1048</v>
      </c>
      <c r="D545" t="s">
        <v>66</v>
      </c>
      <c r="E545" t="s">
        <v>29</v>
      </c>
      <c r="F545">
        <v>39</v>
      </c>
      <c r="G545" t="s">
        <v>51</v>
      </c>
      <c r="H545" t="s">
        <v>52</v>
      </c>
      <c r="I545" t="s">
        <v>51</v>
      </c>
      <c r="J545" t="s">
        <v>150</v>
      </c>
      <c r="K545">
        <v>3</v>
      </c>
      <c r="L545">
        <v>17597</v>
      </c>
      <c r="M545">
        <v>5</v>
      </c>
      <c r="N545">
        <v>2639.55</v>
      </c>
      <c r="O545">
        <v>9027.26</v>
      </c>
      <c r="P545">
        <v>297</v>
      </c>
      <c r="Q545">
        <v>59475.71</v>
      </c>
      <c r="R545" t="s">
        <v>83</v>
      </c>
      <c r="S545" t="s">
        <v>63</v>
      </c>
      <c r="T545" t="s">
        <v>84</v>
      </c>
      <c r="U545" t="s">
        <v>85</v>
      </c>
      <c r="V545" t="s">
        <v>86</v>
      </c>
      <c r="W545">
        <v>5</v>
      </c>
      <c r="X545" t="s">
        <v>47</v>
      </c>
      <c r="Y545">
        <v>1</v>
      </c>
      <c r="Z545" t="s">
        <v>58</v>
      </c>
    </row>
    <row r="546" spans="1:26" x14ac:dyDescent="0.3">
      <c r="A546" t="s">
        <v>1049</v>
      </c>
      <c r="B546" s="2">
        <v>46096</v>
      </c>
      <c r="C546" t="s">
        <v>1007</v>
      </c>
      <c r="D546" t="s">
        <v>42</v>
      </c>
      <c r="E546" t="s">
        <v>43</v>
      </c>
      <c r="F546">
        <v>44</v>
      </c>
      <c r="G546" t="s">
        <v>30</v>
      </c>
      <c r="H546" t="s">
        <v>31</v>
      </c>
      <c r="I546" t="s">
        <v>30</v>
      </c>
      <c r="J546" t="s">
        <v>112</v>
      </c>
      <c r="K546">
        <v>5</v>
      </c>
      <c r="L546">
        <v>4399</v>
      </c>
      <c r="M546">
        <v>0</v>
      </c>
      <c r="N546">
        <v>0</v>
      </c>
      <c r="O546">
        <v>3959.1</v>
      </c>
      <c r="P546">
        <v>41</v>
      </c>
      <c r="Q546">
        <v>25995.1</v>
      </c>
      <c r="R546" t="s">
        <v>33</v>
      </c>
      <c r="S546" t="s">
        <v>63</v>
      </c>
      <c r="T546" t="s">
        <v>95</v>
      </c>
      <c r="U546" t="s">
        <v>96</v>
      </c>
      <c r="V546" t="s">
        <v>57</v>
      </c>
      <c r="W546">
        <v>3</v>
      </c>
      <c r="X546" t="s">
        <v>47</v>
      </c>
      <c r="Y546">
        <v>3</v>
      </c>
      <c r="Z546" t="s">
        <v>39</v>
      </c>
    </row>
    <row r="547" spans="1:26" x14ac:dyDescent="0.3">
      <c r="A547" t="s">
        <v>1050</v>
      </c>
      <c r="B547" s="2">
        <v>46043</v>
      </c>
      <c r="C547" t="s">
        <v>467</v>
      </c>
      <c r="D547" t="s">
        <v>80</v>
      </c>
      <c r="E547" t="s">
        <v>29</v>
      </c>
      <c r="F547">
        <v>46</v>
      </c>
      <c r="G547" t="s">
        <v>30</v>
      </c>
      <c r="H547" t="s">
        <v>31</v>
      </c>
      <c r="I547" t="s">
        <v>30</v>
      </c>
      <c r="J547" t="s">
        <v>62</v>
      </c>
      <c r="K547">
        <v>4</v>
      </c>
      <c r="L547">
        <v>16338</v>
      </c>
      <c r="M547">
        <v>5</v>
      </c>
      <c r="N547">
        <v>3267.6</v>
      </c>
      <c r="O547">
        <v>11175.19</v>
      </c>
      <c r="P547">
        <v>104</v>
      </c>
      <c r="Q547">
        <v>73363.59</v>
      </c>
      <c r="R547" t="s">
        <v>33</v>
      </c>
      <c r="S547" t="s">
        <v>34</v>
      </c>
      <c r="T547" t="s">
        <v>84</v>
      </c>
      <c r="U547" t="s">
        <v>85</v>
      </c>
      <c r="V547" t="s">
        <v>86</v>
      </c>
      <c r="W547">
        <v>9</v>
      </c>
      <c r="X547" t="s">
        <v>47</v>
      </c>
      <c r="Y547">
        <v>5</v>
      </c>
      <c r="Z547" t="s">
        <v>58</v>
      </c>
    </row>
    <row r="548" spans="1:26" x14ac:dyDescent="0.3">
      <c r="A548" t="s">
        <v>1051</v>
      </c>
      <c r="B548" s="2">
        <v>45989</v>
      </c>
      <c r="C548" t="s">
        <v>711</v>
      </c>
      <c r="D548" t="s">
        <v>61</v>
      </c>
      <c r="E548" t="s">
        <v>43</v>
      </c>
      <c r="F548">
        <v>23</v>
      </c>
      <c r="G548" t="s">
        <v>139</v>
      </c>
      <c r="H548" t="s">
        <v>31</v>
      </c>
      <c r="I548" t="s">
        <v>139</v>
      </c>
      <c r="J548" t="s">
        <v>62</v>
      </c>
      <c r="K548">
        <v>5</v>
      </c>
      <c r="L548">
        <v>41403</v>
      </c>
      <c r="M548">
        <v>5</v>
      </c>
      <c r="N548">
        <v>10350.75</v>
      </c>
      <c r="O548">
        <v>35399.56</v>
      </c>
      <c r="P548">
        <v>376</v>
      </c>
      <c r="Q548">
        <v>232439.82</v>
      </c>
      <c r="R548" t="s">
        <v>83</v>
      </c>
      <c r="S548" t="s">
        <v>34</v>
      </c>
      <c r="T548" t="s">
        <v>70</v>
      </c>
      <c r="U548" t="s">
        <v>56</v>
      </c>
      <c r="V548" t="s">
        <v>57</v>
      </c>
      <c r="W548">
        <v>4</v>
      </c>
      <c r="X548" t="s">
        <v>47</v>
      </c>
      <c r="Y548">
        <v>5</v>
      </c>
      <c r="Z548" t="s">
        <v>91</v>
      </c>
    </row>
    <row r="549" spans="1:26" x14ac:dyDescent="0.3">
      <c r="A549" t="s">
        <v>1052</v>
      </c>
      <c r="B549" s="2">
        <v>45961</v>
      </c>
      <c r="C549" t="s">
        <v>1053</v>
      </c>
      <c r="D549" t="s">
        <v>42</v>
      </c>
      <c r="E549" t="s">
        <v>29</v>
      </c>
      <c r="F549">
        <v>29</v>
      </c>
      <c r="G549" t="s">
        <v>134</v>
      </c>
      <c r="H549" t="s">
        <v>31</v>
      </c>
      <c r="I549" t="s">
        <v>134</v>
      </c>
      <c r="J549" t="s">
        <v>53</v>
      </c>
      <c r="K549">
        <v>2</v>
      </c>
      <c r="L549">
        <v>19158</v>
      </c>
      <c r="M549">
        <v>5</v>
      </c>
      <c r="N549">
        <v>1915.8</v>
      </c>
      <c r="O549">
        <v>6552.04</v>
      </c>
      <c r="P549">
        <v>419</v>
      </c>
      <c r="Q549">
        <v>43371.24</v>
      </c>
      <c r="R549" t="s">
        <v>45</v>
      </c>
      <c r="S549" t="s">
        <v>63</v>
      </c>
      <c r="T549" t="s">
        <v>76</v>
      </c>
      <c r="U549" t="s">
        <v>77</v>
      </c>
      <c r="V549" t="s">
        <v>57</v>
      </c>
      <c r="W549">
        <v>4</v>
      </c>
      <c r="X549" t="s">
        <v>47</v>
      </c>
      <c r="Y549">
        <v>2</v>
      </c>
      <c r="Z549" t="s">
        <v>58</v>
      </c>
    </row>
    <row r="550" spans="1:26" x14ac:dyDescent="0.3">
      <c r="A550" t="s">
        <v>1054</v>
      </c>
      <c r="B550" s="2">
        <v>45809</v>
      </c>
      <c r="C550" t="s">
        <v>1055</v>
      </c>
      <c r="D550" t="s">
        <v>108</v>
      </c>
      <c r="E550" t="s">
        <v>43</v>
      </c>
      <c r="F550">
        <v>19</v>
      </c>
      <c r="G550" t="s">
        <v>74</v>
      </c>
      <c r="H550" t="s">
        <v>31</v>
      </c>
      <c r="I550" t="s">
        <v>74</v>
      </c>
      <c r="J550" t="s">
        <v>53</v>
      </c>
      <c r="K550">
        <v>4</v>
      </c>
      <c r="L550">
        <v>9541</v>
      </c>
      <c r="M550">
        <v>20</v>
      </c>
      <c r="N550">
        <v>7632.8</v>
      </c>
      <c r="O550">
        <v>5495.62</v>
      </c>
      <c r="P550">
        <v>462</v>
      </c>
      <c r="Q550">
        <v>36488.82</v>
      </c>
      <c r="R550" t="s">
        <v>45</v>
      </c>
      <c r="S550" t="s">
        <v>34</v>
      </c>
      <c r="T550" t="s">
        <v>35</v>
      </c>
      <c r="U550" t="s">
        <v>36</v>
      </c>
      <c r="V550" t="s">
        <v>37</v>
      </c>
      <c r="W550">
        <v>10</v>
      </c>
      <c r="X550" t="s">
        <v>47</v>
      </c>
      <c r="Y550">
        <v>3</v>
      </c>
      <c r="Z550" t="s">
        <v>58</v>
      </c>
    </row>
    <row r="551" spans="1:26" x14ac:dyDescent="0.3">
      <c r="A551" t="s">
        <v>1056</v>
      </c>
      <c r="B551" s="2">
        <v>46113</v>
      </c>
      <c r="C551" t="s">
        <v>241</v>
      </c>
      <c r="D551" t="s">
        <v>28</v>
      </c>
      <c r="E551" t="s">
        <v>43</v>
      </c>
      <c r="F551">
        <v>23</v>
      </c>
      <c r="G551" t="s">
        <v>90</v>
      </c>
      <c r="H551" t="s">
        <v>31</v>
      </c>
      <c r="I551" t="s">
        <v>90</v>
      </c>
      <c r="J551" t="s">
        <v>201</v>
      </c>
      <c r="K551">
        <v>2</v>
      </c>
      <c r="L551">
        <v>37411</v>
      </c>
      <c r="M551">
        <v>15</v>
      </c>
      <c r="N551">
        <v>11223.3</v>
      </c>
      <c r="O551">
        <v>11447.77</v>
      </c>
      <c r="P551">
        <v>407</v>
      </c>
      <c r="Q551">
        <v>75453.47</v>
      </c>
      <c r="R551" t="s">
        <v>33</v>
      </c>
      <c r="S551" t="s">
        <v>34</v>
      </c>
      <c r="T551" t="s">
        <v>103</v>
      </c>
      <c r="U551" t="s">
        <v>103</v>
      </c>
      <c r="V551" t="s">
        <v>57</v>
      </c>
      <c r="W551">
        <v>1</v>
      </c>
      <c r="X551" t="s">
        <v>38</v>
      </c>
      <c r="Y551">
        <v>3</v>
      </c>
      <c r="Z551" t="s">
        <v>39</v>
      </c>
    </row>
    <row r="552" spans="1:26" x14ac:dyDescent="0.3">
      <c r="A552" t="s">
        <v>1057</v>
      </c>
      <c r="B552" s="2">
        <v>45885</v>
      </c>
      <c r="C552" t="s">
        <v>1058</v>
      </c>
      <c r="D552" t="s">
        <v>80</v>
      </c>
      <c r="E552" t="s">
        <v>43</v>
      </c>
      <c r="F552">
        <v>35</v>
      </c>
      <c r="G552" t="s">
        <v>139</v>
      </c>
      <c r="H552" t="s">
        <v>31</v>
      </c>
      <c r="I552" t="s">
        <v>139</v>
      </c>
      <c r="J552" t="s">
        <v>125</v>
      </c>
      <c r="K552">
        <v>3</v>
      </c>
      <c r="L552">
        <v>20654</v>
      </c>
      <c r="M552">
        <v>10</v>
      </c>
      <c r="N552">
        <v>6196.2</v>
      </c>
      <c r="O552">
        <v>10037.84</v>
      </c>
      <c r="P552">
        <v>467</v>
      </c>
      <c r="Q552">
        <v>66270.64</v>
      </c>
      <c r="R552" t="s">
        <v>45</v>
      </c>
      <c r="S552" t="s">
        <v>63</v>
      </c>
      <c r="T552" t="s">
        <v>84</v>
      </c>
      <c r="U552" t="s">
        <v>85</v>
      </c>
      <c r="V552" t="s">
        <v>86</v>
      </c>
      <c r="W552">
        <v>2</v>
      </c>
      <c r="X552" t="s">
        <v>47</v>
      </c>
      <c r="Y552">
        <v>4</v>
      </c>
      <c r="Z552" t="s">
        <v>91</v>
      </c>
    </row>
    <row r="553" spans="1:26" x14ac:dyDescent="0.3">
      <c r="A553" t="s">
        <v>1059</v>
      </c>
      <c r="B553" s="2">
        <v>45804</v>
      </c>
      <c r="C553" t="s">
        <v>1060</v>
      </c>
      <c r="D553" t="s">
        <v>111</v>
      </c>
      <c r="E553" t="s">
        <v>43</v>
      </c>
      <c r="F553">
        <v>55</v>
      </c>
      <c r="G553" t="s">
        <v>74</v>
      </c>
      <c r="H553" t="s">
        <v>31</v>
      </c>
      <c r="I553" t="s">
        <v>74</v>
      </c>
      <c r="J553" t="s">
        <v>75</v>
      </c>
      <c r="K553">
        <v>1</v>
      </c>
      <c r="L553">
        <v>20050</v>
      </c>
      <c r="M553">
        <v>5</v>
      </c>
      <c r="N553">
        <v>1002.5</v>
      </c>
      <c r="O553">
        <v>3428.55</v>
      </c>
      <c r="P553">
        <v>205</v>
      </c>
      <c r="Q553">
        <v>22681.05</v>
      </c>
      <c r="R553" t="s">
        <v>54</v>
      </c>
      <c r="S553" t="s">
        <v>34</v>
      </c>
      <c r="T553" t="s">
        <v>76</v>
      </c>
      <c r="U553" t="s">
        <v>77</v>
      </c>
      <c r="V553" t="s">
        <v>57</v>
      </c>
      <c r="W553">
        <v>5</v>
      </c>
      <c r="X553" t="s">
        <v>47</v>
      </c>
      <c r="Y553">
        <v>2</v>
      </c>
      <c r="Z553" t="s">
        <v>91</v>
      </c>
    </row>
    <row r="554" spans="1:26" x14ac:dyDescent="0.3">
      <c r="A554" t="s">
        <v>1061</v>
      </c>
      <c r="B554" s="2">
        <v>45813</v>
      </c>
      <c r="C554" t="s">
        <v>609</v>
      </c>
      <c r="D554" t="s">
        <v>73</v>
      </c>
      <c r="E554" t="s">
        <v>43</v>
      </c>
      <c r="F554">
        <v>60</v>
      </c>
      <c r="G554" t="s">
        <v>90</v>
      </c>
      <c r="H554" t="s">
        <v>31</v>
      </c>
      <c r="I554" t="s">
        <v>90</v>
      </c>
      <c r="J554" t="s">
        <v>75</v>
      </c>
      <c r="K554">
        <v>5</v>
      </c>
      <c r="L554">
        <v>26702</v>
      </c>
      <c r="M554">
        <v>0</v>
      </c>
      <c r="N554">
        <v>0</v>
      </c>
      <c r="O554">
        <v>24031.8</v>
      </c>
      <c r="P554">
        <v>215</v>
      </c>
      <c r="Q554">
        <v>157756.79999999999</v>
      </c>
      <c r="R554" t="s">
        <v>54</v>
      </c>
      <c r="S554" t="s">
        <v>63</v>
      </c>
      <c r="T554" t="s">
        <v>35</v>
      </c>
      <c r="U554" t="s">
        <v>36</v>
      </c>
      <c r="V554" t="s">
        <v>37</v>
      </c>
      <c r="W554">
        <v>4</v>
      </c>
      <c r="X554" t="s">
        <v>47</v>
      </c>
      <c r="Y554">
        <v>4</v>
      </c>
      <c r="Z554" t="s">
        <v>47</v>
      </c>
    </row>
    <row r="555" spans="1:26" x14ac:dyDescent="0.3">
      <c r="A555" t="s">
        <v>1062</v>
      </c>
      <c r="B555" s="2">
        <v>45829</v>
      </c>
      <c r="C555" t="s">
        <v>1063</v>
      </c>
      <c r="D555" t="s">
        <v>89</v>
      </c>
      <c r="E555" t="s">
        <v>43</v>
      </c>
      <c r="F555">
        <v>38</v>
      </c>
      <c r="G555" t="s">
        <v>90</v>
      </c>
      <c r="H555" t="s">
        <v>31</v>
      </c>
      <c r="I555" t="s">
        <v>90</v>
      </c>
      <c r="J555" t="s">
        <v>53</v>
      </c>
      <c r="K555">
        <v>1</v>
      </c>
      <c r="L555">
        <v>49429</v>
      </c>
      <c r="M555">
        <v>0</v>
      </c>
      <c r="N555">
        <v>0</v>
      </c>
      <c r="O555">
        <v>8897.2199999999993</v>
      </c>
      <c r="P555">
        <v>491</v>
      </c>
      <c r="Q555">
        <v>58817.22</v>
      </c>
      <c r="R555" t="s">
        <v>54</v>
      </c>
      <c r="S555" t="s">
        <v>63</v>
      </c>
      <c r="T555" t="s">
        <v>70</v>
      </c>
      <c r="U555" t="s">
        <v>56</v>
      </c>
      <c r="V555" t="s">
        <v>57</v>
      </c>
      <c r="W555">
        <v>5</v>
      </c>
      <c r="X555" t="s">
        <v>47</v>
      </c>
      <c r="Y555">
        <v>2</v>
      </c>
      <c r="Z555" t="s">
        <v>58</v>
      </c>
    </row>
    <row r="556" spans="1:26" x14ac:dyDescent="0.3">
      <c r="A556" t="s">
        <v>1064</v>
      </c>
      <c r="B556" s="2">
        <v>46106</v>
      </c>
      <c r="C556" t="s">
        <v>1065</v>
      </c>
      <c r="D556" t="s">
        <v>108</v>
      </c>
      <c r="E556" t="s">
        <v>29</v>
      </c>
      <c r="F556">
        <v>20</v>
      </c>
      <c r="G556" t="s">
        <v>44</v>
      </c>
      <c r="H556" t="s">
        <v>31</v>
      </c>
      <c r="I556" t="s">
        <v>44</v>
      </c>
      <c r="J556" t="s">
        <v>125</v>
      </c>
      <c r="K556">
        <v>5</v>
      </c>
      <c r="L556">
        <v>5569</v>
      </c>
      <c r="M556">
        <v>10</v>
      </c>
      <c r="N556">
        <v>2784.5</v>
      </c>
      <c r="O556">
        <v>4510.8900000000003</v>
      </c>
      <c r="P556">
        <v>202</v>
      </c>
      <c r="Q556">
        <v>29773.39</v>
      </c>
      <c r="R556" t="s">
        <v>54</v>
      </c>
      <c r="S556" t="s">
        <v>63</v>
      </c>
      <c r="T556" t="s">
        <v>70</v>
      </c>
      <c r="U556" t="s">
        <v>56</v>
      </c>
      <c r="V556" t="s">
        <v>57</v>
      </c>
      <c r="W556">
        <v>1</v>
      </c>
      <c r="X556" t="s">
        <v>47</v>
      </c>
      <c r="Y556">
        <v>3</v>
      </c>
      <c r="Z556" t="s">
        <v>39</v>
      </c>
    </row>
    <row r="557" spans="1:26" x14ac:dyDescent="0.3">
      <c r="A557" t="s">
        <v>1066</v>
      </c>
      <c r="B557" s="2">
        <v>46009</v>
      </c>
      <c r="C557" t="s">
        <v>1067</v>
      </c>
      <c r="D557" t="s">
        <v>42</v>
      </c>
      <c r="E557" t="s">
        <v>29</v>
      </c>
      <c r="F557">
        <v>19</v>
      </c>
      <c r="G557" t="s">
        <v>44</v>
      </c>
      <c r="H557" t="s">
        <v>31</v>
      </c>
      <c r="I557" t="s">
        <v>44</v>
      </c>
      <c r="J557" t="s">
        <v>112</v>
      </c>
      <c r="K557">
        <v>1</v>
      </c>
      <c r="L557">
        <v>4090</v>
      </c>
      <c r="M557">
        <v>0</v>
      </c>
      <c r="N557">
        <v>0</v>
      </c>
      <c r="O557">
        <v>736.2</v>
      </c>
      <c r="P557">
        <v>158</v>
      </c>
      <c r="Q557">
        <v>4984.2</v>
      </c>
      <c r="R557" t="s">
        <v>45</v>
      </c>
      <c r="S557" t="s">
        <v>34</v>
      </c>
      <c r="T557" t="s">
        <v>76</v>
      </c>
      <c r="U557" t="s">
        <v>77</v>
      </c>
      <c r="V557" t="s">
        <v>57</v>
      </c>
      <c r="W557">
        <v>1</v>
      </c>
      <c r="X557" t="s">
        <v>38</v>
      </c>
      <c r="Y557">
        <v>2</v>
      </c>
      <c r="Z557" t="s">
        <v>91</v>
      </c>
    </row>
    <row r="558" spans="1:26" x14ac:dyDescent="0.3">
      <c r="A558" t="s">
        <v>1068</v>
      </c>
      <c r="B558" s="2">
        <v>46099</v>
      </c>
      <c r="C558" t="s">
        <v>1069</v>
      </c>
      <c r="D558" t="s">
        <v>66</v>
      </c>
      <c r="E558" t="s">
        <v>29</v>
      </c>
      <c r="F558">
        <v>41</v>
      </c>
      <c r="G558" t="s">
        <v>99</v>
      </c>
      <c r="H558" t="s">
        <v>52</v>
      </c>
      <c r="I558" t="s">
        <v>99</v>
      </c>
      <c r="J558" t="s">
        <v>62</v>
      </c>
      <c r="K558">
        <v>2</v>
      </c>
      <c r="L558">
        <v>36676</v>
      </c>
      <c r="M558">
        <v>10</v>
      </c>
      <c r="N558">
        <v>7335.2</v>
      </c>
      <c r="O558">
        <v>11883.02</v>
      </c>
      <c r="P558">
        <v>71</v>
      </c>
      <c r="Q558">
        <v>77970.820000000007</v>
      </c>
      <c r="R558" t="s">
        <v>45</v>
      </c>
      <c r="S558" t="s">
        <v>34</v>
      </c>
      <c r="T558" t="s">
        <v>55</v>
      </c>
      <c r="U558" t="s">
        <v>56</v>
      </c>
      <c r="V558" t="s">
        <v>57</v>
      </c>
      <c r="W558">
        <v>2</v>
      </c>
      <c r="X558" t="s">
        <v>47</v>
      </c>
      <c r="Y558">
        <v>4</v>
      </c>
      <c r="Z558" t="s">
        <v>91</v>
      </c>
    </row>
    <row r="559" spans="1:26" x14ac:dyDescent="0.3">
      <c r="A559" t="s">
        <v>1070</v>
      </c>
      <c r="B559" s="2">
        <v>45901</v>
      </c>
      <c r="C559" t="s">
        <v>913</v>
      </c>
      <c r="D559" t="s">
        <v>66</v>
      </c>
      <c r="E559" t="s">
        <v>29</v>
      </c>
      <c r="F559">
        <v>36</v>
      </c>
      <c r="G559" t="s">
        <v>90</v>
      </c>
      <c r="H559" t="s">
        <v>31</v>
      </c>
      <c r="I559" t="s">
        <v>90</v>
      </c>
      <c r="J559" t="s">
        <v>201</v>
      </c>
      <c r="K559">
        <v>3</v>
      </c>
      <c r="L559">
        <v>7820</v>
      </c>
      <c r="M559">
        <v>5</v>
      </c>
      <c r="N559">
        <v>1173</v>
      </c>
      <c r="O559">
        <v>4011.66</v>
      </c>
      <c r="P559">
        <v>161</v>
      </c>
      <c r="Q559">
        <v>26459.66</v>
      </c>
      <c r="R559" t="s">
        <v>33</v>
      </c>
      <c r="S559" t="s">
        <v>63</v>
      </c>
      <c r="T559" t="s">
        <v>55</v>
      </c>
      <c r="U559" t="s">
        <v>56</v>
      </c>
      <c r="V559" t="s">
        <v>57</v>
      </c>
      <c r="W559">
        <v>7</v>
      </c>
      <c r="X559" t="s">
        <v>38</v>
      </c>
      <c r="Y559">
        <v>5</v>
      </c>
      <c r="Z559" t="s">
        <v>47</v>
      </c>
    </row>
    <row r="560" spans="1:26" x14ac:dyDescent="0.3">
      <c r="A560" t="s">
        <v>1071</v>
      </c>
      <c r="B560" s="2">
        <v>45778</v>
      </c>
      <c r="C560" t="s">
        <v>674</v>
      </c>
      <c r="D560" t="s">
        <v>61</v>
      </c>
      <c r="E560" t="s">
        <v>43</v>
      </c>
      <c r="F560">
        <v>55</v>
      </c>
      <c r="G560" t="s">
        <v>99</v>
      </c>
      <c r="H560" t="s">
        <v>52</v>
      </c>
      <c r="I560" t="s">
        <v>99</v>
      </c>
      <c r="J560" t="s">
        <v>53</v>
      </c>
      <c r="K560">
        <v>2</v>
      </c>
      <c r="L560">
        <v>13342</v>
      </c>
      <c r="M560">
        <v>0</v>
      </c>
      <c r="N560">
        <v>0</v>
      </c>
      <c r="O560">
        <v>4803.12</v>
      </c>
      <c r="P560">
        <v>174</v>
      </c>
      <c r="Q560">
        <v>31661.119999999999</v>
      </c>
      <c r="R560" t="s">
        <v>45</v>
      </c>
      <c r="S560" t="s">
        <v>34</v>
      </c>
      <c r="T560" t="s">
        <v>84</v>
      </c>
      <c r="U560" t="s">
        <v>85</v>
      </c>
      <c r="V560" t="s">
        <v>86</v>
      </c>
      <c r="W560">
        <v>4</v>
      </c>
      <c r="X560" t="s">
        <v>38</v>
      </c>
      <c r="Y560">
        <v>5</v>
      </c>
      <c r="Z560" t="s">
        <v>58</v>
      </c>
    </row>
    <row r="561" spans="1:26" x14ac:dyDescent="0.3">
      <c r="A561" t="s">
        <v>1072</v>
      </c>
      <c r="B561" s="2">
        <v>46075</v>
      </c>
      <c r="C561" t="s">
        <v>631</v>
      </c>
      <c r="D561" t="s">
        <v>28</v>
      </c>
      <c r="E561" t="s">
        <v>43</v>
      </c>
      <c r="F561">
        <v>60</v>
      </c>
      <c r="G561" t="s">
        <v>99</v>
      </c>
      <c r="H561" t="s">
        <v>52</v>
      </c>
      <c r="I561" t="s">
        <v>99</v>
      </c>
      <c r="J561" t="s">
        <v>32</v>
      </c>
      <c r="K561">
        <v>1</v>
      </c>
      <c r="L561">
        <v>22384</v>
      </c>
      <c r="M561">
        <v>0</v>
      </c>
      <c r="N561">
        <v>0</v>
      </c>
      <c r="O561">
        <v>4029.12</v>
      </c>
      <c r="P561">
        <v>175</v>
      </c>
      <c r="Q561">
        <v>26588.12</v>
      </c>
      <c r="R561" t="s">
        <v>33</v>
      </c>
      <c r="S561" t="s">
        <v>63</v>
      </c>
      <c r="T561" t="s">
        <v>103</v>
      </c>
      <c r="U561" t="s">
        <v>103</v>
      </c>
      <c r="V561" t="s">
        <v>57</v>
      </c>
      <c r="W561">
        <v>2</v>
      </c>
      <c r="X561" t="s">
        <v>47</v>
      </c>
      <c r="Y561">
        <v>2</v>
      </c>
      <c r="Z561" t="s">
        <v>47</v>
      </c>
    </row>
    <row r="562" spans="1:26" x14ac:dyDescent="0.3">
      <c r="A562" t="s">
        <v>1073</v>
      </c>
      <c r="B562" s="2">
        <v>45937</v>
      </c>
      <c r="C562" t="s">
        <v>1074</v>
      </c>
      <c r="D562" t="s">
        <v>66</v>
      </c>
      <c r="E562" t="s">
        <v>43</v>
      </c>
      <c r="F562">
        <v>45</v>
      </c>
      <c r="G562" t="s">
        <v>44</v>
      </c>
      <c r="H562" t="s">
        <v>31</v>
      </c>
      <c r="I562" t="s">
        <v>44</v>
      </c>
      <c r="J562" t="s">
        <v>201</v>
      </c>
      <c r="K562">
        <v>2</v>
      </c>
      <c r="L562">
        <v>22350</v>
      </c>
      <c r="M562">
        <v>0</v>
      </c>
      <c r="N562">
        <v>0</v>
      </c>
      <c r="O562">
        <v>8046</v>
      </c>
      <c r="P562">
        <v>119</v>
      </c>
      <c r="Q562">
        <v>52865</v>
      </c>
      <c r="R562" t="s">
        <v>54</v>
      </c>
      <c r="S562" t="s">
        <v>34</v>
      </c>
      <c r="T562" t="s">
        <v>76</v>
      </c>
      <c r="U562" t="s">
        <v>77</v>
      </c>
      <c r="V562" t="s">
        <v>57</v>
      </c>
      <c r="W562">
        <v>9</v>
      </c>
      <c r="X562" t="s">
        <v>47</v>
      </c>
      <c r="Y562">
        <v>3</v>
      </c>
      <c r="Z562" t="s">
        <v>58</v>
      </c>
    </row>
    <row r="563" spans="1:26" x14ac:dyDescent="0.3">
      <c r="A563" t="s">
        <v>1075</v>
      </c>
      <c r="B563" s="2">
        <v>45860</v>
      </c>
      <c r="C563" t="s">
        <v>156</v>
      </c>
      <c r="D563" t="s">
        <v>50</v>
      </c>
      <c r="E563" t="s">
        <v>43</v>
      </c>
      <c r="F563">
        <v>36</v>
      </c>
      <c r="G563" t="s">
        <v>44</v>
      </c>
      <c r="H563" t="s">
        <v>31</v>
      </c>
      <c r="I563" t="s">
        <v>44</v>
      </c>
      <c r="J563" t="s">
        <v>62</v>
      </c>
      <c r="K563">
        <v>1</v>
      </c>
      <c r="L563">
        <v>30336</v>
      </c>
      <c r="M563">
        <v>5</v>
      </c>
      <c r="N563">
        <v>1516.8</v>
      </c>
      <c r="O563">
        <v>5187.46</v>
      </c>
      <c r="P563">
        <v>83</v>
      </c>
      <c r="Q563">
        <v>34089.660000000003</v>
      </c>
      <c r="R563" t="s">
        <v>33</v>
      </c>
      <c r="S563" t="s">
        <v>34</v>
      </c>
      <c r="T563" t="s">
        <v>103</v>
      </c>
      <c r="U563" t="s">
        <v>103</v>
      </c>
      <c r="V563" t="s">
        <v>57</v>
      </c>
      <c r="W563">
        <v>9</v>
      </c>
      <c r="X563" t="s">
        <v>38</v>
      </c>
      <c r="Y563">
        <v>4</v>
      </c>
      <c r="Z563" t="s">
        <v>39</v>
      </c>
    </row>
    <row r="564" spans="1:26" x14ac:dyDescent="0.3">
      <c r="A564" t="s">
        <v>1076</v>
      </c>
      <c r="B564" s="2">
        <v>45872</v>
      </c>
      <c r="C564" t="s">
        <v>1077</v>
      </c>
      <c r="D564" t="s">
        <v>50</v>
      </c>
      <c r="E564" t="s">
        <v>29</v>
      </c>
      <c r="F564">
        <v>47</v>
      </c>
      <c r="G564" t="s">
        <v>94</v>
      </c>
      <c r="H564" t="s">
        <v>31</v>
      </c>
      <c r="I564" t="s">
        <v>94</v>
      </c>
      <c r="J564" t="s">
        <v>75</v>
      </c>
      <c r="K564">
        <v>5</v>
      </c>
      <c r="L564">
        <v>14793</v>
      </c>
      <c r="M564">
        <v>10</v>
      </c>
      <c r="N564">
        <v>7396.5</v>
      </c>
      <c r="O564">
        <v>11982.33</v>
      </c>
      <c r="P564">
        <v>384</v>
      </c>
      <c r="Q564">
        <v>78934.83</v>
      </c>
      <c r="R564" t="s">
        <v>83</v>
      </c>
      <c r="S564" t="s">
        <v>34</v>
      </c>
      <c r="T564" t="s">
        <v>103</v>
      </c>
      <c r="U564" t="s">
        <v>103</v>
      </c>
      <c r="V564" t="s">
        <v>57</v>
      </c>
      <c r="W564">
        <v>10</v>
      </c>
      <c r="X564" t="s">
        <v>47</v>
      </c>
      <c r="Y564">
        <v>3</v>
      </c>
      <c r="Z564" t="s">
        <v>91</v>
      </c>
    </row>
    <row r="565" spans="1:26" x14ac:dyDescent="0.3">
      <c r="A565" t="s">
        <v>1078</v>
      </c>
      <c r="B565" s="2">
        <v>45791</v>
      </c>
      <c r="C565" t="s">
        <v>1079</v>
      </c>
      <c r="D565" t="s">
        <v>42</v>
      </c>
      <c r="E565" t="s">
        <v>29</v>
      </c>
      <c r="F565">
        <v>33</v>
      </c>
      <c r="G565" t="s">
        <v>74</v>
      </c>
      <c r="H565" t="s">
        <v>31</v>
      </c>
      <c r="I565" t="s">
        <v>74</v>
      </c>
      <c r="J565" t="s">
        <v>112</v>
      </c>
      <c r="K565">
        <v>3</v>
      </c>
      <c r="L565">
        <v>38101</v>
      </c>
      <c r="M565">
        <v>10</v>
      </c>
      <c r="N565">
        <v>11430.3</v>
      </c>
      <c r="O565">
        <v>18517.09</v>
      </c>
      <c r="P565">
        <v>123</v>
      </c>
      <c r="Q565">
        <v>121512.79</v>
      </c>
      <c r="R565" t="s">
        <v>83</v>
      </c>
      <c r="S565" t="s">
        <v>63</v>
      </c>
      <c r="T565" t="s">
        <v>95</v>
      </c>
      <c r="U565" t="s">
        <v>96</v>
      </c>
      <c r="V565" t="s">
        <v>57</v>
      </c>
      <c r="W565">
        <v>4</v>
      </c>
      <c r="X565" t="s">
        <v>38</v>
      </c>
      <c r="Y565">
        <v>1</v>
      </c>
      <c r="Z565" t="s">
        <v>91</v>
      </c>
    </row>
    <row r="566" spans="1:26" x14ac:dyDescent="0.3">
      <c r="A566" t="s">
        <v>1080</v>
      </c>
      <c r="B566" s="2">
        <v>45951</v>
      </c>
      <c r="C566" t="s">
        <v>200</v>
      </c>
      <c r="D566" t="s">
        <v>89</v>
      </c>
      <c r="E566" t="s">
        <v>29</v>
      </c>
      <c r="F566">
        <v>27</v>
      </c>
      <c r="G566" t="s">
        <v>67</v>
      </c>
      <c r="H566" t="s">
        <v>68</v>
      </c>
      <c r="I566" t="s">
        <v>67</v>
      </c>
      <c r="J566" t="s">
        <v>62</v>
      </c>
      <c r="K566">
        <v>2</v>
      </c>
      <c r="L566">
        <v>20386</v>
      </c>
      <c r="M566">
        <v>20</v>
      </c>
      <c r="N566">
        <v>8154.4</v>
      </c>
      <c r="O566">
        <v>5871.17</v>
      </c>
      <c r="P566">
        <v>48</v>
      </c>
      <c r="Q566">
        <v>38536.769999999997</v>
      </c>
      <c r="R566" t="s">
        <v>83</v>
      </c>
      <c r="S566" t="s">
        <v>63</v>
      </c>
      <c r="T566" t="s">
        <v>46</v>
      </c>
      <c r="U566" t="s">
        <v>36</v>
      </c>
      <c r="V566" t="s">
        <v>37</v>
      </c>
      <c r="W566">
        <v>10</v>
      </c>
      <c r="X566" t="s">
        <v>38</v>
      </c>
      <c r="Y566">
        <v>1</v>
      </c>
      <c r="Z566" t="s">
        <v>91</v>
      </c>
    </row>
    <row r="567" spans="1:26" x14ac:dyDescent="0.3">
      <c r="A567" t="s">
        <v>1081</v>
      </c>
      <c r="B567" s="2">
        <v>46066</v>
      </c>
      <c r="C567" t="s">
        <v>266</v>
      </c>
      <c r="D567" t="s">
        <v>73</v>
      </c>
      <c r="E567" t="s">
        <v>29</v>
      </c>
      <c r="F567">
        <v>28</v>
      </c>
      <c r="G567" t="s">
        <v>90</v>
      </c>
      <c r="H567" t="s">
        <v>31</v>
      </c>
      <c r="I567" t="s">
        <v>90</v>
      </c>
      <c r="J567" t="s">
        <v>32</v>
      </c>
      <c r="K567">
        <v>2</v>
      </c>
      <c r="L567">
        <v>12947</v>
      </c>
      <c r="M567">
        <v>10</v>
      </c>
      <c r="N567">
        <v>2589.4</v>
      </c>
      <c r="O567">
        <v>4194.83</v>
      </c>
      <c r="P567">
        <v>401</v>
      </c>
      <c r="Q567">
        <v>27900.43</v>
      </c>
      <c r="R567" t="s">
        <v>54</v>
      </c>
      <c r="S567" t="s">
        <v>34</v>
      </c>
      <c r="T567" t="s">
        <v>46</v>
      </c>
      <c r="U567" t="s">
        <v>36</v>
      </c>
      <c r="V567" t="s">
        <v>37</v>
      </c>
      <c r="W567">
        <v>1</v>
      </c>
      <c r="X567" t="s">
        <v>47</v>
      </c>
      <c r="Y567">
        <v>1</v>
      </c>
      <c r="Z567" t="s">
        <v>58</v>
      </c>
    </row>
    <row r="568" spans="1:26" x14ac:dyDescent="0.3">
      <c r="A568" t="s">
        <v>1082</v>
      </c>
      <c r="B568" s="2">
        <v>45993</v>
      </c>
      <c r="C568" t="s">
        <v>1083</v>
      </c>
      <c r="D568" t="s">
        <v>28</v>
      </c>
      <c r="E568" t="s">
        <v>43</v>
      </c>
      <c r="F568">
        <v>29</v>
      </c>
      <c r="G568" t="s">
        <v>67</v>
      </c>
      <c r="H568" t="s">
        <v>68</v>
      </c>
      <c r="I568" t="s">
        <v>67</v>
      </c>
      <c r="J568" t="s">
        <v>125</v>
      </c>
      <c r="K568">
        <v>1</v>
      </c>
      <c r="L568">
        <v>45669</v>
      </c>
      <c r="M568">
        <v>20</v>
      </c>
      <c r="N568">
        <v>9133.7999999999993</v>
      </c>
      <c r="O568">
        <v>6576.34</v>
      </c>
      <c r="P568">
        <v>84</v>
      </c>
      <c r="Q568">
        <v>43195.54</v>
      </c>
      <c r="R568" t="s">
        <v>83</v>
      </c>
      <c r="S568" t="s">
        <v>34</v>
      </c>
      <c r="T568" t="s">
        <v>103</v>
      </c>
      <c r="U568" t="s">
        <v>103</v>
      </c>
      <c r="V568" t="s">
        <v>57</v>
      </c>
      <c r="W568">
        <v>9</v>
      </c>
      <c r="X568" t="s">
        <v>47</v>
      </c>
      <c r="Y568">
        <v>1</v>
      </c>
      <c r="Z568" t="s">
        <v>58</v>
      </c>
    </row>
    <row r="569" spans="1:26" x14ac:dyDescent="0.3">
      <c r="A569" t="s">
        <v>1084</v>
      </c>
      <c r="B569" s="2">
        <v>45923</v>
      </c>
      <c r="C569" t="s">
        <v>1085</v>
      </c>
      <c r="D569" t="s">
        <v>66</v>
      </c>
      <c r="E569" t="s">
        <v>29</v>
      </c>
      <c r="F569">
        <v>27</v>
      </c>
      <c r="G569" t="s">
        <v>44</v>
      </c>
      <c r="H569" t="s">
        <v>31</v>
      </c>
      <c r="I569" t="s">
        <v>44</v>
      </c>
      <c r="J569" t="s">
        <v>150</v>
      </c>
      <c r="K569">
        <v>5</v>
      </c>
      <c r="L569">
        <v>32363</v>
      </c>
      <c r="M569">
        <v>15</v>
      </c>
      <c r="N569">
        <v>24272.25</v>
      </c>
      <c r="O569">
        <v>24757.69</v>
      </c>
      <c r="P569">
        <v>55</v>
      </c>
      <c r="Q569">
        <v>162355.45000000001</v>
      </c>
      <c r="R569" t="s">
        <v>33</v>
      </c>
      <c r="S569" t="s">
        <v>63</v>
      </c>
      <c r="T569" t="s">
        <v>103</v>
      </c>
      <c r="U569" t="s">
        <v>103</v>
      </c>
      <c r="V569" t="s">
        <v>57</v>
      </c>
      <c r="W569">
        <v>4</v>
      </c>
      <c r="X569" t="s">
        <v>47</v>
      </c>
      <c r="Y569">
        <v>3</v>
      </c>
      <c r="Z569" t="s">
        <v>39</v>
      </c>
    </row>
    <row r="570" spans="1:26" x14ac:dyDescent="0.3">
      <c r="A570" t="s">
        <v>1086</v>
      </c>
      <c r="B570" s="2">
        <v>45902</v>
      </c>
      <c r="C570" t="s">
        <v>1087</v>
      </c>
      <c r="D570" t="s">
        <v>108</v>
      </c>
      <c r="E570" t="s">
        <v>29</v>
      </c>
      <c r="F570">
        <v>18</v>
      </c>
      <c r="G570" t="s">
        <v>90</v>
      </c>
      <c r="H570" t="s">
        <v>31</v>
      </c>
      <c r="I570" t="s">
        <v>90</v>
      </c>
      <c r="J570" t="s">
        <v>201</v>
      </c>
      <c r="K570">
        <v>2</v>
      </c>
      <c r="L570">
        <v>26083</v>
      </c>
      <c r="M570">
        <v>5</v>
      </c>
      <c r="N570">
        <v>2608.3000000000002</v>
      </c>
      <c r="O570">
        <v>8920.39</v>
      </c>
      <c r="P570">
        <v>148</v>
      </c>
      <c r="Q570">
        <v>58626.09</v>
      </c>
      <c r="R570" t="s">
        <v>45</v>
      </c>
      <c r="S570" t="s">
        <v>34</v>
      </c>
      <c r="T570" t="s">
        <v>95</v>
      </c>
      <c r="U570" t="s">
        <v>96</v>
      </c>
      <c r="V570" t="s">
        <v>57</v>
      </c>
      <c r="W570">
        <v>4</v>
      </c>
      <c r="X570" t="s">
        <v>38</v>
      </c>
      <c r="Y570">
        <v>2</v>
      </c>
      <c r="Z570" t="s">
        <v>39</v>
      </c>
    </row>
    <row r="571" spans="1:26" x14ac:dyDescent="0.3">
      <c r="A571" t="s">
        <v>1088</v>
      </c>
      <c r="B571" s="2">
        <v>46113</v>
      </c>
      <c r="C571" t="s">
        <v>491</v>
      </c>
      <c r="D571" t="s">
        <v>42</v>
      </c>
      <c r="E571" t="s">
        <v>43</v>
      </c>
      <c r="F571">
        <v>28</v>
      </c>
      <c r="G571" t="s">
        <v>90</v>
      </c>
      <c r="H571" t="s">
        <v>31</v>
      </c>
      <c r="I571" t="s">
        <v>90</v>
      </c>
      <c r="J571" t="s">
        <v>112</v>
      </c>
      <c r="K571">
        <v>4</v>
      </c>
      <c r="L571">
        <v>18529</v>
      </c>
      <c r="M571">
        <v>20</v>
      </c>
      <c r="N571">
        <v>14823.2</v>
      </c>
      <c r="O571">
        <v>10672.7</v>
      </c>
      <c r="P571">
        <v>326</v>
      </c>
      <c r="Q571">
        <v>70291.5</v>
      </c>
      <c r="R571" t="s">
        <v>33</v>
      </c>
      <c r="S571" t="s">
        <v>63</v>
      </c>
      <c r="T571" t="s">
        <v>84</v>
      </c>
      <c r="U571" t="s">
        <v>85</v>
      </c>
      <c r="V571" t="s">
        <v>86</v>
      </c>
      <c r="W571">
        <v>10</v>
      </c>
      <c r="X571" t="s">
        <v>38</v>
      </c>
      <c r="Y571">
        <v>4</v>
      </c>
      <c r="Z571" t="s">
        <v>91</v>
      </c>
    </row>
    <row r="572" spans="1:26" x14ac:dyDescent="0.3">
      <c r="A572" t="s">
        <v>1089</v>
      </c>
      <c r="B572" s="2">
        <v>46038</v>
      </c>
      <c r="C572" t="s">
        <v>540</v>
      </c>
      <c r="D572" t="s">
        <v>73</v>
      </c>
      <c r="E572" t="s">
        <v>29</v>
      </c>
      <c r="F572">
        <v>22</v>
      </c>
      <c r="G572" t="s">
        <v>44</v>
      </c>
      <c r="H572" t="s">
        <v>31</v>
      </c>
      <c r="I572" t="s">
        <v>44</v>
      </c>
      <c r="J572" t="s">
        <v>32</v>
      </c>
      <c r="K572">
        <v>5</v>
      </c>
      <c r="L572">
        <v>48092</v>
      </c>
      <c r="M572">
        <v>0</v>
      </c>
      <c r="N572">
        <v>0</v>
      </c>
      <c r="O572">
        <v>43282.8</v>
      </c>
      <c r="P572">
        <v>210</v>
      </c>
      <c r="Q572">
        <v>283952.8</v>
      </c>
      <c r="R572" t="s">
        <v>54</v>
      </c>
      <c r="S572" t="s">
        <v>34</v>
      </c>
      <c r="T572" t="s">
        <v>95</v>
      </c>
      <c r="U572" t="s">
        <v>96</v>
      </c>
      <c r="V572" t="s">
        <v>57</v>
      </c>
      <c r="W572">
        <v>3</v>
      </c>
      <c r="X572" t="s">
        <v>38</v>
      </c>
      <c r="Y572">
        <v>1</v>
      </c>
      <c r="Z572" t="s">
        <v>47</v>
      </c>
    </row>
    <row r="573" spans="1:26" x14ac:dyDescent="0.3">
      <c r="A573" t="s">
        <v>1090</v>
      </c>
      <c r="B573" s="2">
        <v>45975</v>
      </c>
      <c r="C573" t="s">
        <v>1017</v>
      </c>
      <c r="D573" t="s">
        <v>111</v>
      </c>
      <c r="E573" t="s">
        <v>43</v>
      </c>
      <c r="F573">
        <v>28</v>
      </c>
      <c r="G573" t="s">
        <v>51</v>
      </c>
      <c r="H573" t="s">
        <v>52</v>
      </c>
      <c r="I573" t="s">
        <v>51</v>
      </c>
      <c r="J573" t="s">
        <v>102</v>
      </c>
      <c r="K573">
        <v>1</v>
      </c>
      <c r="L573">
        <v>46450</v>
      </c>
      <c r="M573">
        <v>10</v>
      </c>
      <c r="N573">
        <v>4645</v>
      </c>
      <c r="O573">
        <v>7524.9</v>
      </c>
      <c r="P573">
        <v>11</v>
      </c>
      <c r="Q573">
        <v>49340.9</v>
      </c>
      <c r="R573" t="s">
        <v>54</v>
      </c>
      <c r="S573" t="s">
        <v>34</v>
      </c>
      <c r="T573" t="s">
        <v>84</v>
      </c>
      <c r="U573" t="s">
        <v>85</v>
      </c>
      <c r="V573" t="s">
        <v>86</v>
      </c>
      <c r="W573">
        <v>8</v>
      </c>
      <c r="X573" t="s">
        <v>38</v>
      </c>
      <c r="Y573">
        <v>5</v>
      </c>
      <c r="Z573" t="s">
        <v>39</v>
      </c>
    </row>
    <row r="574" spans="1:26" x14ac:dyDescent="0.3">
      <c r="A574" t="s">
        <v>1091</v>
      </c>
      <c r="B574" s="2">
        <v>46041</v>
      </c>
      <c r="C574" t="s">
        <v>523</v>
      </c>
      <c r="D574" t="s">
        <v>108</v>
      </c>
      <c r="E574" t="s">
        <v>43</v>
      </c>
      <c r="F574">
        <v>19</v>
      </c>
      <c r="G574" t="s">
        <v>44</v>
      </c>
      <c r="H574" t="s">
        <v>31</v>
      </c>
      <c r="I574" t="s">
        <v>44</v>
      </c>
      <c r="J574" t="s">
        <v>53</v>
      </c>
      <c r="K574">
        <v>2</v>
      </c>
      <c r="L574">
        <v>7461</v>
      </c>
      <c r="M574">
        <v>5</v>
      </c>
      <c r="N574">
        <v>746.1</v>
      </c>
      <c r="O574">
        <v>2551.66</v>
      </c>
      <c r="P574">
        <v>462</v>
      </c>
      <c r="Q574">
        <v>17189.560000000001</v>
      </c>
      <c r="R574" t="s">
        <v>54</v>
      </c>
      <c r="S574" t="s">
        <v>63</v>
      </c>
      <c r="T574" t="s">
        <v>84</v>
      </c>
      <c r="U574" t="s">
        <v>85</v>
      </c>
      <c r="V574" t="s">
        <v>86</v>
      </c>
      <c r="W574">
        <v>4</v>
      </c>
      <c r="X574" t="s">
        <v>47</v>
      </c>
      <c r="Y574">
        <v>5</v>
      </c>
      <c r="Z574" t="s">
        <v>91</v>
      </c>
    </row>
    <row r="575" spans="1:26" x14ac:dyDescent="0.3">
      <c r="A575" t="s">
        <v>1092</v>
      </c>
      <c r="B575" s="2">
        <v>45764</v>
      </c>
      <c r="C575" t="s">
        <v>257</v>
      </c>
      <c r="D575" t="s">
        <v>89</v>
      </c>
      <c r="E575" t="s">
        <v>29</v>
      </c>
      <c r="F575">
        <v>26</v>
      </c>
      <c r="G575" t="s">
        <v>94</v>
      </c>
      <c r="H575" t="s">
        <v>31</v>
      </c>
      <c r="I575" t="s">
        <v>94</v>
      </c>
      <c r="J575" t="s">
        <v>201</v>
      </c>
      <c r="K575">
        <v>4</v>
      </c>
      <c r="L575">
        <v>34693</v>
      </c>
      <c r="M575">
        <v>20</v>
      </c>
      <c r="N575">
        <v>27754.400000000001</v>
      </c>
      <c r="O575">
        <v>19983.169999999998</v>
      </c>
      <c r="P575">
        <v>92</v>
      </c>
      <c r="Q575">
        <v>131092.76999999999</v>
      </c>
      <c r="R575" t="s">
        <v>83</v>
      </c>
      <c r="S575" t="s">
        <v>34</v>
      </c>
      <c r="T575" t="s">
        <v>35</v>
      </c>
      <c r="U575" t="s">
        <v>36</v>
      </c>
      <c r="V575" t="s">
        <v>37</v>
      </c>
      <c r="W575">
        <v>6</v>
      </c>
      <c r="X575" t="s">
        <v>47</v>
      </c>
      <c r="Y575">
        <v>3</v>
      </c>
      <c r="Z575" t="s">
        <v>91</v>
      </c>
    </row>
    <row r="576" spans="1:26" x14ac:dyDescent="0.3">
      <c r="A576" t="s">
        <v>1093</v>
      </c>
      <c r="B576" s="2">
        <v>45875</v>
      </c>
      <c r="C576" t="s">
        <v>314</v>
      </c>
      <c r="D576" t="s">
        <v>50</v>
      </c>
      <c r="E576" t="s">
        <v>43</v>
      </c>
      <c r="F576">
        <v>29</v>
      </c>
      <c r="G576" t="s">
        <v>90</v>
      </c>
      <c r="H576" t="s">
        <v>31</v>
      </c>
      <c r="I576" t="s">
        <v>90</v>
      </c>
      <c r="J576" t="s">
        <v>112</v>
      </c>
      <c r="K576">
        <v>1</v>
      </c>
      <c r="L576">
        <v>32825</v>
      </c>
      <c r="M576">
        <v>10</v>
      </c>
      <c r="N576">
        <v>3282.5</v>
      </c>
      <c r="O576">
        <v>5317.65</v>
      </c>
      <c r="P576">
        <v>116</v>
      </c>
      <c r="Q576">
        <v>34976.15</v>
      </c>
      <c r="R576" t="s">
        <v>45</v>
      </c>
      <c r="S576" t="s">
        <v>63</v>
      </c>
      <c r="T576" t="s">
        <v>103</v>
      </c>
      <c r="U576" t="s">
        <v>103</v>
      </c>
      <c r="V576" t="s">
        <v>57</v>
      </c>
      <c r="W576">
        <v>7</v>
      </c>
      <c r="X576" t="s">
        <v>47</v>
      </c>
      <c r="Y576">
        <v>4</v>
      </c>
      <c r="Z576" t="s">
        <v>39</v>
      </c>
    </row>
    <row r="577" spans="1:26" x14ac:dyDescent="0.3">
      <c r="A577" t="s">
        <v>1094</v>
      </c>
      <c r="B577" s="2">
        <v>45786</v>
      </c>
      <c r="C577" t="s">
        <v>808</v>
      </c>
      <c r="D577" t="s">
        <v>42</v>
      </c>
      <c r="E577" t="s">
        <v>29</v>
      </c>
      <c r="F577">
        <v>33</v>
      </c>
      <c r="G577" t="s">
        <v>44</v>
      </c>
      <c r="H577" t="s">
        <v>31</v>
      </c>
      <c r="I577" t="s">
        <v>44</v>
      </c>
      <c r="J577" t="s">
        <v>112</v>
      </c>
      <c r="K577">
        <v>3</v>
      </c>
      <c r="L577">
        <v>10600</v>
      </c>
      <c r="M577">
        <v>20</v>
      </c>
      <c r="N577">
        <v>6360</v>
      </c>
      <c r="O577">
        <v>4579.2</v>
      </c>
      <c r="P577">
        <v>129</v>
      </c>
      <c r="Q577">
        <v>30148.2</v>
      </c>
      <c r="R577" t="s">
        <v>83</v>
      </c>
      <c r="S577" t="s">
        <v>34</v>
      </c>
      <c r="T577" t="s">
        <v>55</v>
      </c>
      <c r="U577" t="s">
        <v>56</v>
      </c>
      <c r="V577" t="s">
        <v>57</v>
      </c>
      <c r="W577">
        <v>10</v>
      </c>
      <c r="X577" t="s">
        <v>47</v>
      </c>
      <c r="Y577">
        <v>2</v>
      </c>
      <c r="Z577" t="s">
        <v>91</v>
      </c>
    </row>
    <row r="578" spans="1:26" x14ac:dyDescent="0.3">
      <c r="A578" t="s">
        <v>1095</v>
      </c>
      <c r="B578" s="2">
        <v>46008</v>
      </c>
      <c r="C578" t="s">
        <v>160</v>
      </c>
      <c r="D578" t="s">
        <v>61</v>
      </c>
      <c r="E578" t="s">
        <v>29</v>
      </c>
      <c r="F578">
        <v>50</v>
      </c>
      <c r="G578" t="s">
        <v>67</v>
      </c>
      <c r="H578" t="s">
        <v>68</v>
      </c>
      <c r="I578" t="s">
        <v>67</v>
      </c>
      <c r="J578" t="s">
        <v>53</v>
      </c>
      <c r="K578">
        <v>3</v>
      </c>
      <c r="L578">
        <v>36848</v>
      </c>
      <c r="M578">
        <v>5</v>
      </c>
      <c r="N578">
        <v>5527.2</v>
      </c>
      <c r="O578">
        <v>18903.02</v>
      </c>
      <c r="P578">
        <v>368</v>
      </c>
      <c r="Q578">
        <v>124287.82</v>
      </c>
      <c r="R578" t="s">
        <v>45</v>
      </c>
      <c r="S578" t="s">
        <v>63</v>
      </c>
      <c r="T578" t="s">
        <v>55</v>
      </c>
      <c r="U578" t="s">
        <v>56</v>
      </c>
      <c r="V578" t="s">
        <v>57</v>
      </c>
      <c r="W578">
        <v>3</v>
      </c>
      <c r="X578" t="s">
        <v>38</v>
      </c>
      <c r="Y578">
        <v>1</v>
      </c>
      <c r="Z578" t="s">
        <v>58</v>
      </c>
    </row>
    <row r="579" spans="1:26" x14ac:dyDescent="0.3">
      <c r="A579" t="s">
        <v>1096</v>
      </c>
      <c r="B579" s="2">
        <v>45936</v>
      </c>
      <c r="C579" t="s">
        <v>1097</v>
      </c>
      <c r="D579" t="s">
        <v>80</v>
      </c>
      <c r="E579" t="s">
        <v>43</v>
      </c>
      <c r="F579">
        <v>32</v>
      </c>
      <c r="G579" t="s">
        <v>67</v>
      </c>
      <c r="H579" t="s">
        <v>68</v>
      </c>
      <c r="I579" t="s">
        <v>67</v>
      </c>
      <c r="J579" t="s">
        <v>112</v>
      </c>
      <c r="K579">
        <v>3</v>
      </c>
      <c r="L579">
        <v>35709</v>
      </c>
      <c r="M579">
        <v>0</v>
      </c>
      <c r="N579">
        <v>0</v>
      </c>
      <c r="O579">
        <v>19282.86</v>
      </c>
      <c r="P579">
        <v>36</v>
      </c>
      <c r="Q579">
        <v>126445.86</v>
      </c>
      <c r="R579" t="s">
        <v>33</v>
      </c>
      <c r="S579" t="s">
        <v>34</v>
      </c>
      <c r="T579" t="s">
        <v>103</v>
      </c>
      <c r="U579" t="s">
        <v>103</v>
      </c>
      <c r="V579" t="s">
        <v>57</v>
      </c>
      <c r="W579">
        <v>7</v>
      </c>
      <c r="X579" t="s">
        <v>38</v>
      </c>
      <c r="Y579">
        <v>4</v>
      </c>
      <c r="Z579" t="s">
        <v>91</v>
      </c>
    </row>
    <row r="580" spans="1:26" x14ac:dyDescent="0.3">
      <c r="A580" t="s">
        <v>1098</v>
      </c>
      <c r="B580" s="2">
        <v>46070</v>
      </c>
      <c r="C580" t="s">
        <v>713</v>
      </c>
      <c r="D580" t="s">
        <v>61</v>
      </c>
      <c r="E580" t="s">
        <v>43</v>
      </c>
      <c r="F580">
        <v>27</v>
      </c>
      <c r="G580" t="s">
        <v>90</v>
      </c>
      <c r="H580" t="s">
        <v>31</v>
      </c>
      <c r="I580" t="s">
        <v>90</v>
      </c>
      <c r="J580" t="s">
        <v>125</v>
      </c>
      <c r="K580">
        <v>4</v>
      </c>
      <c r="L580">
        <v>20644</v>
      </c>
      <c r="M580">
        <v>5</v>
      </c>
      <c r="N580">
        <v>4128.8</v>
      </c>
      <c r="O580">
        <v>14120.5</v>
      </c>
      <c r="P580">
        <v>344</v>
      </c>
      <c r="Q580">
        <v>92911.7</v>
      </c>
      <c r="R580" t="s">
        <v>83</v>
      </c>
      <c r="S580" t="s">
        <v>63</v>
      </c>
      <c r="T580" t="s">
        <v>70</v>
      </c>
      <c r="U580" t="s">
        <v>56</v>
      </c>
      <c r="V580" t="s">
        <v>57</v>
      </c>
      <c r="W580">
        <v>6</v>
      </c>
      <c r="X580" t="s">
        <v>38</v>
      </c>
      <c r="Y580">
        <v>3</v>
      </c>
      <c r="Z580" t="s">
        <v>91</v>
      </c>
    </row>
    <row r="581" spans="1:26" x14ac:dyDescent="0.3">
      <c r="A581" t="s">
        <v>1099</v>
      </c>
      <c r="B581" s="2">
        <v>46005</v>
      </c>
      <c r="C581" t="s">
        <v>1100</v>
      </c>
      <c r="D581" t="s">
        <v>42</v>
      </c>
      <c r="E581" t="s">
        <v>43</v>
      </c>
      <c r="F581">
        <v>40</v>
      </c>
      <c r="G581" t="s">
        <v>30</v>
      </c>
      <c r="H581" t="s">
        <v>31</v>
      </c>
      <c r="I581" t="s">
        <v>30</v>
      </c>
      <c r="J581" t="s">
        <v>150</v>
      </c>
      <c r="K581">
        <v>2</v>
      </c>
      <c r="L581">
        <v>6782</v>
      </c>
      <c r="M581">
        <v>10</v>
      </c>
      <c r="N581">
        <v>1356.4</v>
      </c>
      <c r="O581">
        <v>2197.37</v>
      </c>
      <c r="P581">
        <v>59</v>
      </c>
      <c r="Q581">
        <v>14463.97</v>
      </c>
      <c r="R581" t="s">
        <v>83</v>
      </c>
      <c r="S581" t="s">
        <v>34</v>
      </c>
      <c r="T581" t="s">
        <v>95</v>
      </c>
      <c r="U581" t="s">
        <v>96</v>
      </c>
      <c r="V581" t="s">
        <v>57</v>
      </c>
      <c r="W581">
        <v>2</v>
      </c>
      <c r="X581" t="s">
        <v>38</v>
      </c>
      <c r="Y581">
        <v>1</v>
      </c>
      <c r="Z581" t="s">
        <v>39</v>
      </c>
    </row>
    <row r="582" spans="1:26" x14ac:dyDescent="0.3">
      <c r="A582" t="s">
        <v>1101</v>
      </c>
      <c r="B582" s="2">
        <v>46105</v>
      </c>
      <c r="C582" t="s">
        <v>1102</v>
      </c>
      <c r="D582" t="s">
        <v>42</v>
      </c>
      <c r="E582" t="s">
        <v>43</v>
      </c>
      <c r="F582">
        <v>33</v>
      </c>
      <c r="G582" t="s">
        <v>99</v>
      </c>
      <c r="H582" t="s">
        <v>52</v>
      </c>
      <c r="I582" t="s">
        <v>99</v>
      </c>
      <c r="J582" t="s">
        <v>125</v>
      </c>
      <c r="K582">
        <v>3</v>
      </c>
      <c r="L582">
        <v>30995</v>
      </c>
      <c r="M582">
        <v>5</v>
      </c>
      <c r="N582">
        <v>4649.25</v>
      </c>
      <c r="O582">
        <v>15900.43</v>
      </c>
      <c r="P582">
        <v>207</v>
      </c>
      <c r="Q582">
        <v>104443.18</v>
      </c>
      <c r="R582" t="s">
        <v>45</v>
      </c>
      <c r="S582" t="s">
        <v>63</v>
      </c>
      <c r="T582" t="s">
        <v>55</v>
      </c>
      <c r="U582" t="s">
        <v>56</v>
      </c>
      <c r="V582" t="s">
        <v>57</v>
      </c>
      <c r="W582">
        <v>6</v>
      </c>
      <c r="X582" t="s">
        <v>38</v>
      </c>
      <c r="Y582">
        <v>5</v>
      </c>
      <c r="Z582" t="s">
        <v>91</v>
      </c>
    </row>
    <row r="583" spans="1:26" x14ac:dyDescent="0.3">
      <c r="A583" t="s">
        <v>1103</v>
      </c>
      <c r="B583" s="2">
        <v>45929</v>
      </c>
      <c r="C583" t="s">
        <v>1104</v>
      </c>
      <c r="D583" t="s">
        <v>61</v>
      </c>
      <c r="E583" t="s">
        <v>43</v>
      </c>
      <c r="F583">
        <v>19</v>
      </c>
      <c r="G583" t="s">
        <v>44</v>
      </c>
      <c r="H583" t="s">
        <v>31</v>
      </c>
      <c r="I583" t="s">
        <v>44</v>
      </c>
      <c r="J583" t="s">
        <v>102</v>
      </c>
      <c r="K583">
        <v>1</v>
      </c>
      <c r="L583">
        <v>31065</v>
      </c>
      <c r="M583">
        <v>20</v>
      </c>
      <c r="N583">
        <v>6213</v>
      </c>
      <c r="O583">
        <v>4473.3599999999997</v>
      </c>
      <c r="P583">
        <v>485</v>
      </c>
      <c r="Q583">
        <v>29810.36</v>
      </c>
      <c r="R583" t="s">
        <v>45</v>
      </c>
      <c r="S583" t="s">
        <v>63</v>
      </c>
      <c r="T583" t="s">
        <v>70</v>
      </c>
      <c r="U583" t="s">
        <v>56</v>
      </c>
      <c r="V583" t="s">
        <v>57</v>
      </c>
      <c r="W583">
        <v>8</v>
      </c>
      <c r="X583" t="s">
        <v>47</v>
      </c>
      <c r="Y583">
        <v>4</v>
      </c>
      <c r="Z583" t="s">
        <v>39</v>
      </c>
    </row>
    <row r="584" spans="1:26" x14ac:dyDescent="0.3">
      <c r="A584" t="s">
        <v>1105</v>
      </c>
      <c r="B584" s="2">
        <v>45797</v>
      </c>
      <c r="C584" t="s">
        <v>625</v>
      </c>
      <c r="D584" t="s">
        <v>50</v>
      </c>
      <c r="E584" t="s">
        <v>43</v>
      </c>
      <c r="F584">
        <v>23</v>
      </c>
      <c r="G584" t="s">
        <v>51</v>
      </c>
      <c r="H584" t="s">
        <v>52</v>
      </c>
      <c r="I584" t="s">
        <v>51</v>
      </c>
      <c r="J584" t="s">
        <v>112</v>
      </c>
      <c r="K584">
        <v>4</v>
      </c>
      <c r="L584">
        <v>25638</v>
      </c>
      <c r="M584">
        <v>5</v>
      </c>
      <c r="N584">
        <v>5127.6000000000004</v>
      </c>
      <c r="O584">
        <v>17536.39</v>
      </c>
      <c r="P584">
        <v>105</v>
      </c>
      <c r="Q584">
        <v>115065.79</v>
      </c>
      <c r="R584" t="s">
        <v>33</v>
      </c>
      <c r="S584" t="s">
        <v>63</v>
      </c>
      <c r="T584" t="s">
        <v>70</v>
      </c>
      <c r="U584" t="s">
        <v>56</v>
      </c>
      <c r="V584" t="s">
        <v>57</v>
      </c>
      <c r="W584">
        <v>6</v>
      </c>
      <c r="X584" t="s">
        <v>38</v>
      </c>
      <c r="Y584">
        <v>5</v>
      </c>
      <c r="Z584" t="s">
        <v>91</v>
      </c>
    </row>
    <row r="585" spans="1:26" x14ac:dyDescent="0.3">
      <c r="A585" t="s">
        <v>1106</v>
      </c>
      <c r="B585" s="2">
        <v>45758</v>
      </c>
      <c r="C585" t="s">
        <v>944</v>
      </c>
      <c r="D585" t="s">
        <v>42</v>
      </c>
      <c r="E585" t="s">
        <v>43</v>
      </c>
      <c r="F585">
        <v>44</v>
      </c>
      <c r="G585" t="s">
        <v>51</v>
      </c>
      <c r="H585" t="s">
        <v>52</v>
      </c>
      <c r="I585" t="s">
        <v>51</v>
      </c>
      <c r="J585" t="s">
        <v>201</v>
      </c>
      <c r="K585">
        <v>3</v>
      </c>
      <c r="L585">
        <v>36997</v>
      </c>
      <c r="M585">
        <v>20</v>
      </c>
      <c r="N585">
        <v>22198.2</v>
      </c>
      <c r="O585">
        <v>15982.7</v>
      </c>
      <c r="P585">
        <v>276</v>
      </c>
      <c r="Q585">
        <v>105051.5</v>
      </c>
      <c r="R585" t="s">
        <v>33</v>
      </c>
      <c r="S585" t="s">
        <v>63</v>
      </c>
      <c r="T585" t="s">
        <v>95</v>
      </c>
      <c r="U585" t="s">
        <v>96</v>
      </c>
      <c r="V585" t="s">
        <v>57</v>
      </c>
      <c r="W585">
        <v>7</v>
      </c>
      <c r="X585" t="s">
        <v>47</v>
      </c>
      <c r="Y585">
        <v>2</v>
      </c>
      <c r="Z585" t="s">
        <v>47</v>
      </c>
    </row>
    <row r="586" spans="1:26" x14ac:dyDescent="0.3">
      <c r="A586" t="s">
        <v>1107</v>
      </c>
      <c r="B586" s="2">
        <v>46066</v>
      </c>
      <c r="C586" t="s">
        <v>266</v>
      </c>
      <c r="D586" t="s">
        <v>61</v>
      </c>
      <c r="E586" t="s">
        <v>29</v>
      </c>
      <c r="F586">
        <v>57</v>
      </c>
      <c r="G586" t="s">
        <v>99</v>
      </c>
      <c r="H586" t="s">
        <v>52</v>
      </c>
      <c r="I586" t="s">
        <v>99</v>
      </c>
      <c r="J586" t="s">
        <v>125</v>
      </c>
      <c r="K586">
        <v>2</v>
      </c>
      <c r="L586">
        <v>22302</v>
      </c>
      <c r="M586">
        <v>0</v>
      </c>
      <c r="N586">
        <v>0</v>
      </c>
      <c r="O586">
        <v>8028.72</v>
      </c>
      <c r="P586">
        <v>137</v>
      </c>
      <c r="Q586">
        <v>52769.72</v>
      </c>
      <c r="R586" t="s">
        <v>83</v>
      </c>
      <c r="S586" t="s">
        <v>34</v>
      </c>
      <c r="T586" t="s">
        <v>95</v>
      </c>
      <c r="U586" t="s">
        <v>96</v>
      </c>
      <c r="V586" t="s">
        <v>57</v>
      </c>
      <c r="W586">
        <v>9</v>
      </c>
      <c r="X586" t="s">
        <v>47</v>
      </c>
      <c r="Y586">
        <v>2</v>
      </c>
      <c r="Z586" t="s">
        <v>58</v>
      </c>
    </row>
    <row r="587" spans="1:26" x14ac:dyDescent="0.3">
      <c r="A587" t="s">
        <v>1108</v>
      </c>
      <c r="B587" s="2">
        <v>45887</v>
      </c>
      <c r="C587" t="s">
        <v>578</v>
      </c>
      <c r="D587" t="s">
        <v>28</v>
      </c>
      <c r="E587" t="s">
        <v>29</v>
      </c>
      <c r="F587">
        <v>54</v>
      </c>
      <c r="G587" t="s">
        <v>99</v>
      </c>
      <c r="H587" t="s">
        <v>52</v>
      </c>
      <c r="I587" t="s">
        <v>99</v>
      </c>
      <c r="J587" t="s">
        <v>69</v>
      </c>
      <c r="K587">
        <v>4</v>
      </c>
      <c r="L587">
        <v>27890</v>
      </c>
      <c r="M587">
        <v>5</v>
      </c>
      <c r="N587">
        <v>5578</v>
      </c>
      <c r="O587">
        <v>19076.759999999998</v>
      </c>
      <c r="P587">
        <v>263</v>
      </c>
      <c r="Q587">
        <v>125321.76</v>
      </c>
      <c r="R587" t="s">
        <v>83</v>
      </c>
      <c r="S587" t="s">
        <v>63</v>
      </c>
      <c r="T587" t="s">
        <v>76</v>
      </c>
      <c r="U587" t="s">
        <v>77</v>
      </c>
      <c r="V587" t="s">
        <v>57</v>
      </c>
      <c r="W587">
        <v>4</v>
      </c>
      <c r="X587" t="s">
        <v>38</v>
      </c>
      <c r="Y587">
        <v>5</v>
      </c>
      <c r="Z587" t="s">
        <v>91</v>
      </c>
    </row>
    <row r="588" spans="1:26" x14ac:dyDescent="0.3">
      <c r="A588" t="s">
        <v>1109</v>
      </c>
      <c r="B588" s="2">
        <v>46092</v>
      </c>
      <c r="C588" t="s">
        <v>1110</v>
      </c>
      <c r="D588" t="s">
        <v>50</v>
      </c>
      <c r="E588" t="s">
        <v>43</v>
      </c>
      <c r="F588">
        <v>43</v>
      </c>
      <c r="G588" t="s">
        <v>99</v>
      </c>
      <c r="H588" t="s">
        <v>52</v>
      </c>
      <c r="I588" t="s">
        <v>99</v>
      </c>
      <c r="J588" t="s">
        <v>53</v>
      </c>
      <c r="K588">
        <v>1</v>
      </c>
      <c r="L588">
        <v>3325</v>
      </c>
      <c r="M588">
        <v>15</v>
      </c>
      <c r="N588">
        <v>498.75</v>
      </c>
      <c r="O588">
        <v>508.72</v>
      </c>
      <c r="P588">
        <v>182</v>
      </c>
      <c r="Q588">
        <v>3516.97</v>
      </c>
      <c r="R588" t="s">
        <v>33</v>
      </c>
      <c r="S588" t="s">
        <v>63</v>
      </c>
      <c r="T588" t="s">
        <v>103</v>
      </c>
      <c r="U588" t="s">
        <v>103</v>
      </c>
      <c r="V588" t="s">
        <v>57</v>
      </c>
      <c r="W588">
        <v>6</v>
      </c>
      <c r="X588" t="s">
        <v>47</v>
      </c>
      <c r="Y588">
        <v>5</v>
      </c>
      <c r="Z588" t="s">
        <v>47</v>
      </c>
    </row>
    <row r="589" spans="1:26" x14ac:dyDescent="0.3">
      <c r="A589" t="s">
        <v>1111</v>
      </c>
      <c r="B589" s="2">
        <v>45841</v>
      </c>
      <c r="C589" t="s">
        <v>629</v>
      </c>
      <c r="D589" t="s">
        <v>73</v>
      </c>
      <c r="E589" t="s">
        <v>43</v>
      </c>
      <c r="F589">
        <v>42</v>
      </c>
      <c r="G589" t="s">
        <v>44</v>
      </c>
      <c r="H589" t="s">
        <v>31</v>
      </c>
      <c r="I589" t="s">
        <v>44</v>
      </c>
      <c r="J589" t="s">
        <v>201</v>
      </c>
      <c r="K589">
        <v>1</v>
      </c>
      <c r="L589">
        <v>46035</v>
      </c>
      <c r="M589">
        <v>0</v>
      </c>
      <c r="N589">
        <v>0</v>
      </c>
      <c r="O589">
        <v>8286.2999999999993</v>
      </c>
      <c r="P589">
        <v>39</v>
      </c>
      <c r="Q589">
        <v>54360.3</v>
      </c>
      <c r="R589" t="s">
        <v>33</v>
      </c>
      <c r="S589" t="s">
        <v>63</v>
      </c>
      <c r="T589" t="s">
        <v>84</v>
      </c>
      <c r="U589" t="s">
        <v>85</v>
      </c>
      <c r="V589" t="s">
        <v>86</v>
      </c>
      <c r="W589">
        <v>2</v>
      </c>
      <c r="X589" t="s">
        <v>38</v>
      </c>
      <c r="Y589">
        <v>2</v>
      </c>
      <c r="Z589" t="s">
        <v>47</v>
      </c>
    </row>
    <row r="590" spans="1:26" x14ac:dyDescent="0.3">
      <c r="A590" t="s">
        <v>1112</v>
      </c>
      <c r="B590" s="2">
        <v>45905</v>
      </c>
      <c r="C590" t="s">
        <v>1113</v>
      </c>
      <c r="D590" t="s">
        <v>89</v>
      </c>
      <c r="E590" t="s">
        <v>43</v>
      </c>
      <c r="F590">
        <v>26</v>
      </c>
      <c r="G590" t="s">
        <v>44</v>
      </c>
      <c r="H590" t="s">
        <v>31</v>
      </c>
      <c r="I590" t="s">
        <v>44</v>
      </c>
      <c r="J590" t="s">
        <v>69</v>
      </c>
      <c r="K590">
        <v>4</v>
      </c>
      <c r="L590">
        <v>43793</v>
      </c>
      <c r="M590">
        <v>0</v>
      </c>
      <c r="N590">
        <v>0</v>
      </c>
      <c r="O590">
        <v>31530.959999999999</v>
      </c>
      <c r="P590">
        <v>187</v>
      </c>
      <c r="Q590">
        <v>206889.96</v>
      </c>
      <c r="R590" t="s">
        <v>33</v>
      </c>
      <c r="S590" t="s">
        <v>63</v>
      </c>
      <c r="T590" t="s">
        <v>103</v>
      </c>
      <c r="U590" t="s">
        <v>103</v>
      </c>
      <c r="V590" t="s">
        <v>57</v>
      </c>
      <c r="W590">
        <v>2</v>
      </c>
      <c r="X590" t="s">
        <v>38</v>
      </c>
      <c r="Y590">
        <v>5</v>
      </c>
      <c r="Z590" t="s">
        <v>47</v>
      </c>
    </row>
    <row r="591" spans="1:26" x14ac:dyDescent="0.3">
      <c r="A591" t="s">
        <v>1114</v>
      </c>
      <c r="B591" s="2">
        <v>45950</v>
      </c>
      <c r="C591" t="s">
        <v>312</v>
      </c>
      <c r="D591" t="s">
        <v>80</v>
      </c>
      <c r="E591" t="s">
        <v>43</v>
      </c>
      <c r="F591">
        <v>51</v>
      </c>
      <c r="G591" t="s">
        <v>51</v>
      </c>
      <c r="H591" t="s">
        <v>52</v>
      </c>
      <c r="I591" t="s">
        <v>51</v>
      </c>
      <c r="J591" t="s">
        <v>75</v>
      </c>
      <c r="K591">
        <v>1</v>
      </c>
      <c r="L591">
        <v>36558</v>
      </c>
      <c r="M591">
        <v>10</v>
      </c>
      <c r="N591">
        <v>3655.8</v>
      </c>
      <c r="O591">
        <v>5922.4</v>
      </c>
      <c r="P591">
        <v>204</v>
      </c>
      <c r="Q591">
        <v>39028.6</v>
      </c>
      <c r="R591" t="s">
        <v>33</v>
      </c>
      <c r="S591" t="s">
        <v>34</v>
      </c>
      <c r="T591" t="s">
        <v>103</v>
      </c>
      <c r="U591" t="s">
        <v>103</v>
      </c>
      <c r="V591" t="s">
        <v>57</v>
      </c>
      <c r="W591">
        <v>10</v>
      </c>
      <c r="X591" t="s">
        <v>47</v>
      </c>
      <c r="Y591">
        <v>2</v>
      </c>
      <c r="Z591" t="s">
        <v>39</v>
      </c>
    </row>
    <row r="592" spans="1:26" x14ac:dyDescent="0.3">
      <c r="A592" t="s">
        <v>1115</v>
      </c>
      <c r="B592" s="2">
        <v>46039</v>
      </c>
      <c r="C592" t="s">
        <v>355</v>
      </c>
      <c r="D592" t="s">
        <v>66</v>
      </c>
      <c r="E592" t="s">
        <v>29</v>
      </c>
      <c r="F592">
        <v>22</v>
      </c>
      <c r="G592" t="s">
        <v>74</v>
      </c>
      <c r="H592" t="s">
        <v>31</v>
      </c>
      <c r="I592" t="s">
        <v>74</v>
      </c>
      <c r="J592" t="s">
        <v>75</v>
      </c>
      <c r="K592">
        <v>1</v>
      </c>
      <c r="L592">
        <v>11976</v>
      </c>
      <c r="M592">
        <v>10</v>
      </c>
      <c r="N592">
        <v>1197.5999999999999</v>
      </c>
      <c r="O592">
        <v>1940.11</v>
      </c>
      <c r="P592">
        <v>188</v>
      </c>
      <c r="Q592">
        <v>12906.51</v>
      </c>
      <c r="R592" t="s">
        <v>83</v>
      </c>
      <c r="S592" t="s">
        <v>63</v>
      </c>
      <c r="T592" t="s">
        <v>46</v>
      </c>
      <c r="U592" t="s">
        <v>36</v>
      </c>
      <c r="V592" t="s">
        <v>37</v>
      </c>
      <c r="W592">
        <v>9</v>
      </c>
      <c r="X592" t="s">
        <v>47</v>
      </c>
      <c r="Y592">
        <v>3</v>
      </c>
      <c r="Z592" t="s">
        <v>91</v>
      </c>
    </row>
    <row r="593" spans="1:26" x14ac:dyDescent="0.3">
      <c r="A593" t="s">
        <v>1116</v>
      </c>
      <c r="B593" s="2">
        <v>45773</v>
      </c>
      <c r="C593" t="s">
        <v>1117</v>
      </c>
      <c r="D593" t="s">
        <v>61</v>
      </c>
      <c r="E593" t="s">
        <v>43</v>
      </c>
      <c r="F593">
        <v>33</v>
      </c>
      <c r="G593" t="s">
        <v>74</v>
      </c>
      <c r="H593" t="s">
        <v>31</v>
      </c>
      <c r="I593" t="s">
        <v>74</v>
      </c>
      <c r="J593" t="s">
        <v>69</v>
      </c>
      <c r="K593">
        <v>2</v>
      </c>
      <c r="L593">
        <v>30404</v>
      </c>
      <c r="M593">
        <v>15</v>
      </c>
      <c r="N593">
        <v>9121.2000000000007</v>
      </c>
      <c r="O593">
        <v>9303.6200000000008</v>
      </c>
      <c r="P593">
        <v>243</v>
      </c>
      <c r="Q593">
        <v>61233.42</v>
      </c>
      <c r="R593" t="s">
        <v>54</v>
      </c>
      <c r="S593" t="s">
        <v>63</v>
      </c>
      <c r="T593" t="s">
        <v>84</v>
      </c>
      <c r="U593" t="s">
        <v>85</v>
      </c>
      <c r="V593" t="s">
        <v>86</v>
      </c>
      <c r="W593">
        <v>6</v>
      </c>
      <c r="X593" t="s">
        <v>47</v>
      </c>
      <c r="Y593">
        <v>2</v>
      </c>
      <c r="Z593" t="s">
        <v>47</v>
      </c>
    </row>
    <row r="594" spans="1:26" x14ac:dyDescent="0.3">
      <c r="A594" t="s">
        <v>1118</v>
      </c>
      <c r="B594" s="2">
        <v>46007</v>
      </c>
      <c r="C594" t="s">
        <v>1065</v>
      </c>
      <c r="D594" t="s">
        <v>111</v>
      </c>
      <c r="E594" t="s">
        <v>43</v>
      </c>
      <c r="F594">
        <v>35</v>
      </c>
      <c r="G594" t="s">
        <v>134</v>
      </c>
      <c r="H594" t="s">
        <v>31</v>
      </c>
      <c r="I594" t="s">
        <v>134</v>
      </c>
      <c r="J594" t="s">
        <v>62</v>
      </c>
      <c r="K594">
        <v>5</v>
      </c>
      <c r="L594">
        <v>19190</v>
      </c>
      <c r="M594">
        <v>15</v>
      </c>
      <c r="N594">
        <v>14392.5</v>
      </c>
      <c r="O594">
        <v>14680.35</v>
      </c>
      <c r="P594">
        <v>285</v>
      </c>
      <c r="Q594">
        <v>96522.85</v>
      </c>
      <c r="R594" t="s">
        <v>54</v>
      </c>
      <c r="S594" t="s">
        <v>63</v>
      </c>
      <c r="T594" t="s">
        <v>84</v>
      </c>
      <c r="U594" t="s">
        <v>85</v>
      </c>
      <c r="V594" t="s">
        <v>86</v>
      </c>
      <c r="W594">
        <v>2</v>
      </c>
      <c r="X594" t="s">
        <v>47</v>
      </c>
      <c r="Y594">
        <v>2</v>
      </c>
      <c r="Z594" t="s">
        <v>58</v>
      </c>
    </row>
    <row r="595" spans="1:26" x14ac:dyDescent="0.3">
      <c r="A595" t="s">
        <v>1119</v>
      </c>
      <c r="B595" s="2">
        <v>45909</v>
      </c>
      <c r="C595" t="s">
        <v>822</v>
      </c>
      <c r="D595" t="s">
        <v>73</v>
      </c>
      <c r="E595" t="s">
        <v>43</v>
      </c>
      <c r="F595">
        <v>44</v>
      </c>
      <c r="G595" t="s">
        <v>90</v>
      </c>
      <c r="H595" t="s">
        <v>31</v>
      </c>
      <c r="I595" t="s">
        <v>90</v>
      </c>
      <c r="J595" t="s">
        <v>150</v>
      </c>
      <c r="K595">
        <v>2</v>
      </c>
      <c r="L595">
        <v>13865</v>
      </c>
      <c r="M595">
        <v>15</v>
      </c>
      <c r="N595">
        <v>4159.5</v>
      </c>
      <c r="O595">
        <v>4242.6899999999996</v>
      </c>
      <c r="P595">
        <v>362</v>
      </c>
      <c r="Q595">
        <v>28175.19</v>
      </c>
      <c r="R595" t="s">
        <v>33</v>
      </c>
      <c r="S595" t="s">
        <v>63</v>
      </c>
      <c r="T595" t="s">
        <v>95</v>
      </c>
      <c r="U595" t="s">
        <v>96</v>
      </c>
      <c r="V595" t="s">
        <v>57</v>
      </c>
      <c r="W595">
        <v>4</v>
      </c>
      <c r="X595" t="s">
        <v>38</v>
      </c>
      <c r="Y595">
        <v>1</v>
      </c>
      <c r="Z595" t="s">
        <v>58</v>
      </c>
    </row>
    <row r="596" spans="1:26" x14ac:dyDescent="0.3">
      <c r="A596" t="s">
        <v>1120</v>
      </c>
      <c r="B596" s="2">
        <v>46058</v>
      </c>
      <c r="C596" t="s">
        <v>392</v>
      </c>
      <c r="D596" t="s">
        <v>80</v>
      </c>
      <c r="E596" t="s">
        <v>43</v>
      </c>
      <c r="F596">
        <v>20</v>
      </c>
      <c r="G596" t="s">
        <v>94</v>
      </c>
      <c r="H596" t="s">
        <v>31</v>
      </c>
      <c r="I596" t="s">
        <v>94</v>
      </c>
      <c r="J596" t="s">
        <v>75</v>
      </c>
      <c r="K596">
        <v>5</v>
      </c>
      <c r="L596">
        <v>45732</v>
      </c>
      <c r="M596">
        <v>20</v>
      </c>
      <c r="N596">
        <v>45732</v>
      </c>
      <c r="O596">
        <v>32927.040000000001</v>
      </c>
      <c r="P596">
        <v>346</v>
      </c>
      <c r="Q596">
        <v>216201.04</v>
      </c>
      <c r="R596" t="s">
        <v>54</v>
      </c>
      <c r="S596" t="s">
        <v>34</v>
      </c>
      <c r="T596" t="s">
        <v>76</v>
      </c>
      <c r="U596" t="s">
        <v>77</v>
      </c>
      <c r="V596" t="s">
        <v>57</v>
      </c>
      <c r="W596">
        <v>6</v>
      </c>
      <c r="X596" t="s">
        <v>38</v>
      </c>
      <c r="Y596">
        <v>5</v>
      </c>
      <c r="Z596" t="s">
        <v>58</v>
      </c>
    </row>
    <row r="597" spans="1:26" x14ac:dyDescent="0.3">
      <c r="A597" t="s">
        <v>1121</v>
      </c>
      <c r="B597" s="2">
        <v>45827</v>
      </c>
      <c r="C597" t="s">
        <v>1122</v>
      </c>
      <c r="D597" t="s">
        <v>80</v>
      </c>
      <c r="E597" t="s">
        <v>29</v>
      </c>
      <c r="F597">
        <v>37</v>
      </c>
      <c r="G597" t="s">
        <v>134</v>
      </c>
      <c r="H597" t="s">
        <v>31</v>
      </c>
      <c r="I597" t="s">
        <v>134</v>
      </c>
      <c r="J597" t="s">
        <v>53</v>
      </c>
      <c r="K597">
        <v>3</v>
      </c>
      <c r="L597">
        <v>13690</v>
      </c>
      <c r="M597">
        <v>0</v>
      </c>
      <c r="N597">
        <v>0</v>
      </c>
      <c r="O597">
        <v>7392.6</v>
      </c>
      <c r="P597">
        <v>496</v>
      </c>
      <c r="Q597">
        <v>48958.6</v>
      </c>
      <c r="R597" t="s">
        <v>33</v>
      </c>
      <c r="S597" t="s">
        <v>34</v>
      </c>
      <c r="T597" t="s">
        <v>55</v>
      </c>
      <c r="U597" t="s">
        <v>56</v>
      </c>
      <c r="V597" t="s">
        <v>57</v>
      </c>
      <c r="W597">
        <v>8</v>
      </c>
      <c r="X597" t="s">
        <v>38</v>
      </c>
      <c r="Y597">
        <v>4</v>
      </c>
      <c r="Z597" t="s">
        <v>91</v>
      </c>
    </row>
    <row r="598" spans="1:26" x14ac:dyDescent="0.3">
      <c r="A598" t="s">
        <v>1123</v>
      </c>
      <c r="B598" s="2">
        <v>46063</v>
      </c>
      <c r="C598" t="s">
        <v>1124</v>
      </c>
      <c r="D598" t="s">
        <v>108</v>
      </c>
      <c r="E598" t="s">
        <v>29</v>
      </c>
      <c r="F598">
        <v>47</v>
      </c>
      <c r="G598" t="s">
        <v>94</v>
      </c>
      <c r="H598" t="s">
        <v>31</v>
      </c>
      <c r="I598" t="s">
        <v>94</v>
      </c>
      <c r="J598" t="s">
        <v>150</v>
      </c>
      <c r="K598">
        <v>5</v>
      </c>
      <c r="L598">
        <v>35073</v>
      </c>
      <c r="M598">
        <v>5</v>
      </c>
      <c r="N598">
        <v>8768.25</v>
      </c>
      <c r="O598">
        <v>29987.41</v>
      </c>
      <c r="P598">
        <v>32</v>
      </c>
      <c r="Q598">
        <v>196616.17</v>
      </c>
      <c r="R598" t="s">
        <v>83</v>
      </c>
      <c r="S598" t="s">
        <v>34</v>
      </c>
      <c r="T598" t="s">
        <v>46</v>
      </c>
      <c r="U598" t="s">
        <v>36</v>
      </c>
      <c r="V598" t="s">
        <v>37</v>
      </c>
      <c r="W598">
        <v>1</v>
      </c>
      <c r="X598" t="s">
        <v>47</v>
      </c>
      <c r="Y598">
        <v>5</v>
      </c>
      <c r="Z598" t="s">
        <v>39</v>
      </c>
    </row>
    <row r="599" spans="1:26" x14ac:dyDescent="0.3">
      <c r="A599" t="s">
        <v>1125</v>
      </c>
      <c r="B599" s="2">
        <v>45910</v>
      </c>
      <c r="C599" t="s">
        <v>980</v>
      </c>
      <c r="D599" t="s">
        <v>50</v>
      </c>
      <c r="E599" t="s">
        <v>29</v>
      </c>
      <c r="F599">
        <v>56</v>
      </c>
      <c r="G599" t="s">
        <v>94</v>
      </c>
      <c r="H599" t="s">
        <v>31</v>
      </c>
      <c r="I599" t="s">
        <v>94</v>
      </c>
      <c r="J599" t="s">
        <v>102</v>
      </c>
      <c r="K599">
        <v>2</v>
      </c>
      <c r="L599">
        <v>24176</v>
      </c>
      <c r="M599">
        <v>20</v>
      </c>
      <c r="N599">
        <v>9670.4</v>
      </c>
      <c r="O599">
        <v>6962.69</v>
      </c>
      <c r="P599">
        <v>241</v>
      </c>
      <c r="Q599">
        <v>45885.29</v>
      </c>
      <c r="R599" t="s">
        <v>33</v>
      </c>
      <c r="S599" t="s">
        <v>34</v>
      </c>
      <c r="T599" t="s">
        <v>84</v>
      </c>
      <c r="U599" t="s">
        <v>85</v>
      </c>
      <c r="V599" t="s">
        <v>86</v>
      </c>
      <c r="W599">
        <v>10</v>
      </c>
      <c r="X599" t="s">
        <v>47</v>
      </c>
      <c r="Y599">
        <v>3</v>
      </c>
      <c r="Z599" t="s">
        <v>91</v>
      </c>
    </row>
    <row r="600" spans="1:26" x14ac:dyDescent="0.3">
      <c r="A600" t="s">
        <v>1126</v>
      </c>
      <c r="B600" s="2">
        <v>45766</v>
      </c>
      <c r="C600" t="s">
        <v>1127</v>
      </c>
      <c r="D600" t="s">
        <v>108</v>
      </c>
      <c r="E600" t="s">
        <v>29</v>
      </c>
      <c r="F600">
        <v>28</v>
      </c>
      <c r="G600" t="s">
        <v>134</v>
      </c>
      <c r="H600" t="s">
        <v>31</v>
      </c>
      <c r="I600" t="s">
        <v>134</v>
      </c>
      <c r="J600" t="s">
        <v>201</v>
      </c>
      <c r="K600">
        <v>4</v>
      </c>
      <c r="L600">
        <v>3776</v>
      </c>
      <c r="M600">
        <v>5</v>
      </c>
      <c r="N600">
        <v>755.2</v>
      </c>
      <c r="O600">
        <v>2582.7800000000002</v>
      </c>
      <c r="P600">
        <v>358</v>
      </c>
      <c r="Q600">
        <v>17289.580000000002</v>
      </c>
      <c r="R600" t="s">
        <v>54</v>
      </c>
      <c r="S600" t="s">
        <v>34</v>
      </c>
      <c r="T600" t="s">
        <v>84</v>
      </c>
      <c r="U600" t="s">
        <v>85</v>
      </c>
      <c r="V600" t="s">
        <v>86</v>
      </c>
      <c r="W600">
        <v>1</v>
      </c>
      <c r="X600" t="s">
        <v>47</v>
      </c>
      <c r="Y600">
        <v>5</v>
      </c>
      <c r="Z600" t="s">
        <v>91</v>
      </c>
    </row>
    <row r="601" spans="1:26" x14ac:dyDescent="0.3">
      <c r="A601" t="s">
        <v>1128</v>
      </c>
      <c r="B601" s="2">
        <v>45892</v>
      </c>
      <c r="C601" t="s">
        <v>1129</v>
      </c>
      <c r="D601" t="s">
        <v>73</v>
      </c>
      <c r="E601" t="s">
        <v>43</v>
      </c>
      <c r="F601">
        <v>48</v>
      </c>
      <c r="G601" t="s">
        <v>90</v>
      </c>
      <c r="H601" t="s">
        <v>31</v>
      </c>
      <c r="I601" t="s">
        <v>90</v>
      </c>
      <c r="J601" t="s">
        <v>69</v>
      </c>
      <c r="K601">
        <v>2</v>
      </c>
      <c r="L601">
        <v>31074</v>
      </c>
      <c r="M601">
        <v>20</v>
      </c>
      <c r="N601">
        <v>12429.6</v>
      </c>
      <c r="O601">
        <v>8949.31</v>
      </c>
      <c r="P601">
        <v>343</v>
      </c>
      <c r="Q601">
        <v>59010.71</v>
      </c>
      <c r="R601" t="s">
        <v>54</v>
      </c>
      <c r="S601" t="s">
        <v>63</v>
      </c>
      <c r="T601" t="s">
        <v>35</v>
      </c>
      <c r="U601" t="s">
        <v>36</v>
      </c>
      <c r="V601" t="s">
        <v>37</v>
      </c>
      <c r="W601">
        <v>7</v>
      </c>
      <c r="X601" t="s">
        <v>47</v>
      </c>
      <c r="Y601">
        <v>4</v>
      </c>
      <c r="Z601" t="s">
        <v>39</v>
      </c>
    </row>
    <row r="602" spans="1:26" x14ac:dyDescent="0.3">
      <c r="A602" t="s">
        <v>1130</v>
      </c>
      <c r="B602" s="2">
        <v>45790</v>
      </c>
      <c r="C602" t="s">
        <v>1131</v>
      </c>
      <c r="D602" t="s">
        <v>108</v>
      </c>
      <c r="E602" t="s">
        <v>43</v>
      </c>
      <c r="F602">
        <v>55</v>
      </c>
      <c r="G602" t="s">
        <v>44</v>
      </c>
      <c r="H602" t="s">
        <v>31</v>
      </c>
      <c r="I602" t="s">
        <v>44</v>
      </c>
      <c r="J602" t="s">
        <v>201</v>
      </c>
      <c r="K602">
        <v>4</v>
      </c>
      <c r="L602">
        <v>34430</v>
      </c>
      <c r="M602">
        <v>20</v>
      </c>
      <c r="N602">
        <v>27544</v>
      </c>
      <c r="O602">
        <v>19831.68</v>
      </c>
      <c r="P602">
        <v>63</v>
      </c>
      <c r="Q602">
        <v>130070.68</v>
      </c>
      <c r="R602" t="s">
        <v>54</v>
      </c>
      <c r="S602" t="s">
        <v>63</v>
      </c>
      <c r="T602" t="s">
        <v>76</v>
      </c>
      <c r="U602" t="s">
        <v>77</v>
      </c>
      <c r="V602" t="s">
        <v>57</v>
      </c>
      <c r="W602">
        <v>1</v>
      </c>
      <c r="X602" t="s">
        <v>47</v>
      </c>
      <c r="Y602">
        <v>2</v>
      </c>
      <c r="Z602" t="s">
        <v>58</v>
      </c>
    </row>
    <row r="603" spans="1:26" x14ac:dyDescent="0.3">
      <c r="A603" t="s">
        <v>1132</v>
      </c>
      <c r="B603" s="2">
        <v>45810</v>
      </c>
      <c r="C603" t="s">
        <v>346</v>
      </c>
      <c r="D603" t="s">
        <v>50</v>
      </c>
      <c r="E603" t="s">
        <v>29</v>
      </c>
      <c r="F603">
        <v>56</v>
      </c>
      <c r="G603" t="s">
        <v>139</v>
      </c>
      <c r="H603" t="s">
        <v>31</v>
      </c>
      <c r="I603" t="s">
        <v>139</v>
      </c>
      <c r="J603" t="s">
        <v>75</v>
      </c>
      <c r="K603">
        <v>2</v>
      </c>
      <c r="L603">
        <v>39830</v>
      </c>
      <c r="M603">
        <v>10</v>
      </c>
      <c r="N603">
        <v>7966</v>
      </c>
      <c r="O603">
        <v>12904.92</v>
      </c>
      <c r="P603">
        <v>432</v>
      </c>
      <c r="Q603">
        <v>85030.92</v>
      </c>
      <c r="R603" t="s">
        <v>45</v>
      </c>
      <c r="S603" t="s">
        <v>63</v>
      </c>
      <c r="T603" t="s">
        <v>55</v>
      </c>
      <c r="U603" t="s">
        <v>56</v>
      </c>
      <c r="V603" t="s">
        <v>57</v>
      </c>
      <c r="W603">
        <v>8</v>
      </c>
      <c r="X603" t="s">
        <v>47</v>
      </c>
      <c r="Y603">
        <v>2</v>
      </c>
      <c r="Z603" t="s">
        <v>47</v>
      </c>
    </row>
    <row r="604" spans="1:26" x14ac:dyDescent="0.3">
      <c r="A604" t="s">
        <v>1133</v>
      </c>
      <c r="B604" s="2">
        <v>45887</v>
      </c>
      <c r="C604" t="s">
        <v>1134</v>
      </c>
      <c r="D604" t="s">
        <v>61</v>
      </c>
      <c r="E604" t="s">
        <v>29</v>
      </c>
      <c r="F604">
        <v>21</v>
      </c>
      <c r="G604" t="s">
        <v>139</v>
      </c>
      <c r="H604" t="s">
        <v>31</v>
      </c>
      <c r="I604" t="s">
        <v>139</v>
      </c>
      <c r="J604" t="s">
        <v>62</v>
      </c>
      <c r="K604">
        <v>2</v>
      </c>
      <c r="L604">
        <v>41119</v>
      </c>
      <c r="M604">
        <v>5</v>
      </c>
      <c r="N604">
        <v>4111.8999999999996</v>
      </c>
      <c r="O604">
        <v>14062.7</v>
      </c>
      <c r="P604">
        <v>355</v>
      </c>
      <c r="Q604">
        <v>92543.8</v>
      </c>
      <c r="R604" t="s">
        <v>33</v>
      </c>
      <c r="S604" t="s">
        <v>34</v>
      </c>
      <c r="T604" t="s">
        <v>103</v>
      </c>
      <c r="U604" t="s">
        <v>103</v>
      </c>
      <c r="V604" t="s">
        <v>57</v>
      </c>
      <c r="W604">
        <v>7</v>
      </c>
      <c r="X604" t="s">
        <v>47</v>
      </c>
      <c r="Y604">
        <v>3</v>
      </c>
      <c r="Z604" t="s">
        <v>39</v>
      </c>
    </row>
    <row r="605" spans="1:26" x14ac:dyDescent="0.3">
      <c r="A605" t="s">
        <v>1135</v>
      </c>
      <c r="B605" s="2">
        <v>46057</v>
      </c>
      <c r="C605" t="s">
        <v>742</v>
      </c>
      <c r="D605" t="s">
        <v>80</v>
      </c>
      <c r="E605" t="s">
        <v>43</v>
      </c>
      <c r="F605">
        <v>27</v>
      </c>
      <c r="G605" t="s">
        <v>90</v>
      </c>
      <c r="H605" t="s">
        <v>31</v>
      </c>
      <c r="I605" t="s">
        <v>90</v>
      </c>
      <c r="J605" t="s">
        <v>112</v>
      </c>
      <c r="K605">
        <v>2</v>
      </c>
      <c r="L605">
        <v>35061</v>
      </c>
      <c r="M605">
        <v>5</v>
      </c>
      <c r="N605">
        <v>3506.1</v>
      </c>
      <c r="O605">
        <v>11990.86</v>
      </c>
      <c r="P605">
        <v>303</v>
      </c>
      <c r="Q605">
        <v>78909.759999999995</v>
      </c>
      <c r="R605" t="s">
        <v>54</v>
      </c>
      <c r="S605" t="s">
        <v>34</v>
      </c>
      <c r="T605" t="s">
        <v>55</v>
      </c>
      <c r="U605" t="s">
        <v>56</v>
      </c>
      <c r="V605" t="s">
        <v>57</v>
      </c>
      <c r="W605">
        <v>6</v>
      </c>
      <c r="X605" t="s">
        <v>38</v>
      </c>
      <c r="Y605">
        <v>1</v>
      </c>
      <c r="Z605" t="s">
        <v>91</v>
      </c>
    </row>
    <row r="606" spans="1:26" x14ac:dyDescent="0.3">
      <c r="A606" t="s">
        <v>1136</v>
      </c>
      <c r="B606" s="2">
        <v>45967</v>
      </c>
      <c r="C606" t="s">
        <v>1137</v>
      </c>
      <c r="D606" t="s">
        <v>89</v>
      </c>
      <c r="E606" t="s">
        <v>43</v>
      </c>
      <c r="F606">
        <v>25</v>
      </c>
      <c r="G606" t="s">
        <v>30</v>
      </c>
      <c r="H606" t="s">
        <v>31</v>
      </c>
      <c r="I606" t="s">
        <v>30</v>
      </c>
      <c r="J606" t="s">
        <v>62</v>
      </c>
      <c r="K606">
        <v>5</v>
      </c>
      <c r="L606">
        <v>13176</v>
      </c>
      <c r="M606">
        <v>20</v>
      </c>
      <c r="N606">
        <v>13176</v>
      </c>
      <c r="O606">
        <v>9486.7199999999993</v>
      </c>
      <c r="P606">
        <v>109</v>
      </c>
      <c r="Q606">
        <v>62299.72</v>
      </c>
      <c r="R606" t="s">
        <v>45</v>
      </c>
      <c r="S606" t="s">
        <v>63</v>
      </c>
      <c r="T606" t="s">
        <v>46</v>
      </c>
      <c r="U606" t="s">
        <v>36</v>
      </c>
      <c r="V606" t="s">
        <v>37</v>
      </c>
      <c r="W606">
        <v>1</v>
      </c>
      <c r="X606" t="s">
        <v>47</v>
      </c>
      <c r="Y606">
        <v>4</v>
      </c>
      <c r="Z606" t="s">
        <v>58</v>
      </c>
    </row>
    <row r="607" spans="1:26" x14ac:dyDescent="0.3">
      <c r="A607" t="s">
        <v>1138</v>
      </c>
      <c r="B607" s="2">
        <v>45865</v>
      </c>
      <c r="C607" t="s">
        <v>1139</v>
      </c>
      <c r="D607" t="s">
        <v>89</v>
      </c>
      <c r="E607" t="s">
        <v>43</v>
      </c>
      <c r="F607">
        <v>42</v>
      </c>
      <c r="G607" t="s">
        <v>99</v>
      </c>
      <c r="H607" t="s">
        <v>52</v>
      </c>
      <c r="I607" t="s">
        <v>99</v>
      </c>
      <c r="J607" t="s">
        <v>62</v>
      </c>
      <c r="K607">
        <v>5</v>
      </c>
      <c r="L607">
        <v>38288</v>
      </c>
      <c r="M607">
        <v>10</v>
      </c>
      <c r="N607">
        <v>19144</v>
      </c>
      <c r="O607">
        <v>31013.279999999999</v>
      </c>
      <c r="P607">
        <v>33</v>
      </c>
      <c r="Q607">
        <v>203342.28</v>
      </c>
      <c r="R607" t="s">
        <v>33</v>
      </c>
      <c r="S607" t="s">
        <v>63</v>
      </c>
      <c r="T607" t="s">
        <v>55</v>
      </c>
      <c r="U607" t="s">
        <v>56</v>
      </c>
      <c r="V607" t="s">
        <v>57</v>
      </c>
      <c r="W607">
        <v>2</v>
      </c>
      <c r="X607" t="s">
        <v>47</v>
      </c>
      <c r="Y607">
        <v>2</v>
      </c>
      <c r="Z607" t="s">
        <v>91</v>
      </c>
    </row>
    <row r="608" spans="1:26" x14ac:dyDescent="0.3">
      <c r="A608" t="s">
        <v>1140</v>
      </c>
      <c r="B608" s="2">
        <v>45829</v>
      </c>
      <c r="C608" t="s">
        <v>695</v>
      </c>
      <c r="D608" t="s">
        <v>80</v>
      </c>
      <c r="E608" t="s">
        <v>29</v>
      </c>
      <c r="F608">
        <v>23</v>
      </c>
      <c r="G608" t="s">
        <v>51</v>
      </c>
      <c r="H608" t="s">
        <v>52</v>
      </c>
      <c r="I608" t="s">
        <v>51</v>
      </c>
      <c r="J608" t="s">
        <v>32</v>
      </c>
      <c r="K608">
        <v>5</v>
      </c>
      <c r="L608">
        <v>34595</v>
      </c>
      <c r="M608">
        <v>0</v>
      </c>
      <c r="N608">
        <v>0</v>
      </c>
      <c r="O608">
        <v>31135.5</v>
      </c>
      <c r="P608">
        <v>278</v>
      </c>
      <c r="Q608">
        <v>204388.5</v>
      </c>
      <c r="R608" t="s">
        <v>45</v>
      </c>
      <c r="S608" t="s">
        <v>34</v>
      </c>
      <c r="T608" t="s">
        <v>55</v>
      </c>
      <c r="U608" t="s">
        <v>56</v>
      </c>
      <c r="V608" t="s">
        <v>57</v>
      </c>
      <c r="W608">
        <v>7</v>
      </c>
      <c r="X608" t="s">
        <v>47</v>
      </c>
      <c r="Y608">
        <v>4</v>
      </c>
      <c r="Z608" t="s">
        <v>58</v>
      </c>
    </row>
    <row r="609" spans="1:26" x14ac:dyDescent="0.3">
      <c r="A609" t="s">
        <v>1141</v>
      </c>
      <c r="B609" s="2">
        <v>45972</v>
      </c>
      <c r="C609" t="s">
        <v>493</v>
      </c>
      <c r="D609" t="s">
        <v>66</v>
      </c>
      <c r="E609" t="s">
        <v>43</v>
      </c>
      <c r="F609">
        <v>45</v>
      </c>
      <c r="G609" t="s">
        <v>94</v>
      </c>
      <c r="H609" t="s">
        <v>31</v>
      </c>
      <c r="I609" t="s">
        <v>94</v>
      </c>
      <c r="J609" t="s">
        <v>201</v>
      </c>
      <c r="K609">
        <v>4</v>
      </c>
      <c r="L609">
        <v>14803</v>
      </c>
      <c r="M609">
        <v>5</v>
      </c>
      <c r="N609">
        <v>2960.6</v>
      </c>
      <c r="O609">
        <v>10125.25</v>
      </c>
      <c r="P609">
        <v>444</v>
      </c>
      <c r="Q609">
        <v>66820.649999999994</v>
      </c>
      <c r="R609" t="s">
        <v>83</v>
      </c>
      <c r="S609" t="s">
        <v>34</v>
      </c>
      <c r="T609" t="s">
        <v>95</v>
      </c>
      <c r="U609" t="s">
        <v>96</v>
      </c>
      <c r="V609" t="s">
        <v>57</v>
      </c>
      <c r="W609">
        <v>1</v>
      </c>
      <c r="X609" t="s">
        <v>38</v>
      </c>
      <c r="Y609">
        <v>4</v>
      </c>
      <c r="Z609" t="s">
        <v>39</v>
      </c>
    </row>
    <row r="610" spans="1:26" x14ac:dyDescent="0.3">
      <c r="A610" t="s">
        <v>1142</v>
      </c>
      <c r="B610" s="2">
        <v>46095</v>
      </c>
      <c r="C610" t="s">
        <v>1017</v>
      </c>
      <c r="D610" t="s">
        <v>89</v>
      </c>
      <c r="E610" t="s">
        <v>43</v>
      </c>
      <c r="F610">
        <v>23</v>
      </c>
      <c r="G610" t="s">
        <v>99</v>
      </c>
      <c r="H610" t="s">
        <v>52</v>
      </c>
      <c r="I610" t="s">
        <v>99</v>
      </c>
      <c r="J610" t="s">
        <v>201</v>
      </c>
      <c r="K610">
        <v>4</v>
      </c>
      <c r="L610">
        <v>46728</v>
      </c>
      <c r="M610">
        <v>20</v>
      </c>
      <c r="N610">
        <v>37382.400000000001</v>
      </c>
      <c r="O610">
        <v>26915.33</v>
      </c>
      <c r="P610">
        <v>488</v>
      </c>
      <c r="Q610">
        <v>176932.93</v>
      </c>
      <c r="R610" t="s">
        <v>33</v>
      </c>
      <c r="S610" t="s">
        <v>63</v>
      </c>
      <c r="T610" t="s">
        <v>46</v>
      </c>
      <c r="U610" t="s">
        <v>36</v>
      </c>
      <c r="V610" t="s">
        <v>37</v>
      </c>
      <c r="W610">
        <v>6</v>
      </c>
      <c r="X610" t="s">
        <v>38</v>
      </c>
      <c r="Y610">
        <v>3</v>
      </c>
      <c r="Z610" t="s">
        <v>91</v>
      </c>
    </row>
    <row r="611" spans="1:26" x14ac:dyDescent="0.3">
      <c r="A611" t="s">
        <v>1143</v>
      </c>
      <c r="B611" s="2">
        <v>46063</v>
      </c>
      <c r="C611" t="s">
        <v>1087</v>
      </c>
      <c r="D611" t="s">
        <v>80</v>
      </c>
      <c r="E611" t="s">
        <v>43</v>
      </c>
      <c r="F611">
        <v>56</v>
      </c>
      <c r="G611" t="s">
        <v>51</v>
      </c>
      <c r="H611" t="s">
        <v>52</v>
      </c>
      <c r="I611" t="s">
        <v>51</v>
      </c>
      <c r="J611" t="s">
        <v>75</v>
      </c>
      <c r="K611">
        <v>1</v>
      </c>
      <c r="L611">
        <v>27870</v>
      </c>
      <c r="M611">
        <v>10</v>
      </c>
      <c r="N611">
        <v>2787</v>
      </c>
      <c r="O611">
        <v>4514.9399999999996</v>
      </c>
      <c r="P611">
        <v>498</v>
      </c>
      <c r="Q611">
        <v>30095.94</v>
      </c>
      <c r="R611" t="s">
        <v>33</v>
      </c>
      <c r="S611" t="s">
        <v>63</v>
      </c>
      <c r="T611" t="s">
        <v>103</v>
      </c>
      <c r="U611" t="s">
        <v>103</v>
      </c>
      <c r="V611" t="s">
        <v>57</v>
      </c>
      <c r="W611">
        <v>8</v>
      </c>
      <c r="X611" t="s">
        <v>47</v>
      </c>
      <c r="Y611">
        <v>5</v>
      </c>
      <c r="Z611" t="s">
        <v>47</v>
      </c>
    </row>
    <row r="612" spans="1:26" x14ac:dyDescent="0.3">
      <c r="A612" t="s">
        <v>1144</v>
      </c>
      <c r="B612" s="2">
        <v>45954</v>
      </c>
      <c r="C612" t="s">
        <v>1003</v>
      </c>
      <c r="D612" t="s">
        <v>111</v>
      </c>
      <c r="E612" t="s">
        <v>43</v>
      </c>
      <c r="F612">
        <v>45</v>
      </c>
      <c r="G612" t="s">
        <v>51</v>
      </c>
      <c r="H612" t="s">
        <v>52</v>
      </c>
      <c r="I612" t="s">
        <v>51</v>
      </c>
      <c r="J612" t="s">
        <v>150</v>
      </c>
      <c r="K612">
        <v>2</v>
      </c>
      <c r="L612">
        <v>19119</v>
      </c>
      <c r="M612">
        <v>20</v>
      </c>
      <c r="N612">
        <v>7647.6</v>
      </c>
      <c r="O612">
        <v>5506.27</v>
      </c>
      <c r="P612">
        <v>309</v>
      </c>
      <c r="Q612">
        <v>36405.67</v>
      </c>
      <c r="R612" t="s">
        <v>33</v>
      </c>
      <c r="S612" t="s">
        <v>63</v>
      </c>
      <c r="T612" t="s">
        <v>76</v>
      </c>
      <c r="U612" t="s">
        <v>77</v>
      </c>
      <c r="V612" t="s">
        <v>57</v>
      </c>
      <c r="W612">
        <v>5</v>
      </c>
      <c r="X612" t="s">
        <v>38</v>
      </c>
      <c r="Y612">
        <v>3</v>
      </c>
      <c r="Z612" t="s">
        <v>91</v>
      </c>
    </row>
    <row r="613" spans="1:26" x14ac:dyDescent="0.3">
      <c r="A613" t="s">
        <v>1145</v>
      </c>
      <c r="B613" s="2">
        <v>45931</v>
      </c>
      <c r="C613" t="s">
        <v>1146</v>
      </c>
      <c r="D613" t="s">
        <v>28</v>
      </c>
      <c r="E613" t="s">
        <v>29</v>
      </c>
      <c r="F613">
        <v>30</v>
      </c>
      <c r="G613" t="s">
        <v>99</v>
      </c>
      <c r="H613" t="s">
        <v>52</v>
      </c>
      <c r="I613" t="s">
        <v>99</v>
      </c>
      <c r="J613" t="s">
        <v>112</v>
      </c>
      <c r="K613">
        <v>5</v>
      </c>
      <c r="L613">
        <v>17738</v>
      </c>
      <c r="M613">
        <v>20</v>
      </c>
      <c r="N613">
        <v>17738</v>
      </c>
      <c r="O613">
        <v>12771.36</v>
      </c>
      <c r="P613">
        <v>196</v>
      </c>
      <c r="Q613">
        <v>83919.360000000001</v>
      </c>
      <c r="R613" t="s">
        <v>83</v>
      </c>
      <c r="S613" t="s">
        <v>34</v>
      </c>
      <c r="T613" t="s">
        <v>46</v>
      </c>
      <c r="U613" t="s">
        <v>36</v>
      </c>
      <c r="V613" t="s">
        <v>37</v>
      </c>
      <c r="W613">
        <v>10</v>
      </c>
      <c r="X613" t="s">
        <v>38</v>
      </c>
      <c r="Y613">
        <v>2</v>
      </c>
      <c r="Z613" t="s">
        <v>58</v>
      </c>
    </row>
    <row r="614" spans="1:26" x14ac:dyDescent="0.3">
      <c r="A614" t="s">
        <v>1147</v>
      </c>
      <c r="B614" s="2">
        <v>45884</v>
      </c>
      <c r="C614" t="s">
        <v>1148</v>
      </c>
      <c r="D614" t="s">
        <v>108</v>
      </c>
      <c r="E614" t="s">
        <v>29</v>
      </c>
      <c r="F614">
        <v>60</v>
      </c>
      <c r="G614" t="s">
        <v>51</v>
      </c>
      <c r="H614" t="s">
        <v>52</v>
      </c>
      <c r="I614" t="s">
        <v>51</v>
      </c>
      <c r="J614" t="s">
        <v>150</v>
      </c>
      <c r="K614">
        <v>5</v>
      </c>
      <c r="L614">
        <v>43569</v>
      </c>
      <c r="M614">
        <v>20</v>
      </c>
      <c r="N614">
        <v>43569</v>
      </c>
      <c r="O614">
        <v>31369.68</v>
      </c>
      <c r="P614">
        <v>221</v>
      </c>
      <c r="Q614">
        <v>205866.68</v>
      </c>
      <c r="R614" t="s">
        <v>54</v>
      </c>
      <c r="S614" t="s">
        <v>63</v>
      </c>
      <c r="T614" t="s">
        <v>76</v>
      </c>
      <c r="U614" t="s">
        <v>77</v>
      </c>
      <c r="V614" t="s">
        <v>57</v>
      </c>
      <c r="W614">
        <v>10</v>
      </c>
      <c r="X614" t="s">
        <v>47</v>
      </c>
      <c r="Y614">
        <v>2</v>
      </c>
      <c r="Z614" t="s">
        <v>47</v>
      </c>
    </row>
    <row r="615" spans="1:26" x14ac:dyDescent="0.3">
      <c r="A615" t="s">
        <v>1149</v>
      </c>
      <c r="B615" s="2">
        <v>45906</v>
      </c>
      <c r="C615" t="s">
        <v>481</v>
      </c>
      <c r="D615" t="s">
        <v>108</v>
      </c>
      <c r="E615" t="s">
        <v>43</v>
      </c>
      <c r="F615">
        <v>35</v>
      </c>
      <c r="G615" t="s">
        <v>51</v>
      </c>
      <c r="H615" t="s">
        <v>52</v>
      </c>
      <c r="I615" t="s">
        <v>51</v>
      </c>
      <c r="J615" t="s">
        <v>125</v>
      </c>
      <c r="K615">
        <v>1</v>
      </c>
      <c r="L615">
        <v>30905</v>
      </c>
      <c r="M615">
        <v>15</v>
      </c>
      <c r="N615">
        <v>4635.75</v>
      </c>
      <c r="O615">
        <v>4728.47</v>
      </c>
      <c r="P615">
        <v>324</v>
      </c>
      <c r="Q615">
        <v>31321.72</v>
      </c>
      <c r="R615" t="s">
        <v>45</v>
      </c>
      <c r="S615" t="s">
        <v>63</v>
      </c>
      <c r="T615" t="s">
        <v>46</v>
      </c>
      <c r="U615" t="s">
        <v>36</v>
      </c>
      <c r="V615" t="s">
        <v>37</v>
      </c>
      <c r="W615">
        <v>10</v>
      </c>
      <c r="X615" t="s">
        <v>47</v>
      </c>
      <c r="Y615">
        <v>1</v>
      </c>
      <c r="Z615" t="s">
        <v>58</v>
      </c>
    </row>
    <row r="616" spans="1:26" x14ac:dyDescent="0.3">
      <c r="A616" t="s">
        <v>1150</v>
      </c>
      <c r="B616" s="2">
        <v>45937</v>
      </c>
      <c r="C616" t="s">
        <v>940</v>
      </c>
      <c r="D616" t="s">
        <v>111</v>
      </c>
      <c r="E616" t="s">
        <v>29</v>
      </c>
      <c r="F616">
        <v>58</v>
      </c>
      <c r="G616" t="s">
        <v>139</v>
      </c>
      <c r="H616" t="s">
        <v>31</v>
      </c>
      <c r="I616" t="s">
        <v>139</v>
      </c>
      <c r="J616" t="s">
        <v>112</v>
      </c>
      <c r="K616">
        <v>4</v>
      </c>
      <c r="L616">
        <v>41766</v>
      </c>
      <c r="M616">
        <v>0</v>
      </c>
      <c r="N616">
        <v>0</v>
      </c>
      <c r="O616">
        <v>30071.52</v>
      </c>
      <c r="P616">
        <v>436</v>
      </c>
      <c r="Q616">
        <v>197571.52</v>
      </c>
      <c r="R616" t="s">
        <v>45</v>
      </c>
      <c r="S616" t="s">
        <v>63</v>
      </c>
      <c r="T616" t="s">
        <v>103</v>
      </c>
      <c r="U616" t="s">
        <v>103</v>
      </c>
      <c r="V616" t="s">
        <v>57</v>
      </c>
      <c r="W616">
        <v>2</v>
      </c>
      <c r="X616" t="s">
        <v>47</v>
      </c>
      <c r="Y616">
        <v>2</v>
      </c>
      <c r="Z616" t="s">
        <v>58</v>
      </c>
    </row>
    <row r="617" spans="1:26" x14ac:dyDescent="0.3">
      <c r="A617" t="s">
        <v>1151</v>
      </c>
      <c r="B617" s="2">
        <v>45886</v>
      </c>
      <c r="C617" t="s">
        <v>1152</v>
      </c>
      <c r="D617" t="s">
        <v>61</v>
      </c>
      <c r="E617" t="s">
        <v>43</v>
      </c>
      <c r="F617">
        <v>42</v>
      </c>
      <c r="G617" t="s">
        <v>74</v>
      </c>
      <c r="H617" t="s">
        <v>31</v>
      </c>
      <c r="I617" t="s">
        <v>74</v>
      </c>
      <c r="J617" t="s">
        <v>125</v>
      </c>
      <c r="K617">
        <v>2</v>
      </c>
      <c r="L617">
        <v>21383</v>
      </c>
      <c r="M617">
        <v>20</v>
      </c>
      <c r="N617">
        <v>8553.2000000000007</v>
      </c>
      <c r="O617">
        <v>6158.3</v>
      </c>
      <c r="P617">
        <v>235</v>
      </c>
      <c r="Q617">
        <v>40606.1</v>
      </c>
      <c r="R617" t="s">
        <v>45</v>
      </c>
      <c r="S617" t="s">
        <v>34</v>
      </c>
      <c r="T617" t="s">
        <v>95</v>
      </c>
      <c r="U617" t="s">
        <v>96</v>
      </c>
      <c r="V617" t="s">
        <v>57</v>
      </c>
      <c r="W617">
        <v>2</v>
      </c>
      <c r="X617" t="s">
        <v>47</v>
      </c>
      <c r="Y617">
        <v>4</v>
      </c>
      <c r="Z617" t="s">
        <v>47</v>
      </c>
    </row>
    <row r="618" spans="1:26" x14ac:dyDescent="0.3">
      <c r="A618" t="s">
        <v>1153</v>
      </c>
      <c r="B618" s="2">
        <v>46083</v>
      </c>
      <c r="C618" t="s">
        <v>425</v>
      </c>
      <c r="D618" t="s">
        <v>66</v>
      </c>
      <c r="E618" t="s">
        <v>29</v>
      </c>
      <c r="F618">
        <v>42</v>
      </c>
      <c r="G618" t="s">
        <v>139</v>
      </c>
      <c r="H618" t="s">
        <v>31</v>
      </c>
      <c r="I618" t="s">
        <v>139</v>
      </c>
      <c r="J618" t="s">
        <v>75</v>
      </c>
      <c r="K618">
        <v>3</v>
      </c>
      <c r="L618">
        <v>6996</v>
      </c>
      <c r="M618">
        <v>0</v>
      </c>
      <c r="N618">
        <v>0</v>
      </c>
      <c r="O618">
        <v>3777.84</v>
      </c>
      <c r="P618">
        <v>327</v>
      </c>
      <c r="Q618">
        <v>25092.84</v>
      </c>
      <c r="R618" t="s">
        <v>33</v>
      </c>
      <c r="S618" t="s">
        <v>34</v>
      </c>
      <c r="T618" t="s">
        <v>55</v>
      </c>
      <c r="U618" t="s">
        <v>56</v>
      </c>
      <c r="V618" t="s">
        <v>57</v>
      </c>
      <c r="W618">
        <v>6</v>
      </c>
      <c r="X618" t="s">
        <v>38</v>
      </c>
      <c r="Y618">
        <v>2</v>
      </c>
      <c r="Z618" t="s">
        <v>58</v>
      </c>
    </row>
    <row r="619" spans="1:26" x14ac:dyDescent="0.3">
      <c r="A619" t="s">
        <v>1154</v>
      </c>
      <c r="B619" s="2">
        <v>46042</v>
      </c>
      <c r="C619" t="s">
        <v>1155</v>
      </c>
      <c r="D619" t="s">
        <v>73</v>
      </c>
      <c r="E619" t="s">
        <v>43</v>
      </c>
      <c r="F619">
        <v>50</v>
      </c>
      <c r="G619" t="s">
        <v>67</v>
      </c>
      <c r="H619" t="s">
        <v>68</v>
      </c>
      <c r="I619" t="s">
        <v>67</v>
      </c>
      <c r="J619" t="s">
        <v>112</v>
      </c>
      <c r="K619">
        <v>4</v>
      </c>
      <c r="L619">
        <v>47815</v>
      </c>
      <c r="M619">
        <v>10</v>
      </c>
      <c r="N619">
        <v>19126</v>
      </c>
      <c r="O619">
        <v>30984.12</v>
      </c>
      <c r="P619">
        <v>23</v>
      </c>
      <c r="Q619">
        <v>203141.12</v>
      </c>
      <c r="R619" t="s">
        <v>83</v>
      </c>
      <c r="S619" t="s">
        <v>34</v>
      </c>
      <c r="T619" t="s">
        <v>46</v>
      </c>
      <c r="U619" t="s">
        <v>36</v>
      </c>
      <c r="V619" t="s">
        <v>37</v>
      </c>
      <c r="W619">
        <v>2</v>
      </c>
      <c r="X619" t="s">
        <v>47</v>
      </c>
      <c r="Y619">
        <v>4</v>
      </c>
      <c r="Z619" t="s">
        <v>39</v>
      </c>
    </row>
    <row r="620" spans="1:26" x14ac:dyDescent="0.3">
      <c r="A620" t="s">
        <v>1156</v>
      </c>
      <c r="B620" s="2">
        <v>46099</v>
      </c>
      <c r="C620" t="s">
        <v>283</v>
      </c>
      <c r="D620" t="s">
        <v>42</v>
      </c>
      <c r="E620" t="s">
        <v>43</v>
      </c>
      <c r="F620">
        <v>37</v>
      </c>
      <c r="G620" t="s">
        <v>139</v>
      </c>
      <c r="H620" t="s">
        <v>31</v>
      </c>
      <c r="I620" t="s">
        <v>139</v>
      </c>
      <c r="J620" t="s">
        <v>32</v>
      </c>
      <c r="K620">
        <v>4</v>
      </c>
      <c r="L620">
        <v>16140</v>
      </c>
      <c r="M620">
        <v>20</v>
      </c>
      <c r="N620">
        <v>12912</v>
      </c>
      <c r="O620">
        <v>9296.64</v>
      </c>
      <c r="P620">
        <v>365</v>
      </c>
      <c r="Q620">
        <v>61309.64</v>
      </c>
      <c r="R620" t="s">
        <v>33</v>
      </c>
      <c r="S620" t="s">
        <v>34</v>
      </c>
      <c r="T620" t="s">
        <v>35</v>
      </c>
      <c r="U620" t="s">
        <v>36</v>
      </c>
      <c r="V620" t="s">
        <v>37</v>
      </c>
      <c r="W620">
        <v>4</v>
      </c>
      <c r="X620" t="s">
        <v>47</v>
      </c>
      <c r="Y620">
        <v>1</v>
      </c>
      <c r="Z620" t="s">
        <v>91</v>
      </c>
    </row>
    <row r="621" spans="1:26" x14ac:dyDescent="0.3">
      <c r="A621" t="s">
        <v>1157</v>
      </c>
      <c r="B621" s="2">
        <v>46021</v>
      </c>
      <c r="C621" t="s">
        <v>830</v>
      </c>
      <c r="D621" t="s">
        <v>73</v>
      </c>
      <c r="E621" t="s">
        <v>43</v>
      </c>
      <c r="F621">
        <v>43</v>
      </c>
      <c r="G621" t="s">
        <v>44</v>
      </c>
      <c r="H621" t="s">
        <v>31</v>
      </c>
      <c r="I621" t="s">
        <v>44</v>
      </c>
      <c r="J621" t="s">
        <v>112</v>
      </c>
      <c r="K621">
        <v>2</v>
      </c>
      <c r="L621">
        <v>1150</v>
      </c>
      <c r="M621">
        <v>20</v>
      </c>
      <c r="N621">
        <v>460</v>
      </c>
      <c r="O621">
        <v>331.2</v>
      </c>
      <c r="P621">
        <v>394</v>
      </c>
      <c r="Q621">
        <v>2565.1999999999998</v>
      </c>
      <c r="R621" t="s">
        <v>83</v>
      </c>
      <c r="S621" t="s">
        <v>63</v>
      </c>
      <c r="T621" t="s">
        <v>76</v>
      </c>
      <c r="U621" t="s">
        <v>77</v>
      </c>
      <c r="V621" t="s">
        <v>57</v>
      </c>
      <c r="W621">
        <v>9</v>
      </c>
      <c r="X621" t="s">
        <v>38</v>
      </c>
      <c r="Y621">
        <v>2</v>
      </c>
      <c r="Z621" t="s">
        <v>58</v>
      </c>
    </row>
    <row r="622" spans="1:26" x14ac:dyDescent="0.3">
      <c r="A622" t="s">
        <v>1158</v>
      </c>
      <c r="B622" s="2">
        <v>45921</v>
      </c>
      <c r="C622" t="s">
        <v>1159</v>
      </c>
      <c r="D622" t="s">
        <v>66</v>
      </c>
      <c r="E622" t="s">
        <v>29</v>
      </c>
      <c r="F622">
        <v>35</v>
      </c>
      <c r="G622" t="s">
        <v>90</v>
      </c>
      <c r="H622" t="s">
        <v>31</v>
      </c>
      <c r="I622" t="s">
        <v>90</v>
      </c>
      <c r="J622" t="s">
        <v>201</v>
      </c>
      <c r="K622">
        <v>5</v>
      </c>
      <c r="L622">
        <v>4559</v>
      </c>
      <c r="M622">
        <v>20</v>
      </c>
      <c r="N622">
        <v>4559</v>
      </c>
      <c r="O622">
        <v>3282.48</v>
      </c>
      <c r="P622">
        <v>202</v>
      </c>
      <c r="Q622">
        <v>21720.48</v>
      </c>
      <c r="R622" t="s">
        <v>45</v>
      </c>
      <c r="S622" t="s">
        <v>34</v>
      </c>
      <c r="T622" t="s">
        <v>55</v>
      </c>
      <c r="U622" t="s">
        <v>56</v>
      </c>
      <c r="V622" t="s">
        <v>57</v>
      </c>
      <c r="W622">
        <v>10</v>
      </c>
      <c r="X622" t="s">
        <v>38</v>
      </c>
      <c r="Y622">
        <v>1</v>
      </c>
      <c r="Z622" t="s">
        <v>91</v>
      </c>
    </row>
    <row r="623" spans="1:26" x14ac:dyDescent="0.3">
      <c r="A623" t="s">
        <v>1160</v>
      </c>
      <c r="B623" s="2">
        <v>46084</v>
      </c>
      <c r="C623" t="s">
        <v>229</v>
      </c>
      <c r="D623" t="s">
        <v>50</v>
      </c>
      <c r="E623" t="s">
        <v>43</v>
      </c>
      <c r="F623">
        <v>51</v>
      </c>
      <c r="G623" t="s">
        <v>44</v>
      </c>
      <c r="H623" t="s">
        <v>31</v>
      </c>
      <c r="I623" t="s">
        <v>44</v>
      </c>
      <c r="J623" t="s">
        <v>69</v>
      </c>
      <c r="K623">
        <v>5</v>
      </c>
      <c r="L623">
        <v>40159</v>
      </c>
      <c r="M623">
        <v>5</v>
      </c>
      <c r="N623">
        <v>10039.75</v>
      </c>
      <c r="O623">
        <v>34335.94</v>
      </c>
      <c r="P623">
        <v>207</v>
      </c>
      <c r="Q623">
        <v>225298.2</v>
      </c>
      <c r="R623" t="s">
        <v>33</v>
      </c>
      <c r="S623" t="s">
        <v>34</v>
      </c>
      <c r="T623" t="s">
        <v>55</v>
      </c>
      <c r="U623" t="s">
        <v>56</v>
      </c>
      <c r="V623" t="s">
        <v>57</v>
      </c>
      <c r="W623">
        <v>8</v>
      </c>
      <c r="X623" t="s">
        <v>47</v>
      </c>
      <c r="Y623">
        <v>3</v>
      </c>
      <c r="Z623" t="s">
        <v>58</v>
      </c>
    </row>
    <row r="624" spans="1:26" x14ac:dyDescent="0.3">
      <c r="A624" t="s">
        <v>1161</v>
      </c>
      <c r="B624" s="2">
        <v>45935</v>
      </c>
      <c r="C624" t="s">
        <v>1162</v>
      </c>
      <c r="D624" t="s">
        <v>28</v>
      </c>
      <c r="E624" t="s">
        <v>43</v>
      </c>
      <c r="F624">
        <v>25</v>
      </c>
      <c r="G624" t="s">
        <v>67</v>
      </c>
      <c r="H624" t="s">
        <v>68</v>
      </c>
      <c r="I624" t="s">
        <v>67</v>
      </c>
      <c r="J624" t="s">
        <v>125</v>
      </c>
      <c r="K624">
        <v>2</v>
      </c>
      <c r="L624">
        <v>10985</v>
      </c>
      <c r="M624">
        <v>5</v>
      </c>
      <c r="N624">
        <v>1098.5</v>
      </c>
      <c r="O624">
        <v>3756.87</v>
      </c>
      <c r="P624">
        <v>120</v>
      </c>
      <c r="Q624">
        <v>24748.37</v>
      </c>
      <c r="R624" t="s">
        <v>83</v>
      </c>
      <c r="S624" t="s">
        <v>63</v>
      </c>
      <c r="T624" t="s">
        <v>46</v>
      </c>
      <c r="U624" t="s">
        <v>36</v>
      </c>
      <c r="V624" t="s">
        <v>37</v>
      </c>
      <c r="W624">
        <v>8</v>
      </c>
      <c r="X624" t="s">
        <v>38</v>
      </c>
      <c r="Y624">
        <v>4</v>
      </c>
      <c r="Z624" t="s">
        <v>91</v>
      </c>
    </row>
    <row r="625" spans="1:26" x14ac:dyDescent="0.3">
      <c r="A625" t="s">
        <v>1163</v>
      </c>
      <c r="B625" s="2">
        <v>45967</v>
      </c>
      <c r="C625" t="s">
        <v>1164</v>
      </c>
      <c r="D625" t="s">
        <v>73</v>
      </c>
      <c r="E625" t="s">
        <v>29</v>
      </c>
      <c r="F625">
        <v>29</v>
      </c>
      <c r="G625" t="s">
        <v>90</v>
      </c>
      <c r="H625" t="s">
        <v>31</v>
      </c>
      <c r="I625" t="s">
        <v>90</v>
      </c>
      <c r="J625" t="s">
        <v>201</v>
      </c>
      <c r="K625">
        <v>1</v>
      </c>
      <c r="L625">
        <v>36714</v>
      </c>
      <c r="M625">
        <v>0</v>
      </c>
      <c r="N625">
        <v>0</v>
      </c>
      <c r="O625">
        <v>6608.52</v>
      </c>
      <c r="P625">
        <v>425</v>
      </c>
      <c r="Q625">
        <v>43747.519999999997</v>
      </c>
      <c r="R625" t="s">
        <v>54</v>
      </c>
      <c r="S625" t="s">
        <v>63</v>
      </c>
      <c r="T625" t="s">
        <v>55</v>
      </c>
      <c r="U625" t="s">
        <v>56</v>
      </c>
      <c r="V625" t="s">
        <v>57</v>
      </c>
      <c r="W625">
        <v>2</v>
      </c>
      <c r="X625" t="s">
        <v>38</v>
      </c>
      <c r="Y625">
        <v>2</v>
      </c>
      <c r="Z625" t="s">
        <v>58</v>
      </c>
    </row>
    <row r="626" spans="1:26" x14ac:dyDescent="0.3">
      <c r="A626" t="s">
        <v>1165</v>
      </c>
      <c r="B626" s="2">
        <v>45767</v>
      </c>
      <c r="C626" t="s">
        <v>867</v>
      </c>
      <c r="D626" t="s">
        <v>42</v>
      </c>
      <c r="E626" t="s">
        <v>29</v>
      </c>
      <c r="F626">
        <v>37</v>
      </c>
      <c r="G626" t="s">
        <v>94</v>
      </c>
      <c r="H626" t="s">
        <v>31</v>
      </c>
      <c r="I626" t="s">
        <v>94</v>
      </c>
      <c r="J626" t="s">
        <v>112</v>
      </c>
      <c r="K626">
        <v>1</v>
      </c>
      <c r="L626">
        <v>19124</v>
      </c>
      <c r="M626">
        <v>10</v>
      </c>
      <c r="N626">
        <v>1912.4</v>
      </c>
      <c r="O626">
        <v>3098.09</v>
      </c>
      <c r="P626">
        <v>257</v>
      </c>
      <c r="Q626">
        <v>20566.689999999999</v>
      </c>
      <c r="R626" t="s">
        <v>83</v>
      </c>
      <c r="S626" t="s">
        <v>63</v>
      </c>
      <c r="T626" t="s">
        <v>55</v>
      </c>
      <c r="U626" t="s">
        <v>56</v>
      </c>
      <c r="V626" t="s">
        <v>57</v>
      </c>
      <c r="W626">
        <v>6</v>
      </c>
      <c r="X626" t="s">
        <v>47</v>
      </c>
      <c r="Y626">
        <v>4</v>
      </c>
      <c r="Z626" t="s">
        <v>58</v>
      </c>
    </row>
    <row r="627" spans="1:26" x14ac:dyDescent="0.3">
      <c r="A627" t="s">
        <v>1166</v>
      </c>
      <c r="B627" s="2">
        <v>45831</v>
      </c>
      <c r="C627" t="s">
        <v>1167</v>
      </c>
      <c r="D627" t="s">
        <v>42</v>
      </c>
      <c r="E627" t="s">
        <v>29</v>
      </c>
      <c r="F627">
        <v>54</v>
      </c>
      <c r="G627" t="s">
        <v>139</v>
      </c>
      <c r="H627" t="s">
        <v>31</v>
      </c>
      <c r="I627" t="s">
        <v>139</v>
      </c>
      <c r="J627" t="s">
        <v>112</v>
      </c>
      <c r="K627">
        <v>1</v>
      </c>
      <c r="L627">
        <v>23713</v>
      </c>
      <c r="M627">
        <v>20</v>
      </c>
      <c r="N627">
        <v>4742.6000000000004</v>
      </c>
      <c r="O627">
        <v>3414.67</v>
      </c>
      <c r="P627">
        <v>411</v>
      </c>
      <c r="Q627">
        <v>22796.07</v>
      </c>
      <c r="R627" t="s">
        <v>33</v>
      </c>
      <c r="S627" t="s">
        <v>63</v>
      </c>
      <c r="T627" t="s">
        <v>70</v>
      </c>
      <c r="U627" t="s">
        <v>56</v>
      </c>
      <c r="V627" t="s">
        <v>57</v>
      </c>
      <c r="W627">
        <v>10</v>
      </c>
      <c r="X627" t="s">
        <v>47</v>
      </c>
      <c r="Y627">
        <v>5</v>
      </c>
      <c r="Z627" t="s">
        <v>39</v>
      </c>
    </row>
    <row r="628" spans="1:26" x14ac:dyDescent="0.3">
      <c r="A628" t="s">
        <v>1168</v>
      </c>
      <c r="B628" s="2">
        <v>45922</v>
      </c>
      <c r="C628" t="s">
        <v>1169</v>
      </c>
      <c r="D628" t="s">
        <v>28</v>
      </c>
      <c r="E628" t="s">
        <v>43</v>
      </c>
      <c r="F628">
        <v>58</v>
      </c>
      <c r="G628" t="s">
        <v>44</v>
      </c>
      <c r="H628" t="s">
        <v>31</v>
      </c>
      <c r="I628" t="s">
        <v>44</v>
      </c>
      <c r="J628" t="s">
        <v>62</v>
      </c>
      <c r="K628">
        <v>3</v>
      </c>
      <c r="L628">
        <v>34710</v>
      </c>
      <c r="M628">
        <v>20</v>
      </c>
      <c r="N628">
        <v>20826</v>
      </c>
      <c r="O628">
        <v>14994.72</v>
      </c>
      <c r="P628">
        <v>173</v>
      </c>
      <c r="Q628">
        <v>98471.72</v>
      </c>
      <c r="R628" t="s">
        <v>45</v>
      </c>
      <c r="S628" t="s">
        <v>63</v>
      </c>
      <c r="T628" t="s">
        <v>70</v>
      </c>
      <c r="U628" t="s">
        <v>56</v>
      </c>
      <c r="V628" t="s">
        <v>57</v>
      </c>
      <c r="W628">
        <v>1</v>
      </c>
      <c r="X628" t="s">
        <v>47</v>
      </c>
      <c r="Y628">
        <v>4</v>
      </c>
      <c r="Z628" t="s">
        <v>91</v>
      </c>
    </row>
    <row r="629" spans="1:26" x14ac:dyDescent="0.3">
      <c r="A629" t="s">
        <v>1170</v>
      </c>
      <c r="B629" s="2">
        <v>45860</v>
      </c>
      <c r="C629" t="s">
        <v>1171</v>
      </c>
      <c r="D629" t="s">
        <v>111</v>
      </c>
      <c r="E629" t="s">
        <v>43</v>
      </c>
      <c r="F629">
        <v>51</v>
      </c>
      <c r="G629" t="s">
        <v>74</v>
      </c>
      <c r="H629" t="s">
        <v>31</v>
      </c>
      <c r="I629" t="s">
        <v>74</v>
      </c>
      <c r="J629" t="s">
        <v>201</v>
      </c>
      <c r="K629">
        <v>3</v>
      </c>
      <c r="L629">
        <v>7140</v>
      </c>
      <c r="M629">
        <v>0</v>
      </c>
      <c r="N629">
        <v>0</v>
      </c>
      <c r="O629">
        <v>3855.6</v>
      </c>
      <c r="P629">
        <v>484</v>
      </c>
      <c r="Q629">
        <v>25759.599999999999</v>
      </c>
      <c r="R629" t="s">
        <v>45</v>
      </c>
      <c r="S629" t="s">
        <v>63</v>
      </c>
      <c r="T629" t="s">
        <v>55</v>
      </c>
      <c r="U629" t="s">
        <v>56</v>
      </c>
      <c r="V629" t="s">
        <v>57</v>
      </c>
      <c r="W629">
        <v>3</v>
      </c>
      <c r="X629" t="s">
        <v>47</v>
      </c>
      <c r="Y629">
        <v>3</v>
      </c>
      <c r="Z629" t="s">
        <v>91</v>
      </c>
    </row>
    <row r="630" spans="1:26" x14ac:dyDescent="0.3">
      <c r="A630" t="s">
        <v>1172</v>
      </c>
      <c r="B630" s="2">
        <v>45843</v>
      </c>
      <c r="C630" t="s">
        <v>1173</v>
      </c>
      <c r="D630" t="s">
        <v>66</v>
      </c>
      <c r="E630" t="s">
        <v>43</v>
      </c>
      <c r="F630">
        <v>56</v>
      </c>
      <c r="G630" t="s">
        <v>74</v>
      </c>
      <c r="H630" t="s">
        <v>31</v>
      </c>
      <c r="I630" t="s">
        <v>74</v>
      </c>
      <c r="J630" t="s">
        <v>102</v>
      </c>
      <c r="K630">
        <v>2</v>
      </c>
      <c r="L630">
        <v>28239</v>
      </c>
      <c r="M630">
        <v>20</v>
      </c>
      <c r="N630">
        <v>11295.6</v>
      </c>
      <c r="O630">
        <v>8132.83</v>
      </c>
      <c r="P630">
        <v>103</v>
      </c>
      <c r="Q630">
        <v>53418.23</v>
      </c>
      <c r="R630" t="s">
        <v>54</v>
      </c>
      <c r="S630" t="s">
        <v>34</v>
      </c>
      <c r="T630" t="s">
        <v>95</v>
      </c>
      <c r="U630" t="s">
        <v>96</v>
      </c>
      <c r="V630" t="s">
        <v>57</v>
      </c>
      <c r="W630">
        <v>3</v>
      </c>
      <c r="X630" t="s">
        <v>47</v>
      </c>
      <c r="Y630">
        <v>5</v>
      </c>
      <c r="Z630" t="s">
        <v>47</v>
      </c>
    </row>
    <row r="631" spans="1:26" x14ac:dyDescent="0.3">
      <c r="A631" t="s">
        <v>1174</v>
      </c>
      <c r="B631" s="2">
        <v>45907</v>
      </c>
      <c r="C631" t="s">
        <v>1175</v>
      </c>
      <c r="D631" t="s">
        <v>89</v>
      </c>
      <c r="E631" t="s">
        <v>29</v>
      </c>
      <c r="F631">
        <v>49</v>
      </c>
      <c r="G631" t="s">
        <v>134</v>
      </c>
      <c r="H631" t="s">
        <v>31</v>
      </c>
      <c r="I631" t="s">
        <v>134</v>
      </c>
      <c r="J631" t="s">
        <v>69</v>
      </c>
      <c r="K631">
        <v>4</v>
      </c>
      <c r="L631">
        <v>48282</v>
      </c>
      <c r="M631">
        <v>15</v>
      </c>
      <c r="N631">
        <v>28969.200000000001</v>
      </c>
      <c r="O631">
        <v>29548.58</v>
      </c>
      <c r="P631">
        <v>35</v>
      </c>
      <c r="Q631">
        <v>193742.38</v>
      </c>
      <c r="R631" t="s">
        <v>33</v>
      </c>
      <c r="S631" t="s">
        <v>63</v>
      </c>
      <c r="T631" t="s">
        <v>95</v>
      </c>
      <c r="U631" t="s">
        <v>96</v>
      </c>
      <c r="V631" t="s">
        <v>57</v>
      </c>
      <c r="W631">
        <v>7</v>
      </c>
      <c r="X631" t="s">
        <v>47</v>
      </c>
      <c r="Y631">
        <v>5</v>
      </c>
      <c r="Z631" t="s">
        <v>91</v>
      </c>
    </row>
    <row r="632" spans="1:26" x14ac:dyDescent="0.3">
      <c r="A632" t="s">
        <v>1176</v>
      </c>
      <c r="B632" s="2">
        <v>45879</v>
      </c>
      <c r="C632" t="s">
        <v>771</v>
      </c>
      <c r="D632" t="s">
        <v>73</v>
      </c>
      <c r="E632" t="s">
        <v>29</v>
      </c>
      <c r="F632">
        <v>26</v>
      </c>
      <c r="G632" t="s">
        <v>74</v>
      </c>
      <c r="H632" t="s">
        <v>31</v>
      </c>
      <c r="I632" t="s">
        <v>74</v>
      </c>
      <c r="J632" t="s">
        <v>150</v>
      </c>
      <c r="K632">
        <v>4</v>
      </c>
      <c r="L632">
        <v>32877</v>
      </c>
      <c r="M632">
        <v>10</v>
      </c>
      <c r="N632">
        <v>13150.8</v>
      </c>
      <c r="O632">
        <v>21304.3</v>
      </c>
      <c r="P632">
        <v>68</v>
      </c>
      <c r="Q632">
        <v>139729.5</v>
      </c>
      <c r="R632" t="s">
        <v>33</v>
      </c>
      <c r="S632" t="s">
        <v>63</v>
      </c>
      <c r="T632" t="s">
        <v>35</v>
      </c>
      <c r="U632" t="s">
        <v>36</v>
      </c>
      <c r="V632" t="s">
        <v>37</v>
      </c>
      <c r="W632">
        <v>1</v>
      </c>
      <c r="X632" t="s">
        <v>47</v>
      </c>
      <c r="Y632">
        <v>3</v>
      </c>
      <c r="Z632" t="s">
        <v>39</v>
      </c>
    </row>
    <row r="633" spans="1:26" x14ac:dyDescent="0.3">
      <c r="A633" t="s">
        <v>1177</v>
      </c>
      <c r="B633" s="2">
        <v>46007</v>
      </c>
      <c r="C633" t="s">
        <v>1178</v>
      </c>
      <c r="D633" t="s">
        <v>28</v>
      </c>
      <c r="E633" t="s">
        <v>29</v>
      </c>
      <c r="F633">
        <v>23</v>
      </c>
      <c r="G633" t="s">
        <v>51</v>
      </c>
      <c r="H633" t="s">
        <v>52</v>
      </c>
      <c r="I633" t="s">
        <v>51</v>
      </c>
      <c r="J633" t="s">
        <v>201</v>
      </c>
      <c r="K633">
        <v>5</v>
      </c>
      <c r="L633">
        <v>6859</v>
      </c>
      <c r="M633">
        <v>20</v>
      </c>
      <c r="N633">
        <v>6859</v>
      </c>
      <c r="O633">
        <v>4938.4799999999996</v>
      </c>
      <c r="P633">
        <v>489</v>
      </c>
      <c r="Q633">
        <v>32863.480000000003</v>
      </c>
      <c r="R633" t="s">
        <v>83</v>
      </c>
      <c r="S633" t="s">
        <v>34</v>
      </c>
      <c r="T633" t="s">
        <v>35</v>
      </c>
      <c r="U633" t="s">
        <v>36</v>
      </c>
      <c r="V633" t="s">
        <v>37</v>
      </c>
      <c r="W633">
        <v>8</v>
      </c>
      <c r="X633" t="s">
        <v>38</v>
      </c>
      <c r="Y633">
        <v>1</v>
      </c>
      <c r="Z633" t="s">
        <v>39</v>
      </c>
    </row>
    <row r="634" spans="1:26" x14ac:dyDescent="0.3">
      <c r="A634" t="s">
        <v>1179</v>
      </c>
      <c r="B634" s="2">
        <v>45996</v>
      </c>
      <c r="C634" t="s">
        <v>1180</v>
      </c>
      <c r="D634" t="s">
        <v>89</v>
      </c>
      <c r="E634" t="s">
        <v>29</v>
      </c>
      <c r="F634">
        <v>56</v>
      </c>
      <c r="G634" t="s">
        <v>74</v>
      </c>
      <c r="H634" t="s">
        <v>31</v>
      </c>
      <c r="I634" t="s">
        <v>74</v>
      </c>
      <c r="J634" t="s">
        <v>53</v>
      </c>
      <c r="K634">
        <v>5</v>
      </c>
      <c r="L634">
        <v>6880</v>
      </c>
      <c r="M634">
        <v>5</v>
      </c>
      <c r="N634">
        <v>1720</v>
      </c>
      <c r="O634">
        <v>5882.4</v>
      </c>
      <c r="P634">
        <v>355</v>
      </c>
      <c r="Q634">
        <v>38917.4</v>
      </c>
      <c r="R634" t="s">
        <v>45</v>
      </c>
      <c r="S634" t="s">
        <v>63</v>
      </c>
      <c r="T634" t="s">
        <v>55</v>
      </c>
      <c r="U634" t="s">
        <v>56</v>
      </c>
      <c r="V634" t="s">
        <v>57</v>
      </c>
      <c r="W634">
        <v>8</v>
      </c>
      <c r="X634" t="s">
        <v>47</v>
      </c>
      <c r="Y634">
        <v>4</v>
      </c>
      <c r="Z634" t="s">
        <v>39</v>
      </c>
    </row>
    <row r="635" spans="1:26" x14ac:dyDescent="0.3">
      <c r="A635" t="s">
        <v>1181</v>
      </c>
      <c r="B635" s="2">
        <v>45814</v>
      </c>
      <c r="C635" t="s">
        <v>1180</v>
      </c>
      <c r="D635" t="s">
        <v>111</v>
      </c>
      <c r="E635" t="s">
        <v>43</v>
      </c>
      <c r="F635">
        <v>29</v>
      </c>
      <c r="G635" t="s">
        <v>139</v>
      </c>
      <c r="H635" t="s">
        <v>31</v>
      </c>
      <c r="I635" t="s">
        <v>139</v>
      </c>
      <c r="J635" t="s">
        <v>32</v>
      </c>
      <c r="K635">
        <v>3</v>
      </c>
      <c r="L635">
        <v>44405</v>
      </c>
      <c r="M635">
        <v>20</v>
      </c>
      <c r="N635">
        <v>26643</v>
      </c>
      <c r="O635">
        <v>19182.96</v>
      </c>
      <c r="P635">
        <v>188</v>
      </c>
      <c r="Q635">
        <v>125942.96</v>
      </c>
      <c r="R635" t="s">
        <v>45</v>
      </c>
      <c r="S635" t="s">
        <v>34</v>
      </c>
      <c r="T635" t="s">
        <v>84</v>
      </c>
      <c r="U635" t="s">
        <v>85</v>
      </c>
      <c r="V635" t="s">
        <v>86</v>
      </c>
      <c r="W635">
        <v>4</v>
      </c>
      <c r="X635" t="s">
        <v>47</v>
      </c>
      <c r="Y635">
        <v>3</v>
      </c>
      <c r="Z635" t="s">
        <v>39</v>
      </c>
    </row>
    <row r="636" spans="1:26" x14ac:dyDescent="0.3">
      <c r="A636" t="s">
        <v>1182</v>
      </c>
      <c r="B636" s="2">
        <v>45912</v>
      </c>
      <c r="C636" t="s">
        <v>1183</v>
      </c>
      <c r="D636" t="s">
        <v>61</v>
      </c>
      <c r="E636" t="s">
        <v>43</v>
      </c>
      <c r="F636">
        <v>25</v>
      </c>
      <c r="G636" t="s">
        <v>99</v>
      </c>
      <c r="H636" t="s">
        <v>52</v>
      </c>
      <c r="I636" t="s">
        <v>99</v>
      </c>
      <c r="J636" t="s">
        <v>62</v>
      </c>
      <c r="K636">
        <v>5</v>
      </c>
      <c r="L636">
        <v>36886</v>
      </c>
      <c r="M636">
        <v>20</v>
      </c>
      <c r="N636">
        <v>36886</v>
      </c>
      <c r="O636">
        <v>26557.919999999998</v>
      </c>
      <c r="P636">
        <v>302</v>
      </c>
      <c r="Q636">
        <v>174403.92</v>
      </c>
      <c r="R636" t="s">
        <v>83</v>
      </c>
      <c r="S636" t="s">
        <v>63</v>
      </c>
      <c r="T636" t="s">
        <v>84</v>
      </c>
      <c r="U636" t="s">
        <v>85</v>
      </c>
      <c r="V636" t="s">
        <v>86</v>
      </c>
      <c r="W636">
        <v>2</v>
      </c>
      <c r="X636" t="s">
        <v>47</v>
      </c>
      <c r="Y636">
        <v>3</v>
      </c>
      <c r="Z636" t="s">
        <v>91</v>
      </c>
    </row>
    <row r="637" spans="1:26" x14ac:dyDescent="0.3">
      <c r="A637" t="s">
        <v>1184</v>
      </c>
      <c r="B637" s="2">
        <v>46081</v>
      </c>
      <c r="C637" t="s">
        <v>1185</v>
      </c>
      <c r="D637" t="s">
        <v>80</v>
      </c>
      <c r="E637" t="s">
        <v>29</v>
      </c>
      <c r="F637">
        <v>31</v>
      </c>
      <c r="G637" t="s">
        <v>134</v>
      </c>
      <c r="H637" t="s">
        <v>31</v>
      </c>
      <c r="I637" t="s">
        <v>134</v>
      </c>
      <c r="J637" t="s">
        <v>150</v>
      </c>
      <c r="K637">
        <v>4</v>
      </c>
      <c r="L637">
        <v>42144</v>
      </c>
      <c r="M637">
        <v>0</v>
      </c>
      <c r="N637">
        <v>0</v>
      </c>
      <c r="O637">
        <v>30343.68</v>
      </c>
      <c r="P637">
        <v>24</v>
      </c>
      <c r="Q637">
        <v>198943.68</v>
      </c>
      <c r="R637" t="s">
        <v>33</v>
      </c>
      <c r="S637" t="s">
        <v>34</v>
      </c>
      <c r="T637" t="s">
        <v>46</v>
      </c>
      <c r="U637" t="s">
        <v>36</v>
      </c>
      <c r="V637" t="s">
        <v>37</v>
      </c>
      <c r="W637">
        <v>2</v>
      </c>
      <c r="X637" t="s">
        <v>47</v>
      </c>
      <c r="Y637">
        <v>1</v>
      </c>
      <c r="Z637" t="s">
        <v>91</v>
      </c>
    </row>
    <row r="638" spans="1:26" x14ac:dyDescent="0.3">
      <c r="A638" t="s">
        <v>1186</v>
      </c>
      <c r="B638" s="2">
        <v>45928</v>
      </c>
      <c r="C638" t="s">
        <v>1187</v>
      </c>
      <c r="D638" t="s">
        <v>66</v>
      </c>
      <c r="E638" t="s">
        <v>43</v>
      </c>
      <c r="F638">
        <v>28</v>
      </c>
      <c r="G638" t="s">
        <v>139</v>
      </c>
      <c r="H638" t="s">
        <v>31</v>
      </c>
      <c r="I638" t="s">
        <v>139</v>
      </c>
      <c r="J638" t="s">
        <v>53</v>
      </c>
      <c r="K638">
        <v>4</v>
      </c>
      <c r="L638">
        <v>48302</v>
      </c>
      <c r="M638">
        <v>5</v>
      </c>
      <c r="N638">
        <v>9660.4</v>
      </c>
      <c r="O638">
        <v>33038.57</v>
      </c>
      <c r="P638">
        <v>179</v>
      </c>
      <c r="Q638">
        <v>216765.17</v>
      </c>
      <c r="R638" t="s">
        <v>45</v>
      </c>
      <c r="S638" t="s">
        <v>63</v>
      </c>
      <c r="T638" t="s">
        <v>103</v>
      </c>
      <c r="U638" t="s">
        <v>103</v>
      </c>
      <c r="V638" t="s">
        <v>57</v>
      </c>
      <c r="W638">
        <v>2</v>
      </c>
      <c r="X638" t="s">
        <v>47</v>
      </c>
      <c r="Y638">
        <v>2</v>
      </c>
      <c r="Z638" t="s">
        <v>47</v>
      </c>
    </row>
    <row r="639" spans="1:26" x14ac:dyDescent="0.3">
      <c r="A639" t="s">
        <v>1188</v>
      </c>
      <c r="B639" s="2">
        <v>45899</v>
      </c>
      <c r="C639" t="s">
        <v>1189</v>
      </c>
      <c r="D639" t="s">
        <v>66</v>
      </c>
      <c r="E639" t="s">
        <v>43</v>
      </c>
      <c r="F639">
        <v>38</v>
      </c>
      <c r="G639" t="s">
        <v>51</v>
      </c>
      <c r="H639" t="s">
        <v>52</v>
      </c>
      <c r="I639" t="s">
        <v>51</v>
      </c>
      <c r="J639" t="s">
        <v>201</v>
      </c>
      <c r="K639">
        <v>2</v>
      </c>
      <c r="L639">
        <v>48941</v>
      </c>
      <c r="M639">
        <v>20</v>
      </c>
      <c r="N639">
        <v>19576.400000000001</v>
      </c>
      <c r="O639">
        <v>14095.01</v>
      </c>
      <c r="P639">
        <v>140</v>
      </c>
      <c r="Q639">
        <v>92540.61</v>
      </c>
      <c r="R639" t="s">
        <v>33</v>
      </c>
      <c r="S639" t="s">
        <v>34</v>
      </c>
      <c r="T639" t="s">
        <v>46</v>
      </c>
      <c r="U639" t="s">
        <v>36</v>
      </c>
      <c r="V639" t="s">
        <v>37</v>
      </c>
      <c r="W639">
        <v>3</v>
      </c>
      <c r="X639" t="s">
        <v>47</v>
      </c>
      <c r="Y639">
        <v>1</v>
      </c>
      <c r="Z639" t="s">
        <v>47</v>
      </c>
    </row>
    <row r="640" spans="1:26" x14ac:dyDescent="0.3">
      <c r="A640" t="s">
        <v>1190</v>
      </c>
      <c r="B640" s="2">
        <v>45808</v>
      </c>
      <c r="C640" t="s">
        <v>1191</v>
      </c>
      <c r="D640" t="s">
        <v>50</v>
      </c>
      <c r="E640" t="s">
        <v>29</v>
      </c>
      <c r="F640">
        <v>60</v>
      </c>
      <c r="G640" t="s">
        <v>44</v>
      </c>
      <c r="H640" t="s">
        <v>31</v>
      </c>
      <c r="I640" t="s">
        <v>44</v>
      </c>
      <c r="J640" t="s">
        <v>201</v>
      </c>
      <c r="K640">
        <v>3</v>
      </c>
      <c r="L640">
        <v>2310</v>
      </c>
      <c r="M640">
        <v>0</v>
      </c>
      <c r="N640">
        <v>0</v>
      </c>
      <c r="O640">
        <v>1247.4000000000001</v>
      </c>
      <c r="P640">
        <v>179</v>
      </c>
      <c r="Q640">
        <v>8356.4</v>
      </c>
      <c r="R640" t="s">
        <v>54</v>
      </c>
      <c r="S640" t="s">
        <v>34</v>
      </c>
      <c r="T640" t="s">
        <v>70</v>
      </c>
      <c r="U640" t="s">
        <v>56</v>
      </c>
      <c r="V640" t="s">
        <v>57</v>
      </c>
      <c r="W640">
        <v>8</v>
      </c>
      <c r="X640" t="s">
        <v>47</v>
      </c>
      <c r="Y640">
        <v>2</v>
      </c>
      <c r="Z640" t="s">
        <v>91</v>
      </c>
    </row>
    <row r="641" spans="1:26" x14ac:dyDescent="0.3">
      <c r="A641" t="s">
        <v>1192</v>
      </c>
      <c r="B641" s="2">
        <v>45947</v>
      </c>
      <c r="C641" t="s">
        <v>940</v>
      </c>
      <c r="D641" t="s">
        <v>108</v>
      </c>
      <c r="E641" t="s">
        <v>29</v>
      </c>
      <c r="F641">
        <v>51</v>
      </c>
      <c r="G641" t="s">
        <v>51</v>
      </c>
      <c r="H641" t="s">
        <v>52</v>
      </c>
      <c r="I641" t="s">
        <v>51</v>
      </c>
      <c r="J641" t="s">
        <v>69</v>
      </c>
      <c r="K641">
        <v>3</v>
      </c>
      <c r="L641">
        <v>23961</v>
      </c>
      <c r="M641">
        <v>15</v>
      </c>
      <c r="N641">
        <v>10782.45</v>
      </c>
      <c r="O641">
        <v>10998.1</v>
      </c>
      <c r="P641">
        <v>321</v>
      </c>
      <c r="Q641">
        <v>72419.649999999994</v>
      </c>
      <c r="R641" t="s">
        <v>54</v>
      </c>
      <c r="S641" t="s">
        <v>34</v>
      </c>
      <c r="T641" t="s">
        <v>84</v>
      </c>
      <c r="U641" t="s">
        <v>85</v>
      </c>
      <c r="V641" t="s">
        <v>86</v>
      </c>
      <c r="W641">
        <v>5</v>
      </c>
      <c r="X641" t="s">
        <v>47</v>
      </c>
      <c r="Y641">
        <v>3</v>
      </c>
      <c r="Z641" t="s">
        <v>39</v>
      </c>
    </row>
    <row r="642" spans="1:26" x14ac:dyDescent="0.3">
      <c r="A642" t="s">
        <v>1193</v>
      </c>
      <c r="B642" s="2">
        <v>45798</v>
      </c>
      <c r="C642" t="s">
        <v>1194</v>
      </c>
      <c r="D642" t="s">
        <v>42</v>
      </c>
      <c r="E642" t="s">
        <v>43</v>
      </c>
      <c r="F642">
        <v>46</v>
      </c>
      <c r="G642" t="s">
        <v>51</v>
      </c>
      <c r="H642" t="s">
        <v>52</v>
      </c>
      <c r="I642" t="s">
        <v>51</v>
      </c>
      <c r="J642" t="s">
        <v>32</v>
      </c>
      <c r="K642">
        <v>1</v>
      </c>
      <c r="L642">
        <v>4128</v>
      </c>
      <c r="M642">
        <v>15</v>
      </c>
      <c r="N642">
        <v>619.20000000000005</v>
      </c>
      <c r="O642">
        <v>631.58000000000004</v>
      </c>
      <c r="P642">
        <v>70</v>
      </c>
      <c r="Q642">
        <v>4210.38</v>
      </c>
      <c r="R642" t="s">
        <v>33</v>
      </c>
      <c r="S642" t="s">
        <v>34</v>
      </c>
      <c r="T642" t="s">
        <v>95</v>
      </c>
      <c r="U642" t="s">
        <v>96</v>
      </c>
      <c r="V642" t="s">
        <v>57</v>
      </c>
      <c r="W642">
        <v>6</v>
      </c>
      <c r="X642" t="s">
        <v>38</v>
      </c>
      <c r="Y642">
        <v>4</v>
      </c>
      <c r="Z642" t="s">
        <v>58</v>
      </c>
    </row>
    <row r="643" spans="1:26" x14ac:dyDescent="0.3">
      <c r="A643" t="s">
        <v>1195</v>
      </c>
      <c r="B643" s="2">
        <v>45893</v>
      </c>
      <c r="C643" t="s">
        <v>538</v>
      </c>
      <c r="D643" t="s">
        <v>111</v>
      </c>
      <c r="E643" t="s">
        <v>29</v>
      </c>
      <c r="F643">
        <v>51</v>
      </c>
      <c r="G643" t="s">
        <v>51</v>
      </c>
      <c r="H643" t="s">
        <v>52</v>
      </c>
      <c r="I643" t="s">
        <v>51</v>
      </c>
      <c r="J643" t="s">
        <v>69</v>
      </c>
      <c r="K643">
        <v>3</v>
      </c>
      <c r="L643">
        <v>11238</v>
      </c>
      <c r="M643">
        <v>10</v>
      </c>
      <c r="N643">
        <v>3371.4</v>
      </c>
      <c r="O643">
        <v>5461.67</v>
      </c>
      <c r="P643">
        <v>201</v>
      </c>
      <c r="Q643">
        <v>36005.269999999997</v>
      </c>
      <c r="R643" t="s">
        <v>83</v>
      </c>
      <c r="S643" t="s">
        <v>63</v>
      </c>
      <c r="T643" t="s">
        <v>35</v>
      </c>
      <c r="U643" t="s">
        <v>36</v>
      </c>
      <c r="V643" t="s">
        <v>37</v>
      </c>
      <c r="W643">
        <v>5</v>
      </c>
      <c r="X643" t="s">
        <v>38</v>
      </c>
      <c r="Y643">
        <v>1</v>
      </c>
      <c r="Z643" t="s">
        <v>58</v>
      </c>
    </row>
    <row r="644" spans="1:26" x14ac:dyDescent="0.3">
      <c r="A644" t="s">
        <v>1196</v>
      </c>
      <c r="B644" s="2">
        <v>46014</v>
      </c>
      <c r="C644" t="s">
        <v>243</v>
      </c>
      <c r="D644" t="s">
        <v>80</v>
      </c>
      <c r="E644" t="s">
        <v>29</v>
      </c>
      <c r="F644">
        <v>38</v>
      </c>
      <c r="G644" t="s">
        <v>30</v>
      </c>
      <c r="H644" t="s">
        <v>31</v>
      </c>
      <c r="I644" t="s">
        <v>30</v>
      </c>
      <c r="J644" t="s">
        <v>69</v>
      </c>
      <c r="K644">
        <v>2</v>
      </c>
      <c r="L644">
        <v>46694</v>
      </c>
      <c r="M644">
        <v>10</v>
      </c>
      <c r="N644">
        <v>9338.7999999999993</v>
      </c>
      <c r="O644">
        <v>15128.86</v>
      </c>
      <c r="P644">
        <v>86</v>
      </c>
      <c r="Q644">
        <v>99264.06</v>
      </c>
      <c r="R644" t="s">
        <v>83</v>
      </c>
      <c r="S644" t="s">
        <v>34</v>
      </c>
      <c r="T644" t="s">
        <v>76</v>
      </c>
      <c r="U644" t="s">
        <v>77</v>
      </c>
      <c r="V644" t="s">
        <v>57</v>
      </c>
      <c r="W644">
        <v>6</v>
      </c>
      <c r="X644" t="s">
        <v>38</v>
      </c>
      <c r="Y644">
        <v>4</v>
      </c>
      <c r="Z644" t="s">
        <v>91</v>
      </c>
    </row>
    <row r="645" spans="1:26" x14ac:dyDescent="0.3">
      <c r="A645" t="s">
        <v>1197</v>
      </c>
      <c r="B645" s="2">
        <v>46049</v>
      </c>
      <c r="C645" t="s">
        <v>1198</v>
      </c>
      <c r="D645" t="s">
        <v>61</v>
      </c>
      <c r="E645" t="s">
        <v>29</v>
      </c>
      <c r="F645">
        <v>35</v>
      </c>
      <c r="G645" t="s">
        <v>94</v>
      </c>
      <c r="H645" t="s">
        <v>31</v>
      </c>
      <c r="I645" t="s">
        <v>94</v>
      </c>
      <c r="J645" t="s">
        <v>62</v>
      </c>
      <c r="K645">
        <v>5</v>
      </c>
      <c r="L645">
        <v>34344</v>
      </c>
      <c r="M645">
        <v>20</v>
      </c>
      <c r="N645">
        <v>34344</v>
      </c>
      <c r="O645">
        <v>24727.68</v>
      </c>
      <c r="P645">
        <v>473</v>
      </c>
      <c r="Q645">
        <v>162576.68</v>
      </c>
      <c r="R645" t="s">
        <v>33</v>
      </c>
      <c r="S645" t="s">
        <v>63</v>
      </c>
      <c r="T645" t="s">
        <v>103</v>
      </c>
      <c r="U645" t="s">
        <v>103</v>
      </c>
      <c r="V645" t="s">
        <v>57</v>
      </c>
      <c r="W645">
        <v>5</v>
      </c>
      <c r="X645" t="s">
        <v>47</v>
      </c>
      <c r="Y645">
        <v>5</v>
      </c>
      <c r="Z645" t="s">
        <v>58</v>
      </c>
    </row>
    <row r="646" spans="1:26" x14ac:dyDescent="0.3">
      <c r="A646" t="s">
        <v>1199</v>
      </c>
      <c r="B646" s="2">
        <v>46107</v>
      </c>
      <c r="C646" t="s">
        <v>1200</v>
      </c>
      <c r="D646" t="s">
        <v>42</v>
      </c>
      <c r="E646" t="s">
        <v>43</v>
      </c>
      <c r="F646">
        <v>22</v>
      </c>
      <c r="G646" t="s">
        <v>134</v>
      </c>
      <c r="H646" t="s">
        <v>31</v>
      </c>
      <c r="I646" t="s">
        <v>134</v>
      </c>
      <c r="J646" t="s">
        <v>75</v>
      </c>
      <c r="K646">
        <v>2</v>
      </c>
      <c r="L646">
        <v>36921</v>
      </c>
      <c r="M646">
        <v>20</v>
      </c>
      <c r="N646">
        <v>14768.4</v>
      </c>
      <c r="O646">
        <v>10633.25</v>
      </c>
      <c r="P646">
        <v>288</v>
      </c>
      <c r="Q646">
        <v>69994.850000000006</v>
      </c>
      <c r="R646" t="s">
        <v>54</v>
      </c>
      <c r="S646" t="s">
        <v>63</v>
      </c>
      <c r="T646" t="s">
        <v>55</v>
      </c>
      <c r="U646" t="s">
        <v>56</v>
      </c>
      <c r="V646" t="s">
        <v>57</v>
      </c>
      <c r="W646">
        <v>7</v>
      </c>
      <c r="X646" t="s">
        <v>47</v>
      </c>
      <c r="Y646">
        <v>5</v>
      </c>
      <c r="Z646" t="s">
        <v>58</v>
      </c>
    </row>
    <row r="647" spans="1:26" x14ac:dyDescent="0.3">
      <c r="A647" t="s">
        <v>1201</v>
      </c>
      <c r="B647" s="2">
        <v>45830</v>
      </c>
      <c r="C647" t="s">
        <v>310</v>
      </c>
      <c r="D647" t="s">
        <v>61</v>
      </c>
      <c r="E647" t="s">
        <v>29</v>
      </c>
      <c r="F647">
        <v>34</v>
      </c>
      <c r="G647" t="s">
        <v>30</v>
      </c>
      <c r="H647" t="s">
        <v>31</v>
      </c>
      <c r="I647" t="s">
        <v>30</v>
      </c>
      <c r="J647" t="s">
        <v>112</v>
      </c>
      <c r="K647">
        <v>3</v>
      </c>
      <c r="L647">
        <v>4374</v>
      </c>
      <c r="M647">
        <v>20</v>
      </c>
      <c r="N647">
        <v>2624.4</v>
      </c>
      <c r="O647">
        <v>1889.57</v>
      </c>
      <c r="P647">
        <v>36</v>
      </c>
      <c r="Q647">
        <v>12423.17</v>
      </c>
      <c r="R647" t="s">
        <v>83</v>
      </c>
      <c r="S647" t="s">
        <v>63</v>
      </c>
      <c r="T647" t="s">
        <v>55</v>
      </c>
      <c r="U647" t="s">
        <v>56</v>
      </c>
      <c r="V647" t="s">
        <v>57</v>
      </c>
      <c r="W647">
        <v>9</v>
      </c>
      <c r="X647" t="s">
        <v>47</v>
      </c>
      <c r="Y647">
        <v>1</v>
      </c>
      <c r="Z647" t="s">
        <v>91</v>
      </c>
    </row>
    <row r="648" spans="1:26" x14ac:dyDescent="0.3">
      <c r="A648" t="s">
        <v>1202</v>
      </c>
      <c r="B648" s="2">
        <v>45948</v>
      </c>
      <c r="C648" t="s">
        <v>1152</v>
      </c>
      <c r="D648" t="s">
        <v>80</v>
      </c>
      <c r="E648" t="s">
        <v>29</v>
      </c>
      <c r="F648">
        <v>24</v>
      </c>
      <c r="G648" t="s">
        <v>74</v>
      </c>
      <c r="H648" t="s">
        <v>31</v>
      </c>
      <c r="I648" t="s">
        <v>74</v>
      </c>
      <c r="J648" t="s">
        <v>102</v>
      </c>
      <c r="K648">
        <v>5</v>
      </c>
      <c r="L648">
        <v>31044</v>
      </c>
      <c r="M648">
        <v>20</v>
      </c>
      <c r="N648">
        <v>31044</v>
      </c>
      <c r="O648">
        <v>22351.68</v>
      </c>
      <c r="P648">
        <v>403</v>
      </c>
      <c r="Q648">
        <v>146930.68</v>
      </c>
      <c r="R648" t="s">
        <v>83</v>
      </c>
      <c r="S648" t="s">
        <v>34</v>
      </c>
      <c r="T648" t="s">
        <v>76</v>
      </c>
      <c r="U648" t="s">
        <v>77</v>
      </c>
      <c r="V648" t="s">
        <v>57</v>
      </c>
      <c r="W648">
        <v>5</v>
      </c>
      <c r="X648" t="s">
        <v>47</v>
      </c>
      <c r="Y648">
        <v>2</v>
      </c>
      <c r="Z648" t="s">
        <v>47</v>
      </c>
    </row>
    <row r="649" spans="1:26" x14ac:dyDescent="0.3">
      <c r="A649" t="s">
        <v>1203</v>
      </c>
      <c r="B649" s="2">
        <v>45786</v>
      </c>
      <c r="C649" t="s">
        <v>184</v>
      </c>
      <c r="D649" t="s">
        <v>111</v>
      </c>
      <c r="E649" t="s">
        <v>43</v>
      </c>
      <c r="F649">
        <v>57</v>
      </c>
      <c r="G649" t="s">
        <v>67</v>
      </c>
      <c r="H649" t="s">
        <v>68</v>
      </c>
      <c r="I649" t="s">
        <v>67</v>
      </c>
      <c r="J649" t="s">
        <v>69</v>
      </c>
      <c r="K649">
        <v>3</v>
      </c>
      <c r="L649">
        <v>43444</v>
      </c>
      <c r="M649">
        <v>0</v>
      </c>
      <c r="N649">
        <v>0</v>
      </c>
      <c r="O649">
        <v>23459.759999999998</v>
      </c>
      <c r="P649">
        <v>238</v>
      </c>
      <c r="Q649">
        <v>154029.76000000001</v>
      </c>
      <c r="R649" t="s">
        <v>33</v>
      </c>
      <c r="S649" t="s">
        <v>34</v>
      </c>
      <c r="T649" t="s">
        <v>46</v>
      </c>
      <c r="U649" t="s">
        <v>36</v>
      </c>
      <c r="V649" t="s">
        <v>37</v>
      </c>
      <c r="W649">
        <v>10</v>
      </c>
      <c r="X649" t="s">
        <v>38</v>
      </c>
      <c r="Y649">
        <v>4</v>
      </c>
      <c r="Z649" t="s">
        <v>91</v>
      </c>
    </row>
    <row r="650" spans="1:26" x14ac:dyDescent="0.3">
      <c r="A650" t="s">
        <v>1204</v>
      </c>
      <c r="B650" s="2">
        <v>46059</v>
      </c>
      <c r="C650" t="s">
        <v>971</v>
      </c>
      <c r="D650" t="s">
        <v>66</v>
      </c>
      <c r="E650" t="s">
        <v>29</v>
      </c>
      <c r="F650">
        <v>41</v>
      </c>
      <c r="G650" t="s">
        <v>44</v>
      </c>
      <c r="H650" t="s">
        <v>31</v>
      </c>
      <c r="I650" t="s">
        <v>44</v>
      </c>
      <c r="J650" t="s">
        <v>32</v>
      </c>
      <c r="K650">
        <v>2</v>
      </c>
      <c r="L650">
        <v>38898</v>
      </c>
      <c r="M650">
        <v>10</v>
      </c>
      <c r="N650">
        <v>7779.6</v>
      </c>
      <c r="O650">
        <v>12602.95</v>
      </c>
      <c r="P650">
        <v>277</v>
      </c>
      <c r="Q650">
        <v>82896.350000000006</v>
      </c>
      <c r="R650" t="s">
        <v>33</v>
      </c>
      <c r="S650" t="s">
        <v>34</v>
      </c>
      <c r="T650" t="s">
        <v>55</v>
      </c>
      <c r="U650" t="s">
        <v>56</v>
      </c>
      <c r="V650" t="s">
        <v>57</v>
      </c>
      <c r="W650">
        <v>10</v>
      </c>
      <c r="X650" t="s">
        <v>38</v>
      </c>
      <c r="Y650">
        <v>1</v>
      </c>
      <c r="Z650" t="s">
        <v>91</v>
      </c>
    </row>
    <row r="651" spans="1:26" x14ac:dyDescent="0.3">
      <c r="A651" t="s">
        <v>1205</v>
      </c>
      <c r="B651" s="2">
        <v>45773</v>
      </c>
      <c r="C651" t="s">
        <v>1097</v>
      </c>
      <c r="D651" t="s">
        <v>42</v>
      </c>
      <c r="E651" t="s">
        <v>43</v>
      </c>
      <c r="F651">
        <v>51</v>
      </c>
      <c r="G651" t="s">
        <v>90</v>
      </c>
      <c r="H651" t="s">
        <v>31</v>
      </c>
      <c r="I651" t="s">
        <v>90</v>
      </c>
      <c r="J651" t="s">
        <v>32</v>
      </c>
      <c r="K651">
        <v>3</v>
      </c>
      <c r="L651">
        <v>25634</v>
      </c>
      <c r="M651">
        <v>20</v>
      </c>
      <c r="N651">
        <v>15380.4</v>
      </c>
      <c r="O651">
        <v>11073.89</v>
      </c>
      <c r="P651">
        <v>490</v>
      </c>
      <c r="Q651">
        <v>73085.490000000005</v>
      </c>
      <c r="R651" t="s">
        <v>33</v>
      </c>
      <c r="S651" t="s">
        <v>34</v>
      </c>
      <c r="T651" t="s">
        <v>70</v>
      </c>
      <c r="U651" t="s">
        <v>56</v>
      </c>
      <c r="V651" t="s">
        <v>57</v>
      </c>
      <c r="W651">
        <v>10</v>
      </c>
      <c r="X651" t="s">
        <v>38</v>
      </c>
      <c r="Y651">
        <v>1</v>
      </c>
      <c r="Z651" t="s">
        <v>47</v>
      </c>
    </row>
    <row r="652" spans="1:26" x14ac:dyDescent="0.3">
      <c r="A652" t="s">
        <v>1206</v>
      </c>
      <c r="B652" s="2">
        <v>45872</v>
      </c>
      <c r="C652" t="s">
        <v>1207</v>
      </c>
      <c r="D652" t="s">
        <v>108</v>
      </c>
      <c r="E652" t="s">
        <v>43</v>
      </c>
      <c r="F652">
        <v>36</v>
      </c>
      <c r="G652" t="s">
        <v>74</v>
      </c>
      <c r="H652" t="s">
        <v>31</v>
      </c>
      <c r="I652" t="s">
        <v>74</v>
      </c>
      <c r="J652" t="s">
        <v>69</v>
      </c>
      <c r="K652">
        <v>1</v>
      </c>
      <c r="L652">
        <v>18070</v>
      </c>
      <c r="M652">
        <v>5</v>
      </c>
      <c r="N652">
        <v>903.5</v>
      </c>
      <c r="O652">
        <v>3089.97</v>
      </c>
      <c r="P652">
        <v>495</v>
      </c>
      <c r="Q652">
        <v>20751.47</v>
      </c>
      <c r="R652" t="s">
        <v>83</v>
      </c>
      <c r="S652" t="s">
        <v>34</v>
      </c>
      <c r="T652" t="s">
        <v>70</v>
      </c>
      <c r="U652" t="s">
        <v>56</v>
      </c>
      <c r="V652" t="s">
        <v>57</v>
      </c>
      <c r="W652">
        <v>6</v>
      </c>
      <c r="X652" t="s">
        <v>38</v>
      </c>
      <c r="Y652">
        <v>4</v>
      </c>
      <c r="Z652" t="s">
        <v>39</v>
      </c>
    </row>
    <row r="653" spans="1:26" x14ac:dyDescent="0.3">
      <c r="A653" t="s">
        <v>1208</v>
      </c>
      <c r="B653" s="2">
        <v>46090</v>
      </c>
      <c r="C653" t="s">
        <v>528</v>
      </c>
      <c r="D653" t="s">
        <v>61</v>
      </c>
      <c r="E653" t="s">
        <v>43</v>
      </c>
      <c r="F653">
        <v>56</v>
      </c>
      <c r="G653" t="s">
        <v>44</v>
      </c>
      <c r="H653" t="s">
        <v>31</v>
      </c>
      <c r="I653" t="s">
        <v>44</v>
      </c>
      <c r="J653" t="s">
        <v>62</v>
      </c>
      <c r="K653">
        <v>1</v>
      </c>
      <c r="L653">
        <v>25503</v>
      </c>
      <c r="M653">
        <v>15</v>
      </c>
      <c r="N653">
        <v>3825.45</v>
      </c>
      <c r="O653">
        <v>3901.96</v>
      </c>
      <c r="P653">
        <v>372</v>
      </c>
      <c r="Q653">
        <v>25951.51</v>
      </c>
      <c r="R653" t="s">
        <v>83</v>
      </c>
      <c r="S653" t="s">
        <v>63</v>
      </c>
      <c r="T653" t="s">
        <v>70</v>
      </c>
      <c r="U653" t="s">
        <v>56</v>
      </c>
      <c r="V653" t="s">
        <v>57</v>
      </c>
      <c r="W653">
        <v>1</v>
      </c>
      <c r="X653" t="s">
        <v>47</v>
      </c>
      <c r="Y653">
        <v>2</v>
      </c>
      <c r="Z653" t="s">
        <v>47</v>
      </c>
    </row>
    <row r="654" spans="1:26" x14ac:dyDescent="0.3">
      <c r="A654" t="s">
        <v>1209</v>
      </c>
      <c r="B654" s="2">
        <v>45838</v>
      </c>
      <c r="C654" t="s">
        <v>438</v>
      </c>
      <c r="D654" t="s">
        <v>61</v>
      </c>
      <c r="E654" t="s">
        <v>29</v>
      </c>
      <c r="F654">
        <v>48</v>
      </c>
      <c r="G654" t="s">
        <v>90</v>
      </c>
      <c r="H654" t="s">
        <v>31</v>
      </c>
      <c r="I654" t="s">
        <v>90</v>
      </c>
      <c r="J654" t="s">
        <v>53</v>
      </c>
      <c r="K654">
        <v>3</v>
      </c>
      <c r="L654">
        <v>23347</v>
      </c>
      <c r="M654">
        <v>20</v>
      </c>
      <c r="N654">
        <v>14008.2</v>
      </c>
      <c r="O654">
        <v>10085.9</v>
      </c>
      <c r="P654">
        <v>18</v>
      </c>
      <c r="Q654">
        <v>66136.7</v>
      </c>
      <c r="R654" t="s">
        <v>83</v>
      </c>
      <c r="S654" t="s">
        <v>34</v>
      </c>
      <c r="T654" t="s">
        <v>76</v>
      </c>
      <c r="U654" t="s">
        <v>77</v>
      </c>
      <c r="V654" t="s">
        <v>57</v>
      </c>
      <c r="W654">
        <v>4</v>
      </c>
      <c r="X654" t="s">
        <v>38</v>
      </c>
      <c r="Y654">
        <v>2</v>
      </c>
      <c r="Z654" t="s">
        <v>91</v>
      </c>
    </row>
    <row r="655" spans="1:26" x14ac:dyDescent="0.3">
      <c r="A655" t="s">
        <v>1210</v>
      </c>
      <c r="B655" s="2">
        <v>45776</v>
      </c>
      <c r="C655" t="s">
        <v>408</v>
      </c>
      <c r="D655" t="s">
        <v>73</v>
      </c>
      <c r="E655" t="s">
        <v>43</v>
      </c>
      <c r="F655">
        <v>37</v>
      </c>
      <c r="G655" t="s">
        <v>139</v>
      </c>
      <c r="H655" t="s">
        <v>31</v>
      </c>
      <c r="I655" t="s">
        <v>139</v>
      </c>
      <c r="J655" t="s">
        <v>201</v>
      </c>
      <c r="K655">
        <v>3</v>
      </c>
      <c r="L655">
        <v>34998</v>
      </c>
      <c r="M655">
        <v>0</v>
      </c>
      <c r="N655">
        <v>0</v>
      </c>
      <c r="O655">
        <v>18898.919999999998</v>
      </c>
      <c r="P655">
        <v>218</v>
      </c>
      <c r="Q655">
        <v>124110.92</v>
      </c>
      <c r="R655" t="s">
        <v>83</v>
      </c>
      <c r="S655" t="s">
        <v>34</v>
      </c>
      <c r="T655" t="s">
        <v>55</v>
      </c>
      <c r="U655" t="s">
        <v>56</v>
      </c>
      <c r="V655" t="s">
        <v>57</v>
      </c>
      <c r="W655">
        <v>3</v>
      </c>
      <c r="X655" t="s">
        <v>47</v>
      </c>
      <c r="Y655">
        <v>5</v>
      </c>
      <c r="Z655" t="s">
        <v>47</v>
      </c>
    </row>
    <row r="656" spans="1:26" x14ac:dyDescent="0.3">
      <c r="A656" t="s">
        <v>1211</v>
      </c>
      <c r="B656" s="2">
        <v>45768</v>
      </c>
      <c r="C656" t="s">
        <v>425</v>
      </c>
      <c r="D656" t="s">
        <v>73</v>
      </c>
      <c r="E656" t="s">
        <v>43</v>
      </c>
      <c r="F656">
        <v>60</v>
      </c>
      <c r="G656" t="s">
        <v>99</v>
      </c>
      <c r="H656" t="s">
        <v>52</v>
      </c>
      <c r="I656" t="s">
        <v>99</v>
      </c>
      <c r="J656" t="s">
        <v>112</v>
      </c>
      <c r="K656">
        <v>2</v>
      </c>
      <c r="L656">
        <v>20237</v>
      </c>
      <c r="M656">
        <v>20</v>
      </c>
      <c r="N656">
        <v>8094.8</v>
      </c>
      <c r="O656">
        <v>5828.26</v>
      </c>
      <c r="P656">
        <v>329</v>
      </c>
      <c r="Q656">
        <v>38536.46</v>
      </c>
      <c r="R656" t="s">
        <v>54</v>
      </c>
      <c r="S656" t="s">
        <v>34</v>
      </c>
      <c r="T656" t="s">
        <v>76</v>
      </c>
      <c r="U656" t="s">
        <v>77</v>
      </c>
      <c r="V656" t="s">
        <v>57</v>
      </c>
      <c r="W656">
        <v>3</v>
      </c>
      <c r="X656" t="s">
        <v>47</v>
      </c>
      <c r="Y656">
        <v>4</v>
      </c>
      <c r="Z656" t="s">
        <v>91</v>
      </c>
    </row>
    <row r="657" spans="1:26" x14ac:dyDescent="0.3">
      <c r="A657" t="s">
        <v>1212</v>
      </c>
      <c r="B657" s="2">
        <v>45933</v>
      </c>
      <c r="C657" t="s">
        <v>129</v>
      </c>
      <c r="D657" t="s">
        <v>28</v>
      </c>
      <c r="E657" t="s">
        <v>29</v>
      </c>
      <c r="F657">
        <v>30</v>
      </c>
      <c r="G657" t="s">
        <v>134</v>
      </c>
      <c r="H657" t="s">
        <v>31</v>
      </c>
      <c r="I657" t="s">
        <v>134</v>
      </c>
      <c r="J657" t="s">
        <v>32</v>
      </c>
      <c r="K657">
        <v>5</v>
      </c>
      <c r="L657">
        <v>48600</v>
      </c>
      <c r="M657">
        <v>15</v>
      </c>
      <c r="N657">
        <v>36450</v>
      </c>
      <c r="O657">
        <v>37179</v>
      </c>
      <c r="P657">
        <v>201</v>
      </c>
      <c r="Q657">
        <v>243930</v>
      </c>
      <c r="R657" t="s">
        <v>83</v>
      </c>
      <c r="S657" t="s">
        <v>63</v>
      </c>
      <c r="T657" t="s">
        <v>46</v>
      </c>
      <c r="U657" t="s">
        <v>36</v>
      </c>
      <c r="V657" t="s">
        <v>37</v>
      </c>
      <c r="W657">
        <v>8</v>
      </c>
      <c r="X657" t="s">
        <v>38</v>
      </c>
      <c r="Y657">
        <v>1</v>
      </c>
      <c r="Z657" t="s">
        <v>39</v>
      </c>
    </row>
    <row r="658" spans="1:26" x14ac:dyDescent="0.3">
      <c r="A658" t="s">
        <v>1213</v>
      </c>
      <c r="B658" s="2">
        <v>45941</v>
      </c>
      <c r="C658" t="s">
        <v>1214</v>
      </c>
      <c r="D658" t="s">
        <v>89</v>
      </c>
      <c r="E658" t="s">
        <v>29</v>
      </c>
      <c r="F658">
        <v>32</v>
      </c>
      <c r="G658" t="s">
        <v>30</v>
      </c>
      <c r="H658" t="s">
        <v>31</v>
      </c>
      <c r="I658" t="s">
        <v>30</v>
      </c>
      <c r="J658" t="s">
        <v>69</v>
      </c>
      <c r="K658">
        <v>5</v>
      </c>
      <c r="L658">
        <v>22607</v>
      </c>
      <c r="M658">
        <v>15</v>
      </c>
      <c r="N658">
        <v>16955.25</v>
      </c>
      <c r="O658">
        <v>17294.349999999999</v>
      </c>
      <c r="P658">
        <v>90</v>
      </c>
      <c r="Q658">
        <v>113464.1</v>
      </c>
      <c r="R658" t="s">
        <v>54</v>
      </c>
      <c r="S658" t="s">
        <v>34</v>
      </c>
      <c r="T658" t="s">
        <v>35</v>
      </c>
      <c r="U658" t="s">
        <v>36</v>
      </c>
      <c r="V658" t="s">
        <v>37</v>
      </c>
      <c r="W658">
        <v>6</v>
      </c>
      <c r="X658" t="s">
        <v>38</v>
      </c>
      <c r="Y658">
        <v>5</v>
      </c>
      <c r="Z658" t="s">
        <v>91</v>
      </c>
    </row>
    <row r="659" spans="1:26" x14ac:dyDescent="0.3">
      <c r="A659" t="s">
        <v>1215</v>
      </c>
      <c r="B659" s="2">
        <v>45935</v>
      </c>
      <c r="C659" t="s">
        <v>1216</v>
      </c>
      <c r="D659" t="s">
        <v>61</v>
      </c>
      <c r="E659" t="s">
        <v>43</v>
      </c>
      <c r="F659">
        <v>19</v>
      </c>
      <c r="G659" t="s">
        <v>94</v>
      </c>
      <c r="H659" t="s">
        <v>31</v>
      </c>
      <c r="I659" t="s">
        <v>94</v>
      </c>
      <c r="J659" t="s">
        <v>69</v>
      </c>
      <c r="K659">
        <v>3</v>
      </c>
      <c r="L659">
        <v>35119</v>
      </c>
      <c r="M659">
        <v>10</v>
      </c>
      <c r="N659">
        <v>10535.7</v>
      </c>
      <c r="O659">
        <v>17067.830000000002</v>
      </c>
      <c r="P659">
        <v>267</v>
      </c>
      <c r="Q659">
        <v>112156.13</v>
      </c>
      <c r="R659" t="s">
        <v>45</v>
      </c>
      <c r="S659" t="s">
        <v>34</v>
      </c>
      <c r="T659" t="s">
        <v>76</v>
      </c>
      <c r="U659" t="s">
        <v>77</v>
      </c>
      <c r="V659" t="s">
        <v>57</v>
      </c>
      <c r="W659">
        <v>5</v>
      </c>
      <c r="X659" t="s">
        <v>47</v>
      </c>
      <c r="Y659">
        <v>2</v>
      </c>
      <c r="Z659" t="s">
        <v>91</v>
      </c>
    </row>
    <row r="660" spans="1:26" x14ac:dyDescent="0.3">
      <c r="A660" t="s">
        <v>1217</v>
      </c>
      <c r="B660" s="2">
        <v>46119</v>
      </c>
      <c r="C660" t="s">
        <v>977</v>
      </c>
      <c r="D660" t="s">
        <v>28</v>
      </c>
      <c r="E660" t="s">
        <v>29</v>
      </c>
      <c r="F660">
        <v>49</v>
      </c>
      <c r="G660" t="s">
        <v>90</v>
      </c>
      <c r="H660" t="s">
        <v>31</v>
      </c>
      <c r="I660" t="s">
        <v>90</v>
      </c>
      <c r="J660" t="s">
        <v>62</v>
      </c>
      <c r="K660">
        <v>1</v>
      </c>
      <c r="L660">
        <v>23303</v>
      </c>
      <c r="M660">
        <v>10</v>
      </c>
      <c r="N660">
        <v>2330.3000000000002</v>
      </c>
      <c r="O660">
        <v>3775.09</v>
      </c>
      <c r="P660">
        <v>211</v>
      </c>
      <c r="Q660">
        <v>24958.79</v>
      </c>
      <c r="R660" t="s">
        <v>54</v>
      </c>
      <c r="S660" t="s">
        <v>34</v>
      </c>
      <c r="T660" t="s">
        <v>103</v>
      </c>
      <c r="U660" t="s">
        <v>103</v>
      </c>
      <c r="V660" t="s">
        <v>57</v>
      </c>
      <c r="W660">
        <v>10</v>
      </c>
      <c r="X660" t="s">
        <v>47</v>
      </c>
      <c r="Y660">
        <v>5</v>
      </c>
      <c r="Z660" t="s">
        <v>39</v>
      </c>
    </row>
    <row r="661" spans="1:26" x14ac:dyDescent="0.3">
      <c r="A661" t="s">
        <v>1218</v>
      </c>
      <c r="B661" s="2">
        <v>45839</v>
      </c>
      <c r="C661" t="s">
        <v>445</v>
      </c>
      <c r="D661" t="s">
        <v>61</v>
      </c>
      <c r="E661" t="s">
        <v>43</v>
      </c>
      <c r="F661">
        <v>47</v>
      </c>
      <c r="G661" t="s">
        <v>90</v>
      </c>
      <c r="H661" t="s">
        <v>31</v>
      </c>
      <c r="I661" t="s">
        <v>90</v>
      </c>
      <c r="J661" t="s">
        <v>150</v>
      </c>
      <c r="K661">
        <v>2</v>
      </c>
      <c r="L661">
        <v>47952</v>
      </c>
      <c r="M661">
        <v>20</v>
      </c>
      <c r="N661">
        <v>19180.8</v>
      </c>
      <c r="O661">
        <v>13810.18</v>
      </c>
      <c r="P661">
        <v>396</v>
      </c>
      <c r="Q661">
        <v>90929.38</v>
      </c>
      <c r="R661" t="s">
        <v>83</v>
      </c>
      <c r="S661" t="s">
        <v>34</v>
      </c>
      <c r="T661" t="s">
        <v>46</v>
      </c>
      <c r="U661" t="s">
        <v>36</v>
      </c>
      <c r="V661" t="s">
        <v>37</v>
      </c>
      <c r="W661">
        <v>6</v>
      </c>
      <c r="X661" t="s">
        <v>38</v>
      </c>
      <c r="Y661">
        <v>4</v>
      </c>
      <c r="Z661" t="s">
        <v>91</v>
      </c>
    </row>
    <row r="662" spans="1:26" x14ac:dyDescent="0.3">
      <c r="A662" t="s">
        <v>1219</v>
      </c>
      <c r="B662" s="2">
        <v>45945</v>
      </c>
      <c r="C662" t="s">
        <v>680</v>
      </c>
      <c r="D662" t="s">
        <v>66</v>
      </c>
      <c r="E662" t="s">
        <v>43</v>
      </c>
      <c r="F662">
        <v>56</v>
      </c>
      <c r="G662" t="s">
        <v>30</v>
      </c>
      <c r="H662" t="s">
        <v>31</v>
      </c>
      <c r="I662" t="s">
        <v>30</v>
      </c>
      <c r="J662" t="s">
        <v>102</v>
      </c>
      <c r="K662">
        <v>5</v>
      </c>
      <c r="L662">
        <v>32236</v>
      </c>
      <c r="M662">
        <v>0</v>
      </c>
      <c r="N662">
        <v>0</v>
      </c>
      <c r="O662">
        <v>29012.400000000001</v>
      </c>
      <c r="P662">
        <v>327</v>
      </c>
      <c r="Q662">
        <v>190519.4</v>
      </c>
      <c r="R662" t="s">
        <v>54</v>
      </c>
      <c r="S662" t="s">
        <v>34</v>
      </c>
      <c r="T662" t="s">
        <v>55</v>
      </c>
      <c r="U662" t="s">
        <v>56</v>
      </c>
      <c r="V662" t="s">
        <v>57</v>
      </c>
      <c r="W662">
        <v>6</v>
      </c>
      <c r="X662" t="s">
        <v>38</v>
      </c>
      <c r="Y662">
        <v>4</v>
      </c>
      <c r="Z662" t="s">
        <v>47</v>
      </c>
    </row>
    <row r="663" spans="1:26" x14ac:dyDescent="0.3">
      <c r="A663" t="s">
        <v>1220</v>
      </c>
      <c r="B663" s="2">
        <v>45933</v>
      </c>
      <c r="C663" t="s">
        <v>279</v>
      </c>
      <c r="D663" t="s">
        <v>80</v>
      </c>
      <c r="E663" t="s">
        <v>43</v>
      </c>
      <c r="F663">
        <v>29</v>
      </c>
      <c r="G663" t="s">
        <v>90</v>
      </c>
      <c r="H663" t="s">
        <v>31</v>
      </c>
      <c r="I663" t="s">
        <v>90</v>
      </c>
      <c r="J663" t="s">
        <v>201</v>
      </c>
      <c r="K663">
        <v>1</v>
      </c>
      <c r="L663">
        <v>35972</v>
      </c>
      <c r="M663">
        <v>5</v>
      </c>
      <c r="N663">
        <v>1798.6</v>
      </c>
      <c r="O663">
        <v>6151.21</v>
      </c>
      <c r="P663">
        <v>96</v>
      </c>
      <c r="Q663">
        <v>40420.61</v>
      </c>
      <c r="R663" t="s">
        <v>54</v>
      </c>
      <c r="S663" t="s">
        <v>34</v>
      </c>
      <c r="T663" t="s">
        <v>84</v>
      </c>
      <c r="U663" t="s">
        <v>85</v>
      </c>
      <c r="V663" t="s">
        <v>86</v>
      </c>
      <c r="W663">
        <v>10</v>
      </c>
      <c r="X663" t="s">
        <v>38</v>
      </c>
      <c r="Y663">
        <v>4</v>
      </c>
      <c r="Z663" t="s">
        <v>47</v>
      </c>
    </row>
    <row r="664" spans="1:26" x14ac:dyDescent="0.3">
      <c r="A664" t="s">
        <v>1221</v>
      </c>
      <c r="B664" s="2">
        <v>46074</v>
      </c>
      <c r="C664" t="s">
        <v>1222</v>
      </c>
      <c r="D664" t="s">
        <v>50</v>
      </c>
      <c r="E664" t="s">
        <v>29</v>
      </c>
      <c r="F664">
        <v>34</v>
      </c>
      <c r="G664" t="s">
        <v>134</v>
      </c>
      <c r="H664" t="s">
        <v>31</v>
      </c>
      <c r="I664" t="s">
        <v>134</v>
      </c>
      <c r="J664" t="s">
        <v>32</v>
      </c>
      <c r="K664">
        <v>3</v>
      </c>
      <c r="L664">
        <v>43548</v>
      </c>
      <c r="M664">
        <v>10</v>
      </c>
      <c r="N664">
        <v>13064.4</v>
      </c>
      <c r="O664">
        <v>21164.33</v>
      </c>
      <c r="P664">
        <v>336</v>
      </c>
      <c r="Q664">
        <v>139079.93</v>
      </c>
      <c r="R664" t="s">
        <v>54</v>
      </c>
      <c r="S664" t="s">
        <v>34</v>
      </c>
      <c r="T664" t="s">
        <v>70</v>
      </c>
      <c r="U664" t="s">
        <v>56</v>
      </c>
      <c r="V664" t="s">
        <v>57</v>
      </c>
      <c r="W664">
        <v>8</v>
      </c>
      <c r="X664" t="s">
        <v>38</v>
      </c>
      <c r="Y664">
        <v>4</v>
      </c>
      <c r="Z664" t="s">
        <v>47</v>
      </c>
    </row>
    <row r="665" spans="1:26" x14ac:dyDescent="0.3">
      <c r="A665" t="s">
        <v>1223</v>
      </c>
      <c r="B665" s="2">
        <v>46090</v>
      </c>
      <c r="C665" t="s">
        <v>1224</v>
      </c>
      <c r="D665" t="s">
        <v>108</v>
      </c>
      <c r="E665" t="s">
        <v>29</v>
      </c>
      <c r="F665">
        <v>54</v>
      </c>
      <c r="G665" t="s">
        <v>74</v>
      </c>
      <c r="H665" t="s">
        <v>31</v>
      </c>
      <c r="I665" t="s">
        <v>74</v>
      </c>
      <c r="J665" t="s">
        <v>75</v>
      </c>
      <c r="K665">
        <v>4</v>
      </c>
      <c r="L665">
        <v>7915</v>
      </c>
      <c r="M665">
        <v>10</v>
      </c>
      <c r="N665">
        <v>3166</v>
      </c>
      <c r="O665">
        <v>5128.92</v>
      </c>
      <c r="P665">
        <v>361</v>
      </c>
      <c r="Q665">
        <v>33983.919999999998</v>
      </c>
      <c r="R665" t="s">
        <v>33</v>
      </c>
      <c r="S665" t="s">
        <v>34</v>
      </c>
      <c r="T665" t="s">
        <v>84</v>
      </c>
      <c r="U665" t="s">
        <v>85</v>
      </c>
      <c r="V665" t="s">
        <v>86</v>
      </c>
      <c r="W665">
        <v>5</v>
      </c>
      <c r="X665" t="s">
        <v>47</v>
      </c>
      <c r="Y665">
        <v>1</v>
      </c>
      <c r="Z665" t="s">
        <v>47</v>
      </c>
    </row>
    <row r="666" spans="1:26" x14ac:dyDescent="0.3">
      <c r="A666" t="s">
        <v>1225</v>
      </c>
      <c r="B666" s="2">
        <v>45905</v>
      </c>
      <c r="C666" t="s">
        <v>1226</v>
      </c>
      <c r="D666" t="s">
        <v>89</v>
      </c>
      <c r="E666" t="s">
        <v>43</v>
      </c>
      <c r="F666">
        <v>45</v>
      </c>
      <c r="G666" t="s">
        <v>139</v>
      </c>
      <c r="H666" t="s">
        <v>31</v>
      </c>
      <c r="I666" t="s">
        <v>139</v>
      </c>
      <c r="J666" t="s">
        <v>102</v>
      </c>
      <c r="K666">
        <v>3</v>
      </c>
      <c r="L666">
        <v>3759</v>
      </c>
      <c r="M666">
        <v>0</v>
      </c>
      <c r="N666">
        <v>0</v>
      </c>
      <c r="O666">
        <v>2029.86</v>
      </c>
      <c r="P666">
        <v>446</v>
      </c>
      <c r="Q666">
        <v>13752.86</v>
      </c>
      <c r="R666" t="s">
        <v>45</v>
      </c>
      <c r="S666" t="s">
        <v>34</v>
      </c>
      <c r="T666" t="s">
        <v>76</v>
      </c>
      <c r="U666" t="s">
        <v>77</v>
      </c>
      <c r="V666" t="s">
        <v>57</v>
      </c>
      <c r="W666">
        <v>4</v>
      </c>
      <c r="X666" t="s">
        <v>38</v>
      </c>
      <c r="Y666">
        <v>4</v>
      </c>
      <c r="Z666" t="s">
        <v>39</v>
      </c>
    </row>
    <row r="667" spans="1:26" x14ac:dyDescent="0.3">
      <c r="A667" t="s">
        <v>1227</v>
      </c>
      <c r="B667" s="2">
        <v>46101</v>
      </c>
      <c r="C667" t="s">
        <v>1077</v>
      </c>
      <c r="D667" t="s">
        <v>42</v>
      </c>
      <c r="E667" t="s">
        <v>43</v>
      </c>
      <c r="F667">
        <v>18</v>
      </c>
      <c r="G667" t="s">
        <v>99</v>
      </c>
      <c r="H667" t="s">
        <v>52</v>
      </c>
      <c r="I667" t="s">
        <v>99</v>
      </c>
      <c r="J667" t="s">
        <v>125</v>
      </c>
      <c r="K667">
        <v>1</v>
      </c>
      <c r="L667">
        <v>17726</v>
      </c>
      <c r="M667">
        <v>10</v>
      </c>
      <c r="N667">
        <v>1772.6</v>
      </c>
      <c r="O667">
        <v>2871.61</v>
      </c>
      <c r="P667">
        <v>165</v>
      </c>
      <c r="Q667">
        <v>18990.009999999998</v>
      </c>
      <c r="R667" t="s">
        <v>33</v>
      </c>
      <c r="S667" t="s">
        <v>34</v>
      </c>
      <c r="T667" t="s">
        <v>55</v>
      </c>
      <c r="U667" t="s">
        <v>56</v>
      </c>
      <c r="V667" t="s">
        <v>57</v>
      </c>
      <c r="W667">
        <v>8</v>
      </c>
      <c r="X667" t="s">
        <v>47</v>
      </c>
      <c r="Y667">
        <v>5</v>
      </c>
      <c r="Z667" t="s">
        <v>47</v>
      </c>
    </row>
    <row r="668" spans="1:26" x14ac:dyDescent="0.3">
      <c r="A668" t="s">
        <v>1228</v>
      </c>
      <c r="B668" s="2">
        <v>45931</v>
      </c>
      <c r="C668" t="s">
        <v>1229</v>
      </c>
      <c r="D668" t="s">
        <v>61</v>
      </c>
      <c r="E668" t="s">
        <v>29</v>
      </c>
      <c r="F668">
        <v>56</v>
      </c>
      <c r="G668" t="s">
        <v>99</v>
      </c>
      <c r="H668" t="s">
        <v>52</v>
      </c>
      <c r="I668" t="s">
        <v>99</v>
      </c>
      <c r="J668" t="s">
        <v>53</v>
      </c>
      <c r="K668">
        <v>3</v>
      </c>
      <c r="L668">
        <v>13518</v>
      </c>
      <c r="M668">
        <v>0</v>
      </c>
      <c r="N668">
        <v>0</v>
      </c>
      <c r="O668">
        <v>7299.72</v>
      </c>
      <c r="P668">
        <v>220</v>
      </c>
      <c r="Q668">
        <v>48073.72</v>
      </c>
      <c r="R668" t="s">
        <v>33</v>
      </c>
      <c r="S668" t="s">
        <v>63</v>
      </c>
      <c r="T668" t="s">
        <v>70</v>
      </c>
      <c r="U668" t="s">
        <v>56</v>
      </c>
      <c r="V668" t="s">
        <v>57</v>
      </c>
      <c r="W668">
        <v>9</v>
      </c>
      <c r="X668" t="s">
        <v>38</v>
      </c>
      <c r="Y668">
        <v>4</v>
      </c>
      <c r="Z668" t="s">
        <v>47</v>
      </c>
    </row>
    <row r="669" spans="1:26" x14ac:dyDescent="0.3">
      <c r="A669" t="s">
        <v>1230</v>
      </c>
      <c r="B669" s="2">
        <v>46109</v>
      </c>
      <c r="C669" t="s">
        <v>1231</v>
      </c>
      <c r="D669" t="s">
        <v>89</v>
      </c>
      <c r="E669" t="s">
        <v>29</v>
      </c>
      <c r="F669">
        <v>43</v>
      </c>
      <c r="G669" t="s">
        <v>30</v>
      </c>
      <c r="H669" t="s">
        <v>31</v>
      </c>
      <c r="I669" t="s">
        <v>30</v>
      </c>
      <c r="J669" t="s">
        <v>150</v>
      </c>
      <c r="K669">
        <v>5</v>
      </c>
      <c r="L669">
        <v>48662</v>
      </c>
      <c r="M669">
        <v>0</v>
      </c>
      <c r="N669">
        <v>0</v>
      </c>
      <c r="O669">
        <v>43795.8</v>
      </c>
      <c r="P669">
        <v>270</v>
      </c>
      <c r="Q669">
        <v>287375.8</v>
      </c>
      <c r="R669" t="s">
        <v>45</v>
      </c>
      <c r="S669" t="s">
        <v>63</v>
      </c>
      <c r="T669" t="s">
        <v>35</v>
      </c>
      <c r="U669" t="s">
        <v>36</v>
      </c>
      <c r="V669" t="s">
        <v>37</v>
      </c>
      <c r="W669">
        <v>10</v>
      </c>
      <c r="X669" t="s">
        <v>38</v>
      </c>
      <c r="Y669">
        <v>5</v>
      </c>
      <c r="Z669" t="s">
        <v>39</v>
      </c>
    </row>
    <row r="670" spans="1:26" x14ac:dyDescent="0.3">
      <c r="A670" t="s">
        <v>1232</v>
      </c>
      <c r="B670" s="2">
        <v>45998</v>
      </c>
      <c r="C670" t="s">
        <v>851</v>
      </c>
      <c r="D670" t="s">
        <v>73</v>
      </c>
      <c r="E670" t="s">
        <v>43</v>
      </c>
      <c r="F670">
        <v>32</v>
      </c>
      <c r="G670" t="s">
        <v>44</v>
      </c>
      <c r="H670" t="s">
        <v>31</v>
      </c>
      <c r="I670" t="s">
        <v>44</v>
      </c>
      <c r="J670" t="s">
        <v>112</v>
      </c>
      <c r="K670">
        <v>4</v>
      </c>
      <c r="L670">
        <v>48803</v>
      </c>
      <c r="M670">
        <v>0</v>
      </c>
      <c r="N670">
        <v>0</v>
      </c>
      <c r="O670">
        <v>35138.160000000003</v>
      </c>
      <c r="P670">
        <v>191</v>
      </c>
      <c r="Q670">
        <v>230541.16</v>
      </c>
      <c r="R670" t="s">
        <v>83</v>
      </c>
      <c r="S670" t="s">
        <v>34</v>
      </c>
      <c r="T670" t="s">
        <v>35</v>
      </c>
      <c r="U670" t="s">
        <v>36</v>
      </c>
      <c r="V670" t="s">
        <v>37</v>
      </c>
      <c r="W670">
        <v>2</v>
      </c>
      <c r="X670" t="s">
        <v>38</v>
      </c>
      <c r="Y670">
        <v>2</v>
      </c>
      <c r="Z670" t="s">
        <v>47</v>
      </c>
    </row>
    <row r="671" spans="1:26" x14ac:dyDescent="0.3">
      <c r="A671" t="s">
        <v>1233</v>
      </c>
      <c r="B671" s="2">
        <v>46072</v>
      </c>
      <c r="C671" t="s">
        <v>1234</v>
      </c>
      <c r="D671" t="s">
        <v>61</v>
      </c>
      <c r="E671" t="s">
        <v>29</v>
      </c>
      <c r="F671">
        <v>33</v>
      </c>
      <c r="G671" t="s">
        <v>74</v>
      </c>
      <c r="H671" t="s">
        <v>31</v>
      </c>
      <c r="I671" t="s">
        <v>74</v>
      </c>
      <c r="J671" t="s">
        <v>62</v>
      </c>
      <c r="K671">
        <v>1</v>
      </c>
      <c r="L671">
        <v>20388</v>
      </c>
      <c r="M671">
        <v>0</v>
      </c>
      <c r="N671">
        <v>0</v>
      </c>
      <c r="O671">
        <v>3669.84</v>
      </c>
      <c r="P671">
        <v>118</v>
      </c>
      <c r="Q671">
        <v>24175.84</v>
      </c>
      <c r="R671" t="s">
        <v>54</v>
      </c>
      <c r="S671" t="s">
        <v>34</v>
      </c>
      <c r="T671" t="s">
        <v>55</v>
      </c>
      <c r="U671" t="s">
        <v>56</v>
      </c>
      <c r="V671" t="s">
        <v>57</v>
      </c>
      <c r="W671">
        <v>2</v>
      </c>
      <c r="X671" t="s">
        <v>47</v>
      </c>
      <c r="Y671">
        <v>2</v>
      </c>
      <c r="Z671" t="s">
        <v>91</v>
      </c>
    </row>
    <row r="672" spans="1:26" x14ac:dyDescent="0.3">
      <c r="A672" t="s">
        <v>1235</v>
      </c>
      <c r="B672" s="2">
        <v>46085</v>
      </c>
      <c r="C672" t="s">
        <v>713</v>
      </c>
      <c r="D672" t="s">
        <v>89</v>
      </c>
      <c r="E672" t="s">
        <v>29</v>
      </c>
      <c r="F672">
        <v>54</v>
      </c>
      <c r="G672" t="s">
        <v>51</v>
      </c>
      <c r="H672" t="s">
        <v>52</v>
      </c>
      <c r="I672" t="s">
        <v>51</v>
      </c>
      <c r="J672" t="s">
        <v>69</v>
      </c>
      <c r="K672">
        <v>1</v>
      </c>
      <c r="L672">
        <v>38234</v>
      </c>
      <c r="M672">
        <v>15</v>
      </c>
      <c r="N672">
        <v>5735.1</v>
      </c>
      <c r="O672">
        <v>5849.8</v>
      </c>
      <c r="P672">
        <v>117</v>
      </c>
      <c r="Q672">
        <v>38465.699999999997</v>
      </c>
      <c r="R672" t="s">
        <v>33</v>
      </c>
      <c r="S672" t="s">
        <v>34</v>
      </c>
      <c r="T672" t="s">
        <v>46</v>
      </c>
      <c r="U672" t="s">
        <v>36</v>
      </c>
      <c r="V672" t="s">
        <v>37</v>
      </c>
      <c r="W672">
        <v>6</v>
      </c>
      <c r="X672" t="s">
        <v>47</v>
      </c>
      <c r="Y672">
        <v>3</v>
      </c>
      <c r="Z672" t="s">
        <v>58</v>
      </c>
    </row>
    <row r="673" spans="1:26" x14ac:dyDescent="0.3">
      <c r="A673" t="s">
        <v>1236</v>
      </c>
      <c r="B673" s="2">
        <v>45898</v>
      </c>
      <c r="C673" t="s">
        <v>1237</v>
      </c>
      <c r="D673" t="s">
        <v>50</v>
      </c>
      <c r="E673" t="s">
        <v>43</v>
      </c>
      <c r="F673">
        <v>26</v>
      </c>
      <c r="G673" t="s">
        <v>134</v>
      </c>
      <c r="H673" t="s">
        <v>31</v>
      </c>
      <c r="I673" t="s">
        <v>134</v>
      </c>
      <c r="J673" t="s">
        <v>125</v>
      </c>
      <c r="K673">
        <v>3</v>
      </c>
      <c r="L673">
        <v>36323</v>
      </c>
      <c r="M673">
        <v>10</v>
      </c>
      <c r="N673">
        <v>10896.9</v>
      </c>
      <c r="O673">
        <v>17652.98</v>
      </c>
      <c r="P673">
        <v>446</v>
      </c>
      <c r="Q673">
        <v>116171.08</v>
      </c>
      <c r="R673" t="s">
        <v>83</v>
      </c>
      <c r="S673" t="s">
        <v>34</v>
      </c>
      <c r="T673" t="s">
        <v>46</v>
      </c>
      <c r="U673" t="s">
        <v>36</v>
      </c>
      <c r="V673" t="s">
        <v>37</v>
      </c>
      <c r="W673">
        <v>3</v>
      </c>
      <c r="X673" t="s">
        <v>38</v>
      </c>
      <c r="Y673">
        <v>2</v>
      </c>
      <c r="Z673" t="s">
        <v>39</v>
      </c>
    </row>
    <row r="674" spans="1:26" x14ac:dyDescent="0.3">
      <c r="A674" t="s">
        <v>1238</v>
      </c>
      <c r="B674" s="2">
        <v>45789</v>
      </c>
      <c r="C674" t="s">
        <v>1239</v>
      </c>
      <c r="D674" t="s">
        <v>111</v>
      </c>
      <c r="E674" t="s">
        <v>29</v>
      </c>
      <c r="F674">
        <v>28</v>
      </c>
      <c r="G674" t="s">
        <v>30</v>
      </c>
      <c r="H674" t="s">
        <v>31</v>
      </c>
      <c r="I674" t="s">
        <v>30</v>
      </c>
      <c r="J674" t="s">
        <v>75</v>
      </c>
      <c r="K674">
        <v>1</v>
      </c>
      <c r="L674">
        <v>37469</v>
      </c>
      <c r="M674">
        <v>10</v>
      </c>
      <c r="N674">
        <v>3746.9</v>
      </c>
      <c r="O674">
        <v>6069.98</v>
      </c>
      <c r="P674">
        <v>343</v>
      </c>
      <c r="Q674">
        <v>40135.08</v>
      </c>
      <c r="R674" t="s">
        <v>45</v>
      </c>
      <c r="S674" t="s">
        <v>63</v>
      </c>
      <c r="T674" t="s">
        <v>46</v>
      </c>
      <c r="U674" t="s">
        <v>36</v>
      </c>
      <c r="V674" t="s">
        <v>37</v>
      </c>
      <c r="W674">
        <v>8</v>
      </c>
      <c r="X674" t="s">
        <v>47</v>
      </c>
      <c r="Y674">
        <v>3</v>
      </c>
      <c r="Z674" t="s">
        <v>91</v>
      </c>
    </row>
    <row r="675" spans="1:26" x14ac:dyDescent="0.3">
      <c r="A675" t="s">
        <v>1240</v>
      </c>
      <c r="B675" s="2">
        <v>45947</v>
      </c>
      <c r="C675" t="s">
        <v>235</v>
      </c>
      <c r="D675" t="s">
        <v>80</v>
      </c>
      <c r="E675" t="s">
        <v>29</v>
      </c>
      <c r="F675">
        <v>40</v>
      </c>
      <c r="G675" t="s">
        <v>67</v>
      </c>
      <c r="H675" t="s">
        <v>68</v>
      </c>
      <c r="I675" t="s">
        <v>67</v>
      </c>
      <c r="J675" t="s">
        <v>69</v>
      </c>
      <c r="K675">
        <v>2</v>
      </c>
      <c r="L675">
        <v>8036</v>
      </c>
      <c r="M675">
        <v>15</v>
      </c>
      <c r="N675">
        <v>2410.8000000000002</v>
      </c>
      <c r="O675">
        <v>2459.02</v>
      </c>
      <c r="P675">
        <v>129</v>
      </c>
      <c r="Q675">
        <v>16249.22</v>
      </c>
      <c r="R675" t="s">
        <v>33</v>
      </c>
      <c r="S675" t="s">
        <v>63</v>
      </c>
      <c r="T675" t="s">
        <v>76</v>
      </c>
      <c r="U675" t="s">
        <v>77</v>
      </c>
      <c r="V675" t="s">
        <v>57</v>
      </c>
      <c r="W675">
        <v>8</v>
      </c>
      <c r="X675" t="s">
        <v>47</v>
      </c>
      <c r="Y675">
        <v>5</v>
      </c>
      <c r="Z675" t="s">
        <v>47</v>
      </c>
    </row>
    <row r="676" spans="1:26" x14ac:dyDescent="0.3">
      <c r="A676" t="s">
        <v>1241</v>
      </c>
      <c r="B676" s="2">
        <v>45940</v>
      </c>
      <c r="C676" t="s">
        <v>654</v>
      </c>
      <c r="D676" t="s">
        <v>28</v>
      </c>
      <c r="E676" t="s">
        <v>43</v>
      </c>
      <c r="F676">
        <v>34</v>
      </c>
      <c r="G676" t="s">
        <v>51</v>
      </c>
      <c r="H676" t="s">
        <v>52</v>
      </c>
      <c r="I676" t="s">
        <v>51</v>
      </c>
      <c r="J676" t="s">
        <v>201</v>
      </c>
      <c r="K676">
        <v>1</v>
      </c>
      <c r="L676">
        <v>7033</v>
      </c>
      <c r="M676">
        <v>0</v>
      </c>
      <c r="N676">
        <v>0</v>
      </c>
      <c r="O676">
        <v>1265.94</v>
      </c>
      <c r="P676">
        <v>330</v>
      </c>
      <c r="Q676">
        <v>8628.94</v>
      </c>
      <c r="R676" t="s">
        <v>54</v>
      </c>
      <c r="S676" t="s">
        <v>63</v>
      </c>
      <c r="T676" t="s">
        <v>103</v>
      </c>
      <c r="U676" t="s">
        <v>103</v>
      </c>
      <c r="V676" t="s">
        <v>57</v>
      </c>
      <c r="W676">
        <v>9</v>
      </c>
      <c r="X676" t="s">
        <v>38</v>
      </c>
      <c r="Y676">
        <v>5</v>
      </c>
      <c r="Z676" t="s">
        <v>47</v>
      </c>
    </row>
    <row r="677" spans="1:26" x14ac:dyDescent="0.3">
      <c r="A677" t="s">
        <v>1242</v>
      </c>
      <c r="B677" s="2">
        <v>46047</v>
      </c>
      <c r="C677" t="s">
        <v>1243</v>
      </c>
      <c r="D677" t="s">
        <v>28</v>
      </c>
      <c r="E677" t="s">
        <v>43</v>
      </c>
      <c r="F677">
        <v>54</v>
      </c>
      <c r="G677" t="s">
        <v>67</v>
      </c>
      <c r="H677" t="s">
        <v>68</v>
      </c>
      <c r="I677" t="s">
        <v>67</v>
      </c>
      <c r="J677" t="s">
        <v>125</v>
      </c>
      <c r="K677">
        <v>3</v>
      </c>
      <c r="L677">
        <v>21275</v>
      </c>
      <c r="M677">
        <v>10</v>
      </c>
      <c r="N677">
        <v>6382.5</v>
      </c>
      <c r="O677">
        <v>10339.65</v>
      </c>
      <c r="P677">
        <v>126</v>
      </c>
      <c r="Q677">
        <v>67908.149999999994</v>
      </c>
      <c r="R677" t="s">
        <v>83</v>
      </c>
      <c r="S677" t="s">
        <v>34</v>
      </c>
      <c r="T677" t="s">
        <v>76</v>
      </c>
      <c r="U677" t="s">
        <v>77</v>
      </c>
      <c r="V677" t="s">
        <v>57</v>
      </c>
      <c r="W677">
        <v>7</v>
      </c>
      <c r="X677" t="s">
        <v>47</v>
      </c>
      <c r="Y677">
        <v>5</v>
      </c>
      <c r="Z677" t="s">
        <v>47</v>
      </c>
    </row>
    <row r="678" spans="1:26" x14ac:dyDescent="0.3">
      <c r="A678" t="s">
        <v>1244</v>
      </c>
      <c r="B678" s="2">
        <v>46043</v>
      </c>
      <c r="C678" t="s">
        <v>1245</v>
      </c>
      <c r="D678" t="s">
        <v>42</v>
      </c>
      <c r="E678" t="s">
        <v>29</v>
      </c>
      <c r="F678">
        <v>26</v>
      </c>
      <c r="G678" t="s">
        <v>44</v>
      </c>
      <c r="H678" t="s">
        <v>31</v>
      </c>
      <c r="I678" t="s">
        <v>44</v>
      </c>
      <c r="J678" t="s">
        <v>32</v>
      </c>
      <c r="K678">
        <v>1</v>
      </c>
      <c r="L678">
        <v>30273</v>
      </c>
      <c r="M678">
        <v>0</v>
      </c>
      <c r="N678">
        <v>0</v>
      </c>
      <c r="O678">
        <v>5449.14</v>
      </c>
      <c r="P678">
        <v>128</v>
      </c>
      <c r="Q678">
        <v>35850.14</v>
      </c>
      <c r="R678" t="s">
        <v>45</v>
      </c>
      <c r="S678" t="s">
        <v>34</v>
      </c>
      <c r="T678" t="s">
        <v>95</v>
      </c>
      <c r="U678" t="s">
        <v>96</v>
      </c>
      <c r="V678" t="s">
        <v>57</v>
      </c>
      <c r="W678">
        <v>3</v>
      </c>
      <c r="X678" t="s">
        <v>47</v>
      </c>
      <c r="Y678">
        <v>2</v>
      </c>
      <c r="Z678" t="s">
        <v>91</v>
      </c>
    </row>
    <row r="679" spans="1:26" x14ac:dyDescent="0.3">
      <c r="A679" t="s">
        <v>1246</v>
      </c>
      <c r="B679" s="2">
        <v>45773</v>
      </c>
      <c r="C679" t="s">
        <v>1200</v>
      </c>
      <c r="D679" t="s">
        <v>89</v>
      </c>
      <c r="E679" t="s">
        <v>29</v>
      </c>
      <c r="F679">
        <v>46</v>
      </c>
      <c r="G679" t="s">
        <v>44</v>
      </c>
      <c r="H679" t="s">
        <v>31</v>
      </c>
      <c r="I679" t="s">
        <v>44</v>
      </c>
      <c r="J679" t="s">
        <v>75</v>
      </c>
      <c r="K679">
        <v>5</v>
      </c>
      <c r="L679">
        <v>35557</v>
      </c>
      <c r="M679">
        <v>20</v>
      </c>
      <c r="N679">
        <v>35557</v>
      </c>
      <c r="O679">
        <v>25601.040000000001</v>
      </c>
      <c r="P679">
        <v>86</v>
      </c>
      <c r="Q679">
        <v>167915.04</v>
      </c>
      <c r="R679" t="s">
        <v>54</v>
      </c>
      <c r="S679" t="s">
        <v>34</v>
      </c>
      <c r="T679" t="s">
        <v>35</v>
      </c>
      <c r="U679" t="s">
        <v>36</v>
      </c>
      <c r="V679" t="s">
        <v>37</v>
      </c>
      <c r="W679">
        <v>9</v>
      </c>
      <c r="X679" t="s">
        <v>47</v>
      </c>
      <c r="Y679">
        <v>1</v>
      </c>
      <c r="Z679" t="s">
        <v>47</v>
      </c>
    </row>
    <row r="680" spans="1:26" x14ac:dyDescent="0.3">
      <c r="A680" t="s">
        <v>1247</v>
      </c>
      <c r="B680" s="2">
        <v>45858</v>
      </c>
      <c r="C680" t="s">
        <v>1248</v>
      </c>
      <c r="D680" t="s">
        <v>73</v>
      </c>
      <c r="E680" t="s">
        <v>43</v>
      </c>
      <c r="F680">
        <v>43</v>
      </c>
      <c r="G680" t="s">
        <v>90</v>
      </c>
      <c r="H680" t="s">
        <v>31</v>
      </c>
      <c r="I680" t="s">
        <v>90</v>
      </c>
      <c r="J680" t="s">
        <v>125</v>
      </c>
      <c r="K680">
        <v>4</v>
      </c>
      <c r="L680">
        <v>43332</v>
      </c>
      <c r="M680">
        <v>20</v>
      </c>
      <c r="N680">
        <v>34665.599999999999</v>
      </c>
      <c r="O680">
        <v>24959.23</v>
      </c>
      <c r="P680">
        <v>354</v>
      </c>
      <c r="Q680">
        <v>163975.63</v>
      </c>
      <c r="R680" t="s">
        <v>54</v>
      </c>
      <c r="S680" t="s">
        <v>63</v>
      </c>
      <c r="T680" t="s">
        <v>95</v>
      </c>
      <c r="U680" t="s">
        <v>96</v>
      </c>
      <c r="V680" t="s">
        <v>57</v>
      </c>
      <c r="W680">
        <v>1</v>
      </c>
      <c r="X680" t="s">
        <v>47</v>
      </c>
      <c r="Y680">
        <v>4</v>
      </c>
      <c r="Z680" t="s">
        <v>39</v>
      </c>
    </row>
    <row r="681" spans="1:26" x14ac:dyDescent="0.3">
      <c r="A681" t="s">
        <v>1249</v>
      </c>
      <c r="B681" s="2">
        <v>45794</v>
      </c>
      <c r="C681" t="s">
        <v>1187</v>
      </c>
      <c r="D681" t="s">
        <v>50</v>
      </c>
      <c r="E681" t="s">
        <v>43</v>
      </c>
      <c r="F681">
        <v>41</v>
      </c>
      <c r="G681" t="s">
        <v>134</v>
      </c>
      <c r="H681" t="s">
        <v>31</v>
      </c>
      <c r="I681" t="s">
        <v>134</v>
      </c>
      <c r="J681" t="s">
        <v>125</v>
      </c>
      <c r="K681">
        <v>5</v>
      </c>
      <c r="L681">
        <v>10495</v>
      </c>
      <c r="M681">
        <v>10</v>
      </c>
      <c r="N681">
        <v>5247.5</v>
      </c>
      <c r="O681">
        <v>8500.9500000000007</v>
      </c>
      <c r="P681">
        <v>92</v>
      </c>
      <c r="Q681">
        <v>55820.45</v>
      </c>
      <c r="R681" t="s">
        <v>83</v>
      </c>
      <c r="S681" t="s">
        <v>63</v>
      </c>
      <c r="T681" t="s">
        <v>70</v>
      </c>
      <c r="U681" t="s">
        <v>56</v>
      </c>
      <c r="V681" t="s">
        <v>57</v>
      </c>
      <c r="W681">
        <v>8</v>
      </c>
      <c r="X681" t="s">
        <v>38</v>
      </c>
      <c r="Y681">
        <v>4</v>
      </c>
      <c r="Z681" t="s">
        <v>39</v>
      </c>
    </row>
    <row r="682" spans="1:26" x14ac:dyDescent="0.3">
      <c r="A682" t="s">
        <v>1250</v>
      </c>
      <c r="B682" s="2">
        <v>45959</v>
      </c>
      <c r="C682" t="s">
        <v>241</v>
      </c>
      <c r="D682" t="s">
        <v>50</v>
      </c>
      <c r="E682" t="s">
        <v>29</v>
      </c>
      <c r="F682">
        <v>19</v>
      </c>
      <c r="G682" t="s">
        <v>94</v>
      </c>
      <c r="H682" t="s">
        <v>31</v>
      </c>
      <c r="I682" t="s">
        <v>94</v>
      </c>
      <c r="J682" t="s">
        <v>102</v>
      </c>
      <c r="K682">
        <v>4</v>
      </c>
      <c r="L682">
        <v>8623</v>
      </c>
      <c r="M682">
        <v>5</v>
      </c>
      <c r="N682">
        <v>1724.6</v>
      </c>
      <c r="O682">
        <v>5898.13</v>
      </c>
      <c r="P682">
        <v>358</v>
      </c>
      <c r="Q682">
        <v>39023.53</v>
      </c>
      <c r="R682" t="s">
        <v>33</v>
      </c>
      <c r="S682" t="s">
        <v>63</v>
      </c>
      <c r="T682" t="s">
        <v>95</v>
      </c>
      <c r="U682" t="s">
        <v>96</v>
      </c>
      <c r="V682" t="s">
        <v>57</v>
      </c>
      <c r="W682">
        <v>9</v>
      </c>
      <c r="X682" t="s">
        <v>47</v>
      </c>
      <c r="Y682">
        <v>2</v>
      </c>
      <c r="Z682" t="s">
        <v>47</v>
      </c>
    </row>
    <row r="683" spans="1:26" x14ac:dyDescent="0.3">
      <c r="A683" t="s">
        <v>1251</v>
      </c>
      <c r="B683" s="2">
        <v>45798</v>
      </c>
      <c r="C683" t="s">
        <v>168</v>
      </c>
      <c r="D683" t="s">
        <v>28</v>
      </c>
      <c r="E683" t="s">
        <v>43</v>
      </c>
      <c r="F683">
        <v>33</v>
      </c>
      <c r="G683" t="s">
        <v>90</v>
      </c>
      <c r="H683" t="s">
        <v>31</v>
      </c>
      <c r="I683" t="s">
        <v>90</v>
      </c>
      <c r="J683" t="s">
        <v>150</v>
      </c>
      <c r="K683">
        <v>1</v>
      </c>
      <c r="L683">
        <v>12855</v>
      </c>
      <c r="M683">
        <v>0</v>
      </c>
      <c r="N683">
        <v>0</v>
      </c>
      <c r="O683">
        <v>2313.9</v>
      </c>
      <c r="P683">
        <v>289</v>
      </c>
      <c r="Q683">
        <v>15457.9</v>
      </c>
      <c r="R683" t="s">
        <v>83</v>
      </c>
      <c r="S683" t="s">
        <v>63</v>
      </c>
      <c r="T683" t="s">
        <v>55</v>
      </c>
      <c r="U683" t="s">
        <v>56</v>
      </c>
      <c r="V683" t="s">
        <v>57</v>
      </c>
      <c r="W683">
        <v>1</v>
      </c>
      <c r="X683" t="s">
        <v>47</v>
      </c>
      <c r="Y683">
        <v>2</v>
      </c>
      <c r="Z683" t="s">
        <v>39</v>
      </c>
    </row>
    <row r="684" spans="1:26" x14ac:dyDescent="0.3">
      <c r="A684" t="s">
        <v>1252</v>
      </c>
      <c r="B684" s="2">
        <v>45845</v>
      </c>
      <c r="C684" t="s">
        <v>1253</v>
      </c>
      <c r="D684" t="s">
        <v>50</v>
      </c>
      <c r="E684" t="s">
        <v>29</v>
      </c>
      <c r="F684">
        <v>38</v>
      </c>
      <c r="G684" t="s">
        <v>99</v>
      </c>
      <c r="H684" t="s">
        <v>52</v>
      </c>
      <c r="I684" t="s">
        <v>99</v>
      </c>
      <c r="J684" t="s">
        <v>150</v>
      </c>
      <c r="K684">
        <v>5</v>
      </c>
      <c r="L684">
        <v>7313</v>
      </c>
      <c r="M684">
        <v>10</v>
      </c>
      <c r="N684">
        <v>3656.5</v>
      </c>
      <c r="O684">
        <v>5923.53</v>
      </c>
      <c r="P684">
        <v>78</v>
      </c>
      <c r="Q684">
        <v>38910.03</v>
      </c>
      <c r="R684" t="s">
        <v>45</v>
      </c>
      <c r="S684" t="s">
        <v>34</v>
      </c>
      <c r="T684" t="s">
        <v>95</v>
      </c>
      <c r="U684" t="s">
        <v>96</v>
      </c>
      <c r="V684" t="s">
        <v>57</v>
      </c>
      <c r="W684">
        <v>1</v>
      </c>
      <c r="X684" t="s">
        <v>47</v>
      </c>
      <c r="Y684">
        <v>3</v>
      </c>
      <c r="Z684" t="s">
        <v>91</v>
      </c>
    </row>
    <row r="685" spans="1:26" x14ac:dyDescent="0.3">
      <c r="A685" t="s">
        <v>1254</v>
      </c>
      <c r="B685" s="2">
        <v>45783</v>
      </c>
      <c r="C685" t="s">
        <v>1255</v>
      </c>
      <c r="D685" t="s">
        <v>89</v>
      </c>
      <c r="E685" t="s">
        <v>29</v>
      </c>
      <c r="F685">
        <v>29</v>
      </c>
      <c r="G685" t="s">
        <v>90</v>
      </c>
      <c r="H685" t="s">
        <v>31</v>
      </c>
      <c r="I685" t="s">
        <v>90</v>
      </c>
      <c r="J685" t="s">
        <v>102</v>
      </c>
      <c r="K685">
        <v>1</v>
      </c>
      <c r="L685">
        <v>19819</v>
      </c>
      <c r="M685">
        <v>0</v>
      </c>
      <c r="N685">
        <v>0</v>
      </c>
      <c r="O685">
        <v>3567.42</v>
      </c>
      <c r="P685">
        <v>273</v>
      </c>
      <c r="Q685">
        <v>23659.42</v>
      </c>
      <c r="R685" t="s">
        <v>33</v>
      </c>
      <c r="S685" t="s">
        <v>63</v>
      </c>
      <c r="T685" t="s">
        <v>35</v>
      </c>
      <c r="U685" t="s">
        <v>36</v>
      </c>
      <c r="V685" t="s">
        <v>37</v>
      </c>
      <c r="W685">
        <v>3</v>
      </c>
      <c r="X685" t="s">
        <v>47</v>
      </c>
      <c r="Y685">
        <v>2</v>
      </c>
      <c r="Z685" t="s">
        <v>39</v>
      </c>
    </row>
    <row r="686" spans="1:26" x14ac:dyDescent="0.3">
      <c r="A686" t="s">
        <v>1256</v>
      </c>
      <c r="B686" s="2">
        <v>45917</v>
      </c>
      <c r="C686" t="s">
        <v>1257</v>
      </c>
      <c r="D686" t="s">
        <v>89</v>
      </c>
      <c r="E686" t="s">
        <v>43</v>
      </c>
      <c r="F686">
        <v>30</v>
      </c>
      <c r="G686" t="s">
        <v>30</v>
      </c>
      <c r="H686" t="s">
        <v>31</v>
      </c>
      <c r="I686" t="s">
        <v>30</v>
      </c>
      <c r="J686" t="s">
        <v>125</v>
      </c>
      <c r="K686">
        <v>5</v>
      </c>
      <c r="L686">
        <v>49125</v>
      </c>
      <c r="M686">
        <v>0</v>
      </c>
      <c r="N686">
        <v>0</v>
      </c>
      <c r="O686">
        <v>44212.5</v>
      </c>
      <c r="P686">
        <v>132</v>
      </c>
      <c r="Q686">
        <v>289969.5</v>
      </c>
      <c r="R686" t="s">
        <v>54</v>
      </c>
      <c r="S686" t="s">
        <v>63</v>
      </c>
      <c r="T686" t="s">
        <v>95</v>
      </c>
      <c r="U686" t="s">
        <v>96</v>
      </c>
      <c r="V686" t="s">
        <v>57</v>
      </c>
      <c r="W686">
        <v>2</v>
      </c>
      <c r="X686" t="s">
        <v>38</v>
      </c>
      <c r="Y686">
        <v>1</v>
      </c>
      <c r="Z686" t="s">
        <v>58</v>
      </c>
    </row>
    <row r="687" spans="1:26" x14ac:dyDescent="0.3">
      <c r="A687" t="s">
        <v>1258</v>
      </c>
      <c r="B687" s="2">
        <v>46090</v>
      </c>
      <c r="C687" t="s">
        <v>975</v>
      </c>
      <c r="D687" t="s">
        <v>61</v>
      </c>
      <c r="E687" t="s">
        <v>29</v>
      </c>
      <c r="F687">
        <v>56</v>
      </c>
      <c r="G687" t="s">
        <v>67</v>
      </c>
      <c r="H687" t="s">
        <v>68</v>
      </c>
      <c r="I687" t="s">
        <v>67</v>
      </c>
      <c r="J687" t="s">
        <v>69</v>
      </c>
      <c r="K687">
        <v>3</v>
      </c>
      <c r="L687">
        <v>40023</v>
      </c>
      <c r="M687">
        <v>5</v>
      </c>
      <c r="N687">
        <v>6003.45</v>
      </c>
      <c r="O687">
        <v>20531.8</v>
      </c>
      <c r="P687">
        <v>233</v>
      </c>
      <c r="Q687">
        <v>134830.35</v>
      </c>
      <c r="R687" t="s">
        <v>33</v>
      </c>
      <c r="S687" t="s">
        <v>63</v>
      </c>
      <c r="T687" t="s">
        <v>76</v>
      </c>
      <c r="U687" t="s">
        <v>77</v>
      </c>
      <c r="V687" t="s">
        <v>57</v>
      </c>
      <c r="W687">
        <v>1</v>
      </c>
      <c r="X687" t="s">
        <v>38</v>
      </c>
      <c r="Y687">
        <v>2</v>
      </c>
      <c r="Z687" t="s">
        <v>39</v>
      </c>
    </row>
    <row r="688" spans="1:26" x14ac:dyDescent="0.3">
      <c r="A688" t="s">
        <v>1259</v>
      </c>
      <c r="B688" s="2">
        <v>45849</v>
      </c>
      <c r="C688" t="s">
        <v>734</v>
      </c>
      <c r="D688" t="s">
        <v>73</v>
      </c>
      <c r="E688" t="s">
        <v>29</v>
      </c>
      <c r="F688">
        <v>56</v>
      </c>
      <c r="G688" t="s">
        <v>30</v>
      </c>
      <c r="H688" t="s">
        <v>31</v>
      </c>
      <c r="I688" t="s">
        <v>30</v>
      </c>
      <c r="J688" t="s">
        <v>75</v>
      </c>
      <c r="K688">
        <v>1</v>
      </c>
      <c r="L688">
        <v>11177</v>
      </c>
      <c r="M688">
        <v>20</v>
      </c>
      <c r="N688">
        <v>2235.4</v>
      </c>
      <c r="O688">
        <v>1609.49</v>
      </c>
      <c r="P688">
        <v>174</v>
      </c>
      <c r="Q688">
        <v>10725.09</v>
      </c>
      <c r="R688" t="s">
        <v>54</v>
      </c>
      <c r="S688" t="s">
        <v>63</v>
      </c>
      <c r="T688" t="s">
        <v>76</v>
      </c>
      <c r="U688" t="s">
        <v>77</v>
      </c>
      <c r="V688" t="s">
        <v>57</v>
      </c>
      <c r="W688">
        <v>10</v>
      </c>
      <c r="X688" t="s">
        <v>38</v>
      </c>
      <c r="Y688">
        <v>5</v>
      </c>
      <c r="Z688" t="s">
        <v>47</v>
      </c>
    </row>
    <row r="689" spans="1:26" x14ac:dyDescent="0.3">
      <c r="A689" t="s">
        <v>1260</v>
      </c>
      <c r="B689" s="2">
        <v>45783</v>
      </c>
      <c r="C689" t="s">
        <v>423</v>
      </c>
      <c r="D689" t="s">
        <v>61</v>
      </c>
      <c r="E689" t="s">
        <v>29</v>
      </c>
      <c r="F689">
        <v>44</v>
      </c>
      <c r="G689" t="s">
        <v>74</v>
      </c>
      <c r="H689" t="s">
        <v>31</v>
      </c>
      <c r="I689" t="s">
        <v>74</v>
      </c>
      <c r="J689" t="s">
        <v>69</v>
      </c>
      <c r="K689">
        <v>4</v>
      </c>
      <c r="L689">
        <v>43124</v>
      </c>
      <c r="M689">
        <v>15</v>
      </c>
      <c r="N689">
        <v>25874.400000000001</v>
      </c>
      <c r="O689">
        <v>26391.89</v>
      </c>
      <c r="P689">
        <v>187</v>
      </c>
      <c r="Q689">
        <v>173200.49</v>
      </c>
      <c r="R689" t="s">
        <v>33</v>
      </c>
      <c r="S689" t="s">
        <v>63</v>
      </c>
      <c r="T689" t="s">
        <v>103</v>
      </c>
      <c r="U689" t="s">
        <v>103</v>
      </c>
      <c r="V689" t="s">
        <v>57</v>
      </c>
      <c r="W689">
        <v>8</v>
      </c>
      <c r="X689" t="s">
        <v>47</v>
      </c>
      <c r="Y689">
        <v>3</v>
      </c>
      <c r="Z689" t="s">
        <v>91</v>
      </c>
    </row>
    <row r="690" spans="1:26" x14ac:dyDescent="0.3">
      <c r="A690" t="s">
        <v>1261</v>
      </c>
      <c r="B690" s="2">
        <v>46033</v>
      </c>
      <c r="C690" t="s">
        <v>1262</v>
      </c>
      <c r="D690" t="s">
        <v>108</v>
      </c>
      <c r="E690" t="s">
        <v>29</v>
      </c>
      <c r="F690">
        <v>51</v>
      </c>
      <c r="G690" t="s">
        <v>74</v>
      </c>
      <c r="H690" t="s">
        <v>31</v>
      </c>
      <c r="I690" t="s">
        <v>74</v>
      </c>
      <c r="J690" t="s">
        <v>201</v>
      </c>
      <c r="K690">
        <v>1</v>
      </c>
      <c r="L690">
        <v>1063</v>
      </c>
      <c r="M690">
        <v>5</v>
      </c>
      <c r="N690">
        <v>53.15</v>
      </c>
      <c r="O690">
        <v>181.77</v>
      </c>
      <c r="P690">
        <v>2</v>
      </c>
      <c r="Q690">
        <v>1193.6199999999999</v>
      </c>
      <c r="R690" t="s">
        <v>33</v>
      </c>
      <c r="S690" t="s">
        <v>34</v>
      </c>
      <c r="T690" t="s">
        <v>103</v>
      </c>
      <c r="U690" t="s">
        <v>103</v>
      </c>
      <c r="V690" t="s">
        <v>57</v>
      </c>
      <c r="W690">
        <v>6</v>
      </c>
      <c r="X690" t="s">
        <v>47</v>
      </c>
      <c r="Y690">
        <v>5</v>
      </c>
      <c r="Z690" t="s">
        <v>39</v>
      </c>
    </row>
    <row r="691" spans="1:26" x14ac:dyDescent="0.3">
      <c r="A691" t="s">
        <v>1263</v>
      </c>
      <c r="B691" s="2">
        <v>46039</v>
      </c>
      <c r="C691" t="s">
        <v>678</v>
      </c>
      <c r="D691" t="s">
        <v>80</v>
      </c>
      <c r="E691" t="s">
        <v>43</v>
      </c>
      <c r="F691">
        <v>34</v>
      </c>
      <c r="G691" t="s">
        <v>74</v>
      </c>
      <c r="H691" t="s">
        <v>31</v>
      </c>
      <c r="I691" t="s">
        <v>74</v>
      </c>
      <c r="J691" t="s">
        <v>102</v>
      </c>
      <c r="K691">
        <v>2</v>
      </c>
      <c r="L691">
        <v>862</v>
      </c>
      <c r="M691">
        <v>0</v>
      </c>
      <c r="N691">
        <v>0</v>
      </c>
      <c r="O691">
        <v>310.32</v>
      </c>
      <c r="P691">
        <v>38</v>
      </c>
      <c r="Q691">
        <v>2072.3200000000002</v>
      </c>
      <c r="R691" t="s">
        <v>54</v>
      </c>
      <c r="S691" t="s">
        <v>63</v>
      </c>
      <c r="T691" t="s">
        <v>70</v>
      </c>
      <c r="U691" t="s">
        <v>56</v>
      </c>
      <c r="V691" t="s">
        <v>57</v>
      </c>
      <c r="W691">
        <v>4</v>
      </c>
      <c r="X691" t="s">
        <v>47</v>
      </c>
      <c r="Y691">
        <v>5</v>
      </c>
      <c r="Z691" t="s">
        <v>47</v>
      </c>
    </row>
    <row r="692" spans="1:26" x14ac:dyDescent="0.3">
      <c r="A692" t="s">
        <v>1264</v>
      </c>
      <c r="B692" s="2">
        <v>46103</v>
      </c>
      <c r="C692" t="s">
        <v>1265</v>
      </c>
      <c r="D692" t="s">
        <v>89</v>
      </c>
      <c r="E692" t="s">
        <v>29</v>
      </c>
      <c r="F692">
        <v>18</v>
      </c>
      <c r="G692" t="s">
        <v>99</v>
      </c>
      <c r="H692" t="s">
        <v>52</v>
      </c>
      <c r="I692" t="s">
        <v>99</v>
      </c>
      <c r="J692" t="s">
        <v>150</v>
      </c>
      <c r="K692">
        <v>3</v>
      </c>
      <c r="L692">
        <v>48398</v>
      </c>
      <c r="M692">
        <v>0</v>
      </c>
      <c r="N692">
        <v>0</v>
      </c>
      <c r="O692">
        <v>26134.92</v>
      </c>
      <c r="P692">
        <v>450</v>
      </c>
      <c r="Q692">
        <v>171778.92</v>
      </c>
      <c r="R692" t="s">
        <v>83</v>
      </c>
      <c r="S692" t="s">
        <v>34</v>
      </c>
      <c r="T692" t="s">
        <v>46</v>
      </c>
      <c r="U692" t="s">
        <v>36</v>
      </c>
      <c r="V692" t="s">
        <v>37</v>
      </c>
      <c r="W692">
        <v>1</v>
      </c>
      <c r="X692" t="s">
        <v>47</v>
      </c>
      <c r="Y692">
        <v>5</v>
      </c>
      <c r="Z692" t="s">
        <v>91</v>
      </c>
    </row>
    <row r="693" spans="1:26" x14ac:dyDescent="0.3">
      <c r="A693" t="s">
        <v>1266</v>
      </c>
      <c r="B693" s="2">
        <v>45981</v>
      </c>
      <c r="C693" t="s">
        <v>1267</v>
      </c>
      <c r="D693" t="s">
        <v>111</v>
      </c>
      <c r="E693" t="s">
        <v>43</v>
      </c>
      <c r="F693">
        <v>57</v>
      </c>
      <c r="G693" t="s">
        <v>134</v>
      </c>
      <c r="H693" t="s">
        <v>31</v>
      </c>
      <c r="I693" t="s">
        <v>134</v>
      </c>
      <c r="J693" t="s">
        <v>102</v>
      </c>
      <c r="K693">
        <v>4</v>
      </c>
      <c r="L693">
        <v>39778</v>
      </c>
      <c r="M693">
        <v>10</v>
      </c>
      <c r="N693">
        <v>15911.2</v>
      </c>
      <c r="O693">
        <v>25776.14</v>
      </c>
      <c r="P693">
        <v>252</v>
      </c>
      <c r="Q693">
        <v>169228.94</v>
      </c>
      <c r="R693" t="s">
        <v>33</v>
      </c>
      <c r="S693" t="s">
        <v>34</v>
      </c>
      <c r="T693" t="s">
        <v>70</v>
      </c>
      <c r="U693" t="s">
        <v>56</v>
      </c>
      <c r="V693" t="s">
        <v>57</v>
      </c>
      <c r="W693">
        <v>6</v>
      </c>
      <c r="X693" t="s">
        <v>47</v>
      </c>
      <c r="Y693">
        <v>5</v>
      </c>
      <c r="Z693" t="s">
        <v>39</v>
      </c>
    </row>
    <row r="694" spans="1:26" x14ac:dyDescent="0.3">
      <c r="A694" t="s">
        <v>1268</v>
      </c>
      <c r="B694" s="2">
        <v>45859</v>
      </c>
      <c r="C694" t="s">
        <v>1269</v>
      </c>
      <c r="D694" t="s">
        <v>42</v>
      </c>
      <c r="E694" t="s">
        <v>29</v>
      </c>
      <c r="F694">
        <v>42</v>
      </c>
      <c r="G694" t="s">
        <v>99</v>
      </c>
      <c r="H694" t="s">
        <v>52</v>
      </c>
      <c r="I694" t="s">
        <v>99</v>
      </c>
      <c r="J694" t="s">
        <v>125</v>
      </c>
      <c r="K694">
        <v>2</v>
      </c>
      <c r="L694">
        <v>25407</v>
      </c>
      <c r="M694">
        <v>0</v>
      </c>
      <c r="N694">
        <v>0</v>
      </c>
      <c r="O694">
        <v>9146.52</v>
      </c>
      <c r="P694">
        <v>193</v>
      </c>
      <c r="Q694">
        <v>60153.52</v>
      </c>
      <c r="R694" t="s">
        <v>83</v>
      </c>
      <c r="S694" t="s">
        <v>34</v>
      </c>
      <c r="T694" t="s">
        <v>55</v>
      </c>
      <c r="U694" t="s">
        <v>56</v>
      </c>
      <c r="V694" t="s">
        <v>57</v>
      </c>
      <c r="W694">
        <v>5</v>
      </c>
      <c r="X694" t="s">
        <v>38</v>
      </c>
      <c r="Y694">
        <v>3</v>
      </c>
      <c r="Z694" t="s">
        <v>91</v>
      </c>
    </row>
    <row r="695" spans="1:26" x14ac:dyDescent="0.3">
      <c r="A695" t="s">
        <v>1270</v>
      </c>
      <c r="B695" s="2">
        <v>45761</v>
      </c>
      <c r="C695" t="s">
        <v>1271</v>
      </c>
      <c r="D695" t="s">
        <v>61</v>
      </c>
      <c r="E695" t="s">
        <v>43</v>
      </c>
      <c r="F695">
        <v>33</v>
      </c>
      <c r="G695" t="s">
        <v>67</v>
      </c>
      <c r="H695" t="s">
        <v>68</v>
      </c>
      <c r="I695" t="s">
        <v>67</v>
      </c>
      <c r="J695" t="s">
        <v>62</v>
      </c>
      <c r="K695">
        <v>1</v>
      </c>
      <c r="L695">
        <v>34030</v>
      </c>
      <c r="M695">
        <v>5</v>
      </c>
      <c r="N695">
        <v>1701.5</v>
      </c>
      <c r="O695">
        <v>5819.13</v>
      </c>
      <c r="P695">
        <v>148</v>
      </c>
      <c r="Q695">
        <v>38295.629999999997</v>
      </c>
      <c r="R695" t="s">
        <v>33</v>
      </c>
      <c r="S695" t="s">
        <v>34</v>
      </c>
      <c r="T695" t="s">
        <v>70</v>
      </c>
      <c r="U695" t="s">
        <v>56</v>
      </c>
      <c r="V695" t="s">
        <v>57</v>
      </c>
      <c r="W695">
        <v>5</v>
      </c>
      <c r="X695" t="s">
        <v>47</v>
      </c>
      <c r="Y695">
        <v>5</v>
      </c>
      <c r="Z695" t="s">
        <v>39</v>
      </c>
    </row>
    <row r="696" spans="1:26" x14ac:dyDescent="0.3">
      <c r="A696" t="s">
        <v>1272</v>
      </c>
      <c r="B696" s="2">
        <v>45761</v>
      </c>
      <c r="C696" t="s">
        <v>1273</v>
      </c>
      <c r="D696" t="s">
        <v>28</v>
      </c>
      <c r="E696" t="s">
        <v>29</v>
      </c>
      <c r="F696">
        <v>55</v>
      </c>
      <c r="G696" t="s">
        <v>44</v>
      </c>
      <c r="H696" t="s">
        <v>31</v>
      </c>
      <c r="I696" t="s">
        <v>44</v>
      </c>
      <c r="J696" t="s">
        <v>125</v>
      </c>
      <c r="K696">
        <v>2</v>
      </c>
      <c r="L696">
        <v>27846</v>
      </c>
      <c r="M696">
        <v>20</v>
      </c>
      <c r="N696">
        <v>11138.4</v>
      </c>
      <c r="O696">
        <v>8019.65</v>
      </c>
      <c r="P696">
        <v>421</v>
      </c>
      <c r="Q696">
        <v>52994.25</v>
      </c>
      <c r="R696" t="s">
        <v>83</v>
      </c>
      <c r="S696" t="s">
        <v>63</v>
      </c>
      <c r="T696" t="s">
        <v>103</v>
      </c>
      <c r="U696" t="s">
        <v>103</v>
      </c>
      <c r="V696" t="s">
        <v>57</v>
      </c>
      <c r="W696">
        <v>4</v>
      </c>
      <c r="X696" t="s">
        <v>47</v>
      </c>
      <c r="Y696">
        <v>5</v>
      </c>
      <c r="Z696" t="s">
        <v>91</v>
      </c>
    </row>
    <row r="697" spans="1:26" x14ac:dyDescent="0.3">
      <c r="A697" t="s">
        <v>1274</v>
      </c>
      <c r="B697" s="2">
        <v>45954</v>
      </c>
      <c r="C697" t="s">
        <v>848</v>
      </c>
      <c r="D697" t="s">
        <v>66</v>
      </c>
      <c r="E697" t="s">
        <v>43</v>
      </c>
      <c r="F697">
        <v>52</v>
      </c>
      <c r="G697" t="s">
        <v>134</v>
      </c>
      <c r="H697" t="s">
        <v>31</v>
      </c>
      <c r="I697" t="s">
        <v>134</v>
      </c>
      <c r="J697" t="s">
        <v>75</v>
      </c>
      <c r="K697">
        <v>1</v>
      </c>
      <c r="L697">
        <v>38289</v>
      </c>
      <c r="M697">
        <v>15</v>
      </c>
      <c r="N697">
        <v>5743.35</v>
      </c>
      <c r="O697">
        <v>5858.22</v>
      </c>
      <c r="P697">
        <v>315</v>
      </c>
      <c r="Q697">
        <v>38718.870000000003</v>
      </c>
      <c r="R697" t="s">
        <v>33</v>
      </c>
      <c r="S697" t="s">
        <v>63</v>
      </c>
      <c r="T697" t="s">
        <v>84</v>
      </c>
      <c r="U697" t="s">
        <v>85</v>
      </c>
      <c r="V697" t="s">
        <v>86</v>
      </c>
      <c r="W697">
        <v>3</v>
      </c>
      <c r="X697" t="s">
        <v>47</v>
      </c>
      <c r="Y697">
        <v>2</v>
      </c>
      <c r="Z697" t="s">
        <v>58</v>
      </c>
    </row>
    <row r="698" spans="1:26" x14ac:dyDescent="0.3">
      <c r="A698" t="s">
        <v>1275</v>
      </c>
      <c r="B698" s="2">
        <v>45931</v>
      </c>
      <c r="C698" t="s">
        <v>1276</v>
      </c>
      <c r="D698" t="s">
        <v>73</v>
      </c>
      <c r="E698" t="s">
        <v>29</v>
      </c>
      <c r="F698">
        <v>46</v>
      </c>
      <c r="G698" t="s">
        <v>44</v>
      </c>
      <c r="H698" t="s">
        <v>31</v>
      </c>
      <c r="I698" t="s">
        <v>44</v>
      </c>
      <c r="J698" t="s">
        <v>75</v>
      </c>
      <c r="K698">
        <v>3</v>
      </c>
      <c r="L698">
        <v>40712</v>
      </c>
      <c r="M698">
        <v>0</v>
      </c>
      <c r="N698">
        <v>0</v>
      </c>
      <c r="O698">
        <v>21984.48</v>
      </c>
      <c r="P698">
        <v>238</v>
      </c>
      <c r="Q698">
        <v>144358.48000000001</v>
      </c>
      <c r="R698" t="s">
        <v>33</v>
      </c>
      <c r="S698" t="s">
        <v>63</v>
      </c>
      <c r="T698" t="s">
        <v>95</v>
      </c>
      <c r="U698" t="s">
        <v>96</v>
      </c>
      <c r="V698" t="s">
        <v>57</v>
      </c>
      <c r="W698">
        <v>5</v>
      </c>
      <c r="X698" t="s">
        <v>38</v>
      </c>
      <c r="Y698">
        <v>5</v>
      </c>
      <c r="Z698" t="s">
        <v>58</v>
      </c>
    </row>
    <row r="699" spans="1:26" x14ac:dyDescent="0.3">
      <c r="A699" t="s">
        <v>1277</v>
      </c>
      <c r="B699" s="2">
        <v>45774</v>
      </c>
      <c r="C699" t="s">
        <v>671</v>
      </c>
      <c r="D699" t="s">
        <v>80</v>
      </c>
      <c r="E699" t="s">
        <v>29</v>
      </c>
      <c r="F699">
        <v>23</v>
      </c>
      <c r="G699" t="s">
        <v>44</v>
      </c>
      <c r="H699" t="s">
        <v>31</v>
      </c>
      <c r="I699" t="s">
        <v>44</v>
      </c>
      <c r="J699" t="s">
        <v>125</v>
      </c>
      <c r="K699">
        <v>1</v>
      </c>
      <c r="L699">
        <v>38286</v>
      </c>
      <c r="M699">
        <v>5</v>
      </c>
      <c r="N699">
        <v>1914.3</v>
      </c>
      <c r="O699">
        <v>6546.91</v>
      </c>
      <c r="P699">
        <v>264</v>
      </c>
      <c r="Q699">
        <v>43182.61</v>
      </c>
      <c r="R699" t="s">
        <v>54</v>
      </c>
      <c r="S699" t="s">
        <v>63</v>
      </c>
      <c r="T699" t="s">
        <v>35</v>
      </c>
      <c r="U699" t="s">
        <v>36</v>
      </c>
      <c r="V699" t="s">
        <v>37</v>
      </c>
      <c r="W699">
        <v>4</v>
      </c>
      <c r="X699" t="s">
        <v>47</v>
      </c>
      <c r="Y699">
        <v>4</v>
      </c>
      <c r="Z699" t="s">
        <v>91</v>
      </c>
    </row>
    <row r="700" spans="1:26" x14ac:dyDescent="0.3">
      <c r="A700" t="s">
        <v>1278</v>
      </c>
      <c r="B700" s="2">
        <v>45926</v>
      </c>
      <c r="C700" t="s">
        <v>1279</v>
      </c>
      <c r="D700" t="s">
        <v>50</v>
      </c>
      <c r="E700" t="s">
        <v>43</v>
      </c>
      <c r="F700">
        <v>21</v>
      </c>
      <c r="G700" t="s">
        <v>67</v>
      </c>
      <c r="H700" t="s">
        <v>68</v>
      </c>
      <c r="I700" t="s">
        <v>67</v>
      </c>
      <c r="J700" t="s">
        <v>150</v>
      </c>
      <c r="K700">
        <v>3</v>
      </c>
      <c r="L700">
        <v>38505</v>
      </c>
      <c r="M700">
        <v>10</v>
      </c>
      <c r="N700">
        <v>11551.5</v>
      </c>
      <c r="O700">
        <v>18713.43</v>
      </c>
      <c r="P700">
        <v>469</v>
      </c>
      <c r="Q700">
        <v>123145.93</v>
      </c>
      <c r="R700" t="s">
        <v>83</v>
      </c>
      <c r="S700" t="s">
        <v>34</v>
      </c>
      <c r="T700" t="s">
        <v>95</v>
      </c>
      <c r="U700" t="s">
        <v>96</v>
      </c>
      <c r="V700" t="s">
        <v>57</v>
      </c>
      <c r="W700">
        <v>7</v>
      </c>
      <c r="X700" t="s">
        <v>38</v>
      </c>
      <c r="Y700">
        <v>1</v>
      </c>
      <c r="Z700" t="s">
        <v>39</v>
      </c>
    </row>
    <row r="701" spans="1:26" x14ac:dyDescent="0.3">
      <c r="A701" t="s">
        <v>1280</v>
      </c>
      <c r="B701" s="2">
        <v>45835</v>
      </c>
      <c r="C701" t="s">
        <v>911</v>
      </c>
      <c r="D701" t="s">
        <v>50</v>
      </c>
      <c r="E701" t="s">
        <v>29</v>
      </c>
      <c r="F701">
        <v>41</v>
      </c>
      <c r="G701" t="s">
        <v>139</v>
      </c>
      <c r="H701" t="s">
        <v>31</v>
      </c>
      <c r="I701" t="s">
        <v>139</v>
      </c>
      <c r="J701" t="s">
        <v>75</v>
      </c>
      <c r="K701">
        <v>1</v>
      </c>
      <c r="L701">
        <v>37853</v>
      </c>
      <c r="M701">
        <v>20</v>
      </c>
      <c r="N701">
        <v>7570.6</v>
      </c>
      <c r="O701">
        <v>5450.83</v>
      </c>
      <c r="P701">
        <v>363</v>
      </c>
      <c r="Q701">
        <v>36096.230000000003</v>
      </c>
      <c r="R701" t="s">
        <v>54</v>
      </c>
      <c r="S701" t="s">
        <v>34</v>
      </c>
      <c r="T701" t="s">
        <v>84</v>
      </c>
      <c r="U701" t="s">
        <v>85</v>
      </c>
      <c r="V701" t="s">
        <v>86</v>
      </c>
      <c r="W701">
        <v>3</v>
      </c>
      <c r="X701" t="s">
        <v>38</v>
      </c>
      <c r="Y701">
        <v>1</v>
      </c>
      <c r="Z701" t="s">
        <v>58</v>
      </c>
    </row>
    <row r="702" spans="1:26" x14ac:dyDescent="0.3">
      <c r="A702" t="s">
        <v>1281</v>
      </c>
      <c r="B702" s="2">
        <v>45848</v>
      </c>
      <c r="C702" t="s">
        <v>1282</v>
      </c>
      <c r="D702" t="s">
        <v>111</v>
      </c>
      <c r="E702" t="s">
        <v>29</v>
      </c>
      <c r="F702">
        <v>46</v>
      </c>
      <c r="G702" t="s">
        <v>139</v>
      </c>
      <c r="H702" t="s">
        <v>31</v>
      </c>
      <c r="I702" t="s">
        <v>139</v>
      </c>
      <c r="J702" t="s">
        <v>53</v>
      </c>
      <c r="K702">
        <v>1</v>
      </c>
      <c r="L702">
        <v>23378</v>
      </c>
      <c r="M702">
        <v>5</v>
      </c>
      <c r="N702">
        <v>1168.9000000000001</v>
      </c>
      <c r="O702">
        <v>3997.64</v>
      </c>
      <c r="P702">
        <v>1</v>
      </c>
      <c r="Q702">
        <v>26207.74</v>
      </c>
      <c r="R702" t="s">
        <v>33</v>
      </c>
      <c r="S702" t="s">
        <v>34</v>
      </c>
      <c r="T702" t="s">
        <v>46</v>
      </c>
      <c r="U702" t="s">
        <v>36</v>
      </c>
      <c r="V702" t="s">
        <v>37</v>
      </c>
      <c r="W702">
        <v>5</v>
      </c>
      <c r="X702" t="s">
        <v>38</v>
      </c>
      <c r="Y702">
        <v>3</v>
      </c>
      <c r="Z702" t="s">
        <v>91</v>
      </c>
    </row>
    <row r="703" spans="1:26" x14ac:dyDescent="0.3">
      <c r="A703" t="s">
        <v>1283</v>
      </c>
      <c r="B703" s="2">
        <v>45869</v>
      </c>
      <c r="C703" t="s">
        <v>1284</v>
      </c>
      <c r="D703" t="s">
        <v>28</v>
      </c>
      <c r="E703" t="s">
        <v>43</v>
      </c>
      <c r="F703">
        <v>48</v>
      </c>
      <c r="G703" t="s">
        <v>99</v>
      </c>
      <c r="H703" t="s">
        <v>52</v>
      </c>
      <c r="I703" t="s">
        <v>99</v>
      </c>
      <c r="J703" t="s">
        <v>53</v>
      </c>
      <c r="K703">
        <v>2</v>
      </c>
      <c r="L703">
        <v>34921</v>
      </c>
      <c r="M703">
        <v>5</v>
      </c>
      <c r="N703">
        <v>3492.1</v>
      </c>
      <c r="O703">
        <v>11942.98</v>
      </c>
      <c r="P703">
        <v>248</v>
      </c>
      <c r="Q703">
        <v>78540.88</v>
      </c>
      <c r="R703" t="s">
        <v>33</v>
      </c>
      <c r="S703" t="s">
        <v>63</v>
      </c>
      <c r="T703" t="s">
        <v>95</v>
      </c>
      <c r="U703" t="s">
        <v>96</v>
      </c>
      <c r="V703" t="s">
        <v>57</v>
      </c>
      <c r="W703">
        <v>1</v>
      </c>
      <c r="X703" t="s">
        <v>38</v>
      </c>
      <c r="Y703">
        <v>2</v>
      </c>
      <c r="Z703" t="s">
        <v>39</v>
      </c>
    </row>
    <row r="704" spans="1:26" x14ac:dyDescent="0.3">
      <c r="A704" t="s">
        <v>1285</v>
      </c>
      <c r="B704" s="2">
        <v>45790</v>
      </c>
      <c r="C704" t="s">
        <v>1286</v>
      </c>
      <c r="D704" t="s">
        <v>61</v>
      </c>
      <c r="E704" t="s">
        <v>43</v>
      </c>
      <c r="F704">
        <v>39</v>
      </c>
      <c r="G704" t="s">
        <v>90</v>
      </c>
      <c r="H704" t="s">
        <v>31</v>
      </c>
      <c r="I704" t="s">
        <v>90</v>
      </c>
      <c r="J704" t="s">
        <v>62</v>
      </c>
      <c r="K704">
        <v>4</v>
      </c>
      <c r="L704">
        <v>17871</v>
      </c>
      <c r="M704">
        <v>5</v>
      </c>
      <c r="N704">
        <v>3574.2</v>
      </c>
      <c r="O704">
        <v>12223.76</v>
      </c>
      <c r="P704">
        <v>178</v>
      </c>
      <c r="Q704">
        <v>80311.56</v>
      </c>
      <c r="R704" t="s">
        <v>54</v>
      </c>
      <c r="S704" t="s">
        <v>63</v>
      </c>
      <c r="T704" t="s">
        <v>70</v>
      </c>
      <c r="U704" t="s">
        <v>56</v>
      </c>
      <c r="V704" t="s">
        <v>57</v>
      </c>
      <c r="W704">
        <v>8</v>
      </c>
      <c r="X704" t="s">
        <v>38</v>
      </c>
      <c r="Y704">
        <v>5</v>
      </c>
      <c r="Z704" t="s">
        <v>47</v>
      </c>
    </row>
    <row r="705" spans="1:26" x14ac:dyDescent="0.3">
      <c r="A705" t="s">
        <v>1287</v>
      </c>
      <c r="B705" s="2">
        <v>46003</v>
      </c>
      <c r="C705" t="s">
        <v>834</v>
      </c>
      <c r="D705" t="s">
        <v>80</v>
      </c>
      <c r="E705" t="s">
        <v>29</v>
      </c>
      <c r="F705">
        <v>46</v>
      </c>
      <c r="G705" t="s">
        <v>94</v>
      </c>
      <c r="H705" t="s">
        <v>31</v>
      </c>
      <c r="I705" t="s">
        <v>94</v>
      </c>
      <c r="J705" t="s">
        <v>53</v>
      </c>
      <c r="K705">
        <v>4</v>
      </c>
      <c r="L705">
        <v>45708</v>
      </c>
      <c r="M705">
        <v>20</v>
      </c>
      <c r="N705">
        <v>36566.400000000001</v>
      </c>
      <c r="O705">
        <v>26327.81</v>
      </c>
      <c r="P705">
        <v>230</v>
      </c>
      <c r="Q705">
        <v>172823.41</v>
      </c>
      <c r="R705" t="s">
        <v>33</v>
      </c>
      <c r="S705" t="s">
        <v>34</v>
      </c>
      <c r="T705" t="s">
        <v>103</v>
      </c>
      <c r="U705" t="s">
        <v>103</v>
      </c>
      <c r="V705" t="s">
        <v>57</v>
      </c>
      <c r="W705">
        <v>10</v>
      </c>
      <c r="X705" t="s">
        <v>47</v>
      </c>
      <c r="Y705">
        <v>4</v>
      </c>
      <c r="Z705" t="s">
        <v>47</v>
      </c>
    </row>
    <row r="706" spans="1:26" x14ac:dyDescent="0.3">
      <c r="A706" t="s">
        <v>1288</v>
      </c>
      <c r="B706" s="2">
        <v>45867</v>
      </c>
      <c r="C706" t="s">
        <v>1289</v>
      </c>
      <c r="D706" t="s">
        <v>61</v>
      </c>
      <c r="E706" t="s">
        <v>29</v>
      </c>
      <c r="F706">
        <v>45</v>
      </c>
      <c r="G706" t="s">
        <v>51</v>
      </c>
      <c r="H706" t="s">
        <v>52</v>
      </c>
      <c r="I706" t="s">
        <v>51</v>
      </c>
      <c r="J706" t="s">
        <v>102</v>
      </c>
      <c r="K706">
        <v>4</v>
      </c>
      <c r="L706">
        <v>30414</v>
      </c>
      <c r="M706">
        <v>5</v>
      </c>
      <c r="N706">
        <v>6082.8</v>
      </c>
      <c r="O706">
        <v>20803.18</v>
      </c>
      <c r="P706">
        <v>367</v>
      </c>
      <c r="Q706">
        <v>136743.38</v>
      </c>
      <c r="R706" t="s">
        <v>33</v>
      </c>
      <c r="S706" t="s">
        <v>63</v>
      </c>
      <c r="T706" t="s">
        <v>76</v>
      </c>
      <c r="U706" t="s">
        <v>77</v>
      </c>
      <c r="V706" t="s">
        <v>57</v>
      </c>
      <c r="W706">
        <v>8</v>
      </c>
      <c r="X706" t="s">
        <v>38</v>
      </c>
      <c r="Y706">
        <v>4</v>
      </c>
      <c r="Z706" t="s">
        <v>91</v>
      </c>
    </row>
    <row r="707" spans="1:26" x14ac:dyDescent="0.3">
      <c r="A707" t="s">
        <v>1290</v>
      </c>
      <c r="B707" s="2">
        <v>45963</v>
      </c>
      <c r="C707" t="s">
        <v>1291</v>
      </c>
      <c r="D707" t="s">
        <v>80</v>
      </c>
      <c r="E707" t="s">
        <v>43</v>
      </c>
      <c r="F707">
        <v>28</v>
      </c>
      <c r="G707" t="s">
        <v>90</v>
      </c>
      <c r="H707" t="s">
        <v>31</v>
      </c>
      <c r="I707" t="s">
        <v>90</v>
      </c>
      <c r="J707" t="s">
        <v>32</v>
      </c>
      <c r="K707">
        <v>3</v>
      </c>
      <c r="L707">
        <v>20894</v>
      </c>
      <c r="M707">
        <v>15</v>
      </c>
      <c r="N707">
        <v>9402.2999999999993</v>
      </c>
      <c r="O707">
        <v>9590.35</v>
      </c>
      <c r="P707">
        <v>68</v>
      </c>
      <c r="Q707">
        <v>62938.05</v>
      </c>
      <c r="R707" t="s">
        <v>54</v>
      </c>
      <c r="S707" t="s">
        <v>63</v>
      </c>
      <c r="T707" t="s">
        <v>35</v>
      </c>
      <c r="U707" t="s">
        <v>36</v>
      </c>
      <c r="V707" t="s">
        <v>37</v>
      </c>
      <c r="W707">
        <v>1</v>
      </c>
      <c r="X707" t="s">
        <v>47</v>
      </c>
      <c r="Y707">
        <v>5</v>
      </c>
      <c r="Z707" t="s">
        <v>58</v>
      </c>
    </row>
    <row r="708" spans="1:26" x14ac:dyDescent="0.3">
      <c r="A708" t="s">
        <v>1292</v>
      </c>
      <c r="B708" s="2">
        <v>46001</v>
      </c>
      <c r="C708" t="s">
        <v>1293</v>
      </c>
      <c r="D708" t="s">
        <v>66</v>
      </c>
      <c r="E708" t="s">
        <v>29</v>
      </c>
      <c r="F708">
        <v>35</v>
      </c>
      <c r="G708" t="s">
        <v>99</v>
      </c>
      <c r="H708" t="s">
        <v>52</v>
      </c>
      <c r="I708" t="s">
        <v>99</v>
      </c>
      <c r="J708" t="s">
        <v>150</v>
      </c>
      <c r="K708">
        <v>1</v>
      </c>
      <c r="L708">
        <v>9009</v>
      </c>
      <c r="M708">
        <v>15</v>
      </c>
      <c r="N708">
        <v>1351.35</v>
      </c>
      <c r="O708">
        <v>1378.38</v>
      </c>
      <c r="P708">
        <v>466</v>
      </c>
      <c r="Q708">
        <v>9502.0300000000007</v>
      </c>
      <c r="R708" t="s">
        <v>54</v>
      </c>
      <c r="S708" t="s">
        <v>63</v>
      </c>
      <c r="T708" t="s">
        <v>76</v>
      </c>
      <c r="U708" t="s">
        <v>77</v>
      </c>
      <c r="V708" t="s">
        <v>57</v>
      </c>
      <c r="W708">
        <v>7</v>
      </c>
      <c r="X708" t="s">
        <v>47</v>
      </c>
      <c r="Y708">
        <v>3</v>
      </c>
      <c r="Z708" t="s">
        <v>39</v>
      </c>
    </row>
    <row r="709" spans="1:26" x14ac:dyDescent="0.3">
      <c r="A709" t="s">
        <v>1294</v>
      </c>
      <c r="B709" s="2">
        <v>45876</v>
      </c>
      <c r="C709" t="s">
        <v>443</v>
      </c>
      <c r="D709" t="s">
        <v>42</v>
      </c>
      <c r="E709" t="s">
        <v>29</v>
      </c>
      <c r="F709">
        <v>36</v>
      </c>
      <c r="G709" t="s">
        <v>30</v>
      </c>
      <c r="H709" t="s">
        <v>31</v>
      </c>
      <c r="I709" t="s">
        <v>30</v>
      </c>
      <c r="J709" t="s">
        <v>75</v>
      </c>
      <c r="K709">
        <v>4</v>
      </c>
      <c r="L709">
        <v>40980</v>
      </c>
      <c r="M709">
        <v>20</v>
      </c>
      <c r="N709">
        <v>32784</v>
      </c>
      <c r="O709">
        <v>23604.48</v>
      </c>
      <c r="P709">
        <v>302</v>
      </c>
      <c r="Q709">
        <v>155042.48000000001</v>
      </c>
      <c r="R709" t="s">
        <v>54</v>
      </c>
      <c r="S709" t="s">
        <v>63</v>
      </c>
      <c r="T709" t="s">
        <v>95</v>
      </c>
      <c r="U709" t="s">
        <v>96</v>
      </c>
      <c r="V709" t="s">
        <v>57</v>
      </c>
      <c r="W709">
        <v>10</v>
      </c>
      <c r="X709" t="s">
        <v>47</v>
      </c>
      <c r="Y709">
        <v>3</v>
      </c>
      <c r="Z709" t="s">
        <v>39</v>
      </c>
    </row>
    <row r="710" spans="1:26" x14ac:dyDescent="0.3">
      <c r="A710" t="s">
        <v>1295</v>
      </c>
      <c r="B710" s="2">
        <v>45777</v>
      </c>
      <c r="C710" t="s">
        <v>1167</v>
      </c>
      <c r="D710" t="s">
        <v>89</v>
      </c>
      <c r="E710" t="s">
        <v>43</v>
      </c>
      <c r="F710">
        <v>53</v>
      </c>
      <c r="G710" t="s">
        <v>139</v>
      </c>
      <c r="H710" t="s">
        <v>31</v>
      </c>
      <c r="I710" t="s">
        <v>139</v>
      </c>
      <c r="J710" t="s">
        <v>125</v>
      </c>
      <c r="K710">
        <v>4</v>
      </c>
      <c r="L710">
        <v>17805</v>
      </c>
      <c r="M710">
        <v>5</v>
      </c>
      <c r="N710">
        <v>3561</v>
      </c>
      <c r="O710">
        <v>12178.62</v>
      </c>
      <c r="P710">
        <v>278</v>
      </c>
      <c r="Q710">
        <v>80115.62</v>
      </c>
      <c r="R710" t="s">
        <v>33</v>
      </c>
      <c r="S710" t="s">
        <v>63</v>
      </c>
      <c r="T710" t="s">
        <v>55</v>
      </c>
      <c r="U710" t="s">
        <v>56</v>
      </c>
      <c r="V710" t="s">
        <v>57</v>
      </c>
      <c r="W710">
        <v>2</v>
      </c>
      <c r="X710" t="s">
        <v>47</v>
      </c>
      <c r="Y710">
        <v>4</v>
      </c>
      <c r="Z710" t="s">
        <v>58</v>
      </c>
    </row>
    <row r="711" spans="1:26" x14ac:dyDescent="0.3">
      <c r="A711" t="s">
        <v>1296</v>
      </c>
      <c r="B711" s="2">
        <v>46051</v>
      </c>
      <c r="C711" t="s">
        <v>962</v>
      </c>
      <c r="D711" t="s">
        <v>50</v>
      </c>
      <c r="E711" t="s">
        <v>29</v>
      </c>
      <c r="F711">
        <v>56</v>
      </c>
      <c r="G711" t="s">
        <v>134</v>
      </c>
      <c r="H711" t="s">
        <v>31</v>
      </c>
      <c r="I711" t="s">
        <v>134</v>
      </c>
      <c r="J711" t="s">
        <v>150</v>
      </c>
      <c r="K711">
        <v>3</v>
      </c>
      <c r="L711">
        <v>27997</v>
      </c>
      <c r="M711">
        <v>10</v>
      </c>
      <c r="N711">
        <v>8399.1</v>
      </c>
      <c r="O711">
        <v>13606.54</v>
      </c>
      <c r="P711">
        <v>430</v>
      </c>
      <c r="Q711">
        <v>89628.44</v>
      </c>
      <c r="R711" t="s">
        <v>45</v>
      </c>
      <c r="S711" t="s">
        <v>34</v>
      </c>
      <c r="T711" t="s">
        <v>84</v>
      </c>
      <c r="U711" t="s">
        <v>85</v>
      </c>
      <c r="V711" t="s">
        <v>86</v>
      </c>
      <c r="W711">
        <v>7</v>
      </c>
      <c r="X711" t="s">
        <v>47</v>
      </c>
      <c r="Y711">
        <v>1</v>
      </c>
      <c r="Z711" t="s">
        <v>39</v>
      </c>
    </row>
    <row r="712" spans="1:26" x14ac:dyDescent="0.3">
      <c r="A712" t="s">
        <v>1297</v>
      </c>
      <c r="B712" s="2">
        <v>45854</v>
      </c>
      <c r="C712" t="s">
        <v>107</v>
      </c>
      <c r="D712" t="s">
        <v>66</v>
      </c>
      <c r="E712" t="s">
        <v>29</v>
      </c>
      <c r="F712">
        <v>58</v>
      </c>
      <c r="G712" t="s">
        <v>30</v>
      </c>
      <c r="H712" t="s">
        <v>31</v>
      </c>
      <c r="I712" t="s">
        <v>30</v>
      </c>
      <c r="J712" t="s">
        <v>125</v>
      </c>
      <c r="K712">
        <v>3</v>
      </c>
      <c r="L712">
        <v>16676</v>
      </c>
      <c r="M712">
        <v>5</v>
      </c>
      <c r="N712">
        <v>2501.4</v>
      </c>
      <c r="O712">
        <v>8554.7900000000009</v>
      </c>
      <c r="P712">
        <v>328</v>
      </c>
      <c r="Q712">
        <v>56409.39</v>
      </c>
      <c r="R712" t="s">
        <v>54</v>
      </c>
      <c r="S712" t="s">
        <v>63</v>
      </c>
      <c r="T712" t="s">
        <v>46</v>
      </c>
      <c r="U712" t="s">
        <v>36</v>
      </c>
      <c r="V712" t="s">
        <v>37</v>
      </c>
      <c r="W712">
        <v>1</v>
      </c>
      <c r="X712" t="s">
        <v>38</v>
      </c>
      <c r="Y712">
        <v>1</v>
      </c>
      <c r="Z712" t="s">
        <v>39</v>
      </c>
    </row>
    <row r="713" spans="1:26" x14ac:dyDescent="0.3">
      <c r="A713" t="s">
        <v>1298</v>
      </c>
      <c r="B713" s="2">
        <v>46046</v>
      </c>
      <c r="C713" t="s">
        <v>881</v>
      </c>
      <c r="D713" t="s">
        <v>80</v>
      </c>
      <c r="E713" t="s">
        <v>43</v>
      </c>
      <c r="F713">
        <v>50</v>
      </c>
      <c r="G713" t="s">
        <v>74</v>
      </c>
      <c r="H713" t="s">
        <v>31</v>
      </c>
      <c r="I713" t="s">
        <v>74</v>
      </c>
      <c r="J713" t="s">
        <v>32</v>
      </c>
      <c r="K713">
        <v>1</v>
      </c>
      <c r="L713">
        <v>29242</v>
      </c>
      <c r="M713">
        <v>20</v>
      </c>
      <c r="N713">
        <v>5848.4</v>
      </c>
      <c r="O713">
        <v>4210.8500000000004</v>
      </c>
      <c r="P713">
        <v>375</v>
      </c>
      <c r="Q713">
        <v>27979.45</v>
      </c>
      <c r="R713" t="s">
        <v>54</v>
      </c>
      <c r="S713" t="s">
        <v>63</v>
      </c>
      <c r="T713" t="s">
        <v>84</v>
      </c>
      <c r="U713" t="s">
        <v>85</v>
      </c>
      <c r="V713" t="s">
        <v>86</v>
      </c>
      <c r="W713">
        <v>3</v>
      </c>
      <c r="X713" t="s">
        <v>38</v>
      </c>
      <c r="Y713">
        <v>4</v>
      </c>
      <c r="Z713" t="s">
        <v>58</v>
      </c>
    </row>
    <row r="714" spans="1:26" x14ac:dyDescent="0.3">
      <c r="A714" t="s">
        <v>1299</v>
      </c>
      <c r="B714" s="2">
        <v>45858</v>
      </c>
      <c r="C714" t="s">
        <v>509</v>
      </c>
      <c r="D714" t="s">
        <v>50</v>
      </c>
      <c r="E714" t="s">
        <v>29</v>
      </c>
      <c r="F714">
        <v>41</v>
      </c>
      <c r="G714" t="s">
        <v>94</v>
      </c>
      <c r="H714" t="s">
        <v>31</v>
      </c>
      <c r="I714" t="s">
        <v>94</v>
      </c>
      <c r="J714" t="s">
        <v>32</v>
      </c>
      <c r="K714">
        <v>4</v>
      </c>
      <c r="L714">
        <v>11472</v>
      </c>
      <c r="M714">
        <v>5</v>
      </c>
      <c r="N714">
        <v>2294.4</v>
      </c>
      <c r="O714">
        <v>7846.85</v>
      </c>
      <c r="P714">
        <v>166</v>
      </c>
      <c r="Q714">
        <v>51606.45</v>
      </c>
      <c r="R714" t="s">
        <v>33</v>
      </c>
      <c r="S714" t="s">
        <v>63</v>
      </c>
      <c r="T714" t="s">
        <v>46</v>
      </c>
      <c r="U714" t="s">
        <v>36</v>
      </c>
      <c r="V714" t="s">
        <v>37</v>
      </c>
      <c r="W714">
        <v>7</v>
      </c>
      <c r="X714" t="s">
        <v>47</v>
      </c>
      <c r="Y714">
        <v>2</v>
      </c>
      <c r="Z714" t="s">
        <v>58</v>
      </c>
    </row>
    <row r="715" spans="1:26" x14ac:dyDescent="0.3">
      <c r="A715" t="s">
        <v>1300</v>
      </c>
      <c r="B715" s="2">
        <v>45818</v>
      </c>
      <c r="C715" t="s">
        <v>1301</v>
      </c>
      <c r="D715" t="s">
        <v>50</v>
      </c>
      <c r="E715" t="s">
        <v>29</v>
      </c>
      <c r="F715">
        <v>59</v>
      </c>
      <c r="G715" t="s">
        <v>90</v>
      </c>
      <c r="H715" t="s">
        <v>31</v>
      </c>
      <c r="I715" t="s">
        <v>90</v>
      </c>
      <c r="J715" t="s">
        <v>53</v>
      </c>
      <c r="K715">
        <v>1</v>
      </c>
      <c r="L715">
        <v>47287</v>
      </c>
      <c r="M715">
        <v>0</v>
      </c>
      <c r="N715">
        <v>0</v>
      </c>
      <c r="O715">
        <v>8511.66</v>
      </c>
      <c r="P715">
        <v>494</v>
      </c>
      <c r="Q715">
        <v>56292.66</v>
      </c>
      <c r="R715" t="s">
        <v>45</v>
      </c>
      <c r="S715" t="s">
        <v>63</v>
      </c>
      <c r="T715" t="s">
        <v>76</v>
      </c>
      <c r="U715" t="s">
        <v>77</v>
      </c>
      <c r="V715" t="s">
        <v>57</v>
      </c>
      <c r="W715">
        <v>6</v>
      </c>
      <c r="X715" t="s">
        <v>38</v>
      </c>
      <c r="Y715">
        <v>1</v>
      </c>
      <c r="Z715" t="s">
        <v>58</v>
      </c>
    </row>
    <row r="716" spans="1:26" x14ac:dyDescent="0.3">
      <c r="A716" t="s">
        <v>1302</v>
      </c>
      <c r="B716" s="2">
        <v>45884</v>
      </c>
      <c r="C716" t="s">
        <v>447</v>
      </c>
      <c r="D716" t="s">
        <v>73</v>
      </c>
      <c r="E716" t="s">
        <v>29</v>
      </c>
      <c r="F716">
        <v>54</v>
      </c>
      <c r="G716" t="s">
        <v>67</v>
      </c>
      <c r="H716" t="s">
        <v>68</v>
      </c>
      <c r="I716" t="s">
        <v>67</v>
      </c>
      <c r="J716" t="s">
        <v>62</v>
      </c>
      <c r="K716">
        <v>1</v>
      </c>
      <c r="L716">
        <v>27319</v>
      </c>
      <c r="M716">
        <v>20</v>
      </c>
      <c r="N716">
        <v>5463.8</v>
      </c>
      <c r="O716">
        <v>3933.94</v>
      </c>
      <c r="P716">
        <v>240</v>
      </c>
      <c r="Q716">
        <v>26029.14</v>
      </c>
      <c r="R716" t="s">
        <v>54</v>
      </c>
      <c r="S716" t="s">
        <v>63</v>
      </c>
      <c r="T716" t="s">
        <v>76</v>
      </c>
      <c r="U716" t="s">
        <v>77</v>
      </c>
      <c r="V716" t="s">
        <v>57</v>
      </c>
      <c r="W716">
        <v>3</v>
      </c>
      <c r="X716" t="s">
        <v>38</v>
      </c>
      <c r="Y716">
        <v>2</v>
      </c>
      <c r="Z716" t="s">
        <v>58</v>
      </c>
    </row>
    <row r="717" spans="1:26" x14ac:dyDescent="0.3">
      <c r="A717" t="s">
        <v>1303</v>
      </c>
      <c r="B717" s="2">
        <v>45765</v>
      </c>
      <c r="C717" t="s">
        <v>1304</v>
      </c>
      <c r="D717" t="s">
        <v>61</v>
      </c>
      <c r="E717" t="s">
        <v>43</v>
      </c>
      <c r="F717">
        <v>23</v>
      </c>
      <c r="G717" t="s">
        <v>134</v>
      </c>
      <c r="H717" t="s">
        <v>31</v>
      </c>
      <c r="I717" t="s">
        <v>134</v>
      </c>
      <c r="J717" t="s">
        <v>150</v>
      </c>
      <c r="K717">
        <v>2</v>
      </c>
      <c r="L717">
        <v>23777</v>
      </c>
      <c r="M717">
        <v>5</v>
      </c>
      <c r="N717">
        <v>2377.6999999999998</v>
      </c>
      <c r="O717">
        <v>8131.73</v>
      </c>
      <c r="P717">
        <v>196</v>
      </c>
      <c r="Q717">
        <v>53504.03</v>
      </c>
      <c r="R717" t="s">
        <v>83</v>
      </c>
      <c r="S717" t="s">
        <v>34</v>
      </c>
      <c r="T717" t="s">
        <v>84</v>
      </c>
      <c r="U717" t="s">
        <v>85</v>
      </c>
      <c r="V717" t="s">
        <v>86</v>
      </c>
      <c r="W717">
        <v>10</v>
      </c>
      <c r="X717" t="s">
        <v>47</v>
      </c>
      <c r="Y717">
        <v>2</v>
      </c>
      <c r="Z717" t="s">
        <v>47</v>
      </c>
    </row>
    <row r="718" spans="1:26" x14ac:dyDescent="0.3">
      <c r="A718" t="s">
        <v>1305</v>
      </c>
      <c r="B718" s="2">
        <v>45853</v>
      </c>
      <c r="C718" t="s">
        <v>1306</v>
      </c>
      <c r="D718" t="s">
        <v>80</v>
      </c>
      <c r="E718" t="s">
        <v>43</v>
      </c>
      <c r="F718">
        <v>49</v>
      </c>
      <c r="G718" t="s">
        <v>67</v>
      </c>
      <c r="H718" t="s">
        <v>68</v>
      </c>
      <c r="I718" t="s">
        <v>67</v>
      </c>
      <c r="J718" t="s">
        <v>32</v>
      </c>
      <c r="K718">
        <v>2</v>
      </c>
      <c r="L718">
        <v>47273</v>
      </c>
      <c r="M718">
        <v>15</v>
      </c>
      <c r="N718">
        <v>14181.9</v>
      </c>
      <c r="O718">
        <v>14465.54</v>
      </c>
      <c r="P718">
        <v>460</v>
      </c>
      <c r="Q718">
        <v>95289.64</v>
      </c>
      <c r="R718" t="s">
        <v>45</v>
      </c>
      <c r="S718" t="s">
        <v>34</v>
      </c>
      <c r="T718" t="s">
        <v>76</v>
      </c>
      <c r="U718" t="s">
        <v>77</v>
      </c>
      <c r="V718" t="s">
        <v>57</v>
      </c>
      <c r="W718">
        <v>2</v>
      </c>
      <c r="X718" t="s">
        <v>47</v>
      </c>
      <c r="Y718">
        <v>5</v>
      </c>
      <c r="Z718" t="s">
        <v>91</v>
      </c>
    </row>
    <row r="719" spans="1:26" x14ac:dyDescent="0.3">
      <c r="A719" t="s">
        <v>1307</v>
      </c>
      <c r="B719" s="2">
        <v>45948</v>
      </c>
      <c r="C719" t="s">
        <v>133</v>
      </c>
      <c r="D719" t="s">
        <v>50</v>
      </c>
      <c r="E719" t="s">
        <v>29</v>
      </c>
      <c r="F719">
        <v>55</v>
      </c>
      <c r="G719" t="s">
        <v>139</v>
      </c>
      <c r="H719" t="s">
        <v>31</v>
      </c>
      <c r="I719" t="s">
        <v>139</v>
      </c>
      <c r="J719" t="s">
        <v>69</v>
      </c>
      <c r="K719">
        <v>4</v>
      </c>
      <c r="L719">
        <v>5695</v>
      </c>
      <c r="M719">
        <v>5</v>
      </c>
      <c r="N719">
        <v>1139</v>
      </c>
      <c r="O719">
        <v>3895.38</v>
      </c>
      <c r="P719">
        <v>183</v>
      </c>
      <c r="Q719">
        <v>25719.38</v>
      </c>
      <c r="R719" t="s">
        <v>45</v>
      </c>
      <c r="S719" t="s">
        <v>63</v>
      </c>
      <c r="T719" t="s">
        <v>70</v>
      </c>
      <c r="U719" t="s">
        <v>56</v>
      </c>
      <c r="V719" t="s">
        <v>57</v>
      </c>
      <c r="W719">
        <v>9</v>
      </c>
      <c r="X719" t="s">
        <v>38</v>
      </c>
      <c r="Y719">
        <v>4</v>
      </c>
      <c r="Z719" t="s">
        <v>91</v>
      </c>
    </row>
    <row r="720" spans="1:26" x14ac:dyDescent="0.3">
      <c r="A720" t="s">
        <v>1308</v>
      </c>
      <c r="B720" s="2">
        <v>46032</v>
      </c>
      <c r="C720" t="s">
        <v>1309</v>
      </c>
      <c r="D720" t="s">
        <v>28</v>
      </c>
      <c r="E720" t="s">
        <v>29</v>
      </c>
      <c r="F720">
        <v>33</v>
      </c>
      <c r="G720" t="s">
        <v>30</v>
      </c>
      <c r="H720" t="s">
        <v>31</v>
      </c>
      <c r="I720" t="s">
        <v>30</v>
      </c>
      <c r="J720" t="s">
        <v>62</v>
      </c>
      <c r="K720">
        <v>4</v>
      </c>
      <c r="L720">
        <v>25749</v>
      </c>
      <c r="M720">
        <v>0</v>
      </c>
      <c r="N720">
        <v>0</v>
      </c>
      <c r="O720">
        <v>18539.28</v>
      </c>
      <c r="P720">
        <v>488</v>
      </c>
      <c r="Q720">
        <v>122023.28</v>
      </c>
      <c r="R720" t="s">
        <v>45</v>
      </c>
      <c r="S720" t="s">
        <v>63</v>
      </c>
      <c r="T720" t="s">
        <v>46</v>
      </c>
      <c r="U720" t="s">
        <v>36</v>
      </c>
      <c r="V720" t="s">
        <v>37</v>
      </c>
      <c r="W720">
        <v>6</v>
      </c>
      <c r="X720" t="s">
        <v>47</v>
      </c>
      <c r="Y720">
        <v>1</v>
      </c>
      <c r="Z720" t="s">
        <v>47</v>
      </c>
    </row>
    <row r="721" spans="1:26" x14ac:dyDescent="0.3">
      <c r="A721" t="s">
        <v>1310</v>
      </c>
      <c r="B721" s="2">
        <v>46094</v>
      </c>
      <c r="C721" t="s">
        <v>1117</v>
      </c>
      <c r="D721" t="s">
        <v>73</v>
      </c>
      <c r="E721" t="s">
        <v>43</v>
      </c>
      <c r="F721">
        <v>48</v>
      </c>
      <c r="G721" t="s">
        <v>67</v>
      </c>
      <c r="H721" t="s">
        <v>68</v>
      </c>
      <c r="I721" t="s">
        <v>67</v>
      </c>
      <c r="J721" t="s">
        <v>53</v>
      </c>
      <c r="K721">
        <v>3</v>
      </c>
      <c r="L721">
        <v>20383</v>
      </c>
      <c r="M721">
        <v>20</v>
      </c>
      <c r="N721">
        <v>12229.8</v>
      </c>
      <c r="O721">
        <v>8805.4599999999991</v>
      </c>
      <c r="P721">
        <v>320</v>
      </c>
      <c r="Q721">
        <v>58044.66</v>
      </c>
      <c r="R721" t="s">
        <v>83</v>
      </c>
      <c r="S721" t="s">
        <v>63</v>
      </c>
      <c r="T721" t="s">
        <v>35</v>
      </c>
      <c r="U721" t="s">
        <v>36</v>
      </c>
      <c r="V721" t="s">
        <v>37</v>
      </c>
      <c r="W721">
        <v>1</v>
      </c>
      <c r="X721" t="s">
        <v>47</v>
      </c>
      <c r="Y721">
        <v>2</v>
      </c>
      <c r="Z721" t="s">
        <v>39</v>
      </c>
    </row>
    <row r="722" spans="1:26" x14ac:dyDescent="0.3">
      <c r="A722" t="s">
        <v>1311</v>
      </c>
      <c r="B722" s="2">
        <v>45809</v>
      </c>
      <c r="C722" t="s">
        <v>660</v>
      </c>
      <c r="D722" t="s">
        <v>50</v>
      </c>
      <c r="E722" t="s">
        <v>43</v>
      </c>
      <c r="F722">
        <v>34</v>
      </c>
      <c r="G722" t="s">
        <v>44</v>
      </c>
      <c r="H722" t="s">
        <v>31</v>
      </c>
      <c r="I722" t="s">
        <v>44</v>
      </c>
      <c r="J722" t="s">
        <v>32</v>
      </c>
      <c r="K722">
        <v>4</v>
      </c>
      <c r="L722">
        <v>44550</v>
      </c>
      <c r="M722">
        <v>10</v>
      </c>
      <c r="N722">
        <v>17820</v>
      </c>
      <c r="O722">
        <v>28868.400000000001</v>
      </c>
      <c r="P722">
        <v>449</v>
      </c>
      <c r="Q722">
        <v>189697.4</v>
      </c>
      <c r="R722" t="s">
        <v>33</v>
      </c>
      <c r="S722" t="s">
        <v>63</v>
      </c>
      <c r="T722" t="s">
        <v>35</v>
      </c>
      <c r="U722" t="s">
        <v>36</v>
      </c>
      <c r="V722" t="s">
        <v>37</v>
      </c>
      <c r="W722">
        <v>7</v>
      </c>
      <c r="X722" t="s">
        <v>38</v>
      </c>
      <c r="Y722">
        <v>3</v>
      </c>
      <c r="Z722" t="s">
        <v>47</v>
      </c>
    </row>
    <row r="723" spans="1:26" x14ac:dyDescent="0.3">
      <c r="A723" t="s">
        <v>1312</v>
      </c>
      <c r="B723" s="2">
        <v>45988</v>
      </c>
      <c r="C723" t="s">
        <v>1313</v>
      </c>
      <c r="D723" t="s">
        <v>61</v>
      </c>
      <c r="E723" t="s">
        <v>43</v>
      </c>
      <c r="F723">
        <v>35</v>
      </c>
      <c r="G723" t="s">
        <v>139</v>
      </c>
      <c r="H723" t="s">
        <v>31</v>
      </c>
      <c r="I723" t="s">
        <v>139</v>
      </c>
      <c r="J723" t="s">
        <v>112</v>
      </c>
      <c r="K723">
        <v>3</v>
      </c>
      <c r="L723">
        <v>17487</v>
      </c>
      <c r="M723">
        <v>20</v>
      </c>
      <c r="N723">
        <v>10492.2</v>
      </c>
      <c r="O723">
        <v>7554.38</v>
      </c>
      <c r="P723">
        <v>447</v>
      </c>
      <c r="Q723">
        <v>49970.18</v>
      </c>
      <c r="R723" t="s">
        <v>83</v>
      </c>
      <c r="S723" t="s">
        <v>34</v>
      </c>
      <c r="T723" t="s">
        <v>70</v>
      </c>
      <c r="U723" t="s">
        <v>56</v>
      </c>
      <c r="V723" t="s">
        <v>57</v>
      </c>
      <c r="W723">
        <v>10</v>
      </c>
      <c r="X723" t="s">
        <v>38</v>
      </c>
      <c r="Y723">
        <v>5</v>
      </c>
      <c r="Z723" t="s">
        <v>39</v>
      </c>
    </row>
    <row r="724" spans="1:26" x14ac:dyDescent="0.3">
      <c r="A724" t="s">
        <v>1314</v>
      </c>
      <c r="B724" s="2">
        <v>46017</v>
      </c>
      <c r="C724" t="s">
        <v>1239</v>
      </c>
      <c r="D724" t="s">
        <v>73</v>
      </c>
      <c r="E724" t="s">
        <v>29</v>
      </c>
      <c r="F724">
        <v>20</v>
      </c>
      <c r="G724" t="s">
        <v>44</v>
      </c>
      <c r="H724" t="s">
        <v>31</v>
      </c>
      <c r="I724" t="s">
        <v>44</v>
      </c>
      <c r="J724" t="s">
        <v>75</v>
      </c>
      <c r="K724">
        <v>3</v>
      </c>
      <c r="L724">
        <v>32893</v>
      </c>
      <c r="M724">
        <v>5</v>
      </c>
      <c r="N724">
        <v>4933.95</v>
      </c>
      <c r="O724">
        <v>16874.11</v>
      </c>
      <c r="P724">
        <v>386</v>
      </c>
      <c r="Q724">
        <v>111005.16</v>
      </c>
      <c r="R724" t="s">
        <v>54</v>
      </c>
      <c r="S724" t="s">
        <v>63</v>
      </c>
      <c r="T724" t="s">
        <v>35</v>
      </c>
      <c r="U724" t="s">
        <v>36</v>
      </c>
      <c r="V724" t="s">
        <v>37</v>
      </c>
      <c r="W724">
        <v>7</v>
      </c>
      <c r="X724" t="s">
        <v>38</v>
      </c>
      <c r="Y724">
        <v>4</v>
      </c>
      <c r="Z724" t="s">
        <v>47</v>
      </c>
    </row>
    <row r="725" spans="1:26" x14ac:dyDescent="0.3">
      <c r="A725" t="s">
        <v>1315</v>
      </c>
      <c r="B725" s="2">
        <v>45898</v>
      </c>
      <c r="C725" t="s">
        <v>1167</v>
      </c>
      <c r="D725" t="s">
        <v>80</v>
      </c>
      <c r="E725" t="s">
        <v>43</v>
      </c>
      <c r="F725">
        <v>33</v>
      </c>
      <c r="G725" t="s">
        <v>99</v>
      </c>
      <c r="H725" t="s">
        <v>52</v>
      </c>
      <c r="I725" t="s">
        <v>99</v>
      </c>
      <c r="J725" t="s">
        <v>112</v>
      </c>
      <c r="K725">
        <v>2</v>
      </c>
      <c r="L725">
        <v>48999</v>
      </c>
      <c r="M725">
        <v>10</v>
      </c>
      <c r="N725">
        <v>9799.7999999999993</v>
      </c>
      <c r="O725">
        <v>15875.68</v>
      </c>
      <c r="P725">
        <v>136</v>
      </c>
      <c r="Q725">
        <v>104209.88</v>
      </c>
      <c r="R725" t="s">
        <v>54</v>
      </c>
      <c r="S725" t="s">
        <v>63</v>
      </c>
      <c r="T725" t="s">
        <v>35</v>
      </c>
      <c r="U725" t="s">
        <v>36</v>
      </c>
      <c r="V725" t="s">
        <v>37</v>
      </c>
      <c r="W725">
        <v>7</v>
      </c>
      <c r="X725" t="s">
        <v>38</v>
      </c>
      <c r="Y725">
        <v>1</v>
      </c>
      <c r="Z725" t="s">
        <v>39</v>
      </c>
    </row>
    <row r="726" spans="1:26" x14ac:dyDescent="0.3">
      <c r="A726" t="s">
        <v>1316</v>
      </c>
      <c r="B726" s="2">
        <v>45788</v>
      </c>
      <c r="C726" t="s">
        <v>1317</v>
      </c>
      <c r="D726" t="s">
        <v>80</v>
      </c>
      <c r="E726" t="s">
        <v>43</v>
      </c>
      <c r="F726">
        <v>54</v>
      </c>
      <c r="G726" t="s">
        <v>139</v>
      </c>
      <c r="H726" t="s">
        <v>31</v>
      </c>
      <c r="I726" t="s">
        <v>139</v>
      </c>
      <c r="J726" t="s">
        <v>201</v>
      </c>
      <c r="K726">
        <v>5</v>
      </c>
      <c r="L726">
        <v>21651</v>
      </c>
      <c r="M726">
        <v>15</v>
      </c>
      <c r="N726">
        <v>16238.25</v>
      </c>
      <c r="O726">
        <v>16563.009999999998</v>
      </c>
      <c r="P726">
        <v>226</v>
      </c>
      <c r="Q726">
        <v>108805.75999999999</v>
      </c>
      <c r="R726" t="s">
        <v>54</v>
      </c>
      <c r="S726" t="s">
        <v>34</v>
      </c>
      <c r="T726" t="s">
        <v>70</v>
      </c>
      <c r="U726" t="s">
        <v>56</v>
      </c>
      <c r="V726" t="s">
        <v>57</v>
      </c>
      <c r="W726">
        <v>2</v>
      </c>
      <c r="X726" t="s">
        <v>38</v>
      </c>
      <c r="Y726">
        <v>3</v>
      </c>
      <c r="Z726" t="s">
        <v>39</v>
      </c>
    </row>
    <row r="727" spans="1:26" x14ac:dyDescent="0.3">
      <c r="A727" t="s">
        <v>1318</v>
      </c>
      <c r="B727" s="2">
        <v>46112</v>
      </c>
      <c r="C727" t="s">
        <v>609</v>
      </c>
      <c r="D727" t="s">
        <v>108</v>
      </c>
      <c r="E727" t="s">
        <v>43</v>
      </c>
      <c r="F727">
        <v>21</v>
      </c>
      <c r="G727" t="s">
        <v>134</v>
      </c>
      <c r="H727" t="s">
        <v>31</v>
      </c>
      <c r="I727" t="s">
        <v>134</v>
      </c>
      <c r="J727" t="s">
        <v>75</v>
      </c>
      <c r="K727">
        <v>3</v>
      </c>
      <c r="L727">
        <v>33508</v>
      </c>
      <c r="M727">
        <v>10</v>
      </c>
      <c r="N727">
        <v>10052.4</v>
      </c>
      <c r="O727">
        <v>16284.89</v>
      </c>
      <c r="P727">
        <v>103</v>
      </c>
      <c r="Q727">
        <v>106859.49</v>
      </c>
      <c r="R727" t="s">
        <v>33</v>
      </c>
      <c r="S727" t="s">
        <v>63</v>
      </c>
      <c r="T727" t="s">
        <v>46</v>
      </c>
      <c r="U727" t="s">
        <v>36</v>
      </c>
      <c r="V727" t="s">
        <v>37</v>
      </c>
      <c r="W727">
        <v>5</v>
      </c>
      <c r="X727" t="s">
        <v>47</v>
      </c>
      <c r="Y727">
        <v>1</v>
      </c>
      <c r="Z727" t="s">
        <v>47</v>
      </c>
    </row>
    <row r="728" spans="1:26" x14ac:dyDescent="0.3">
      <c r="A728" t="s">
        <v>1319</v>
      </c>
      <c r="B728" s="2">
        <v>45924</v>
      </c>
      <c r="C728" t="s">
        <v>906</v>
      </c>
      <c r="D728" t="s">
        <v>42</v>
      </c>
      <c r="E728" t="s">
        <v>29</v>
      </c>
      <c r="F728">
        <v>41</v>
      </c>
      <c r="G728" t="s">
        <v>139</v>
      </c>
      <c r="H728" t="s">
        <v>31</v>
      </c>
      <c r="I728" t="s">
        <v>139</v>
      </c>
      <c r="J728" t="s">
        <v>150</v>
      </c>
      <c r="K728">
        <v>2</v>
      </c>
      <c r="L728">
        <v>43281</v>
      </c>
      <c r="M728">
        <v>5</v>
      </c>
      <c r="N728">
        <v>4328.1000000000004</v>
      </c>
      <c r="O728">
        <v>14802.1</v>
      </c>
      <c r="P728">
        <v>87</v>
      </c>
      <c r="Q728">
        <v>97123</v>
      </c>
      <c r="R728" t="s">
        <v>45</v>
      </c>
      <c r="S728" t="s">
        <v>63</v>
      </c>
      <c r="T728" t="s">
        <v>35</v>
      </c>
      <c r="U728" t="s">
        <v>36</v>
      </c>
      <c r="V728" t="s">
        <v>37</v>
      </c>
      <c r="W728">
        <v>7</v>
      </c>
      <c r="X728" t="s">
        <v>47</v>
      </c>
      <c r="Y728">
        <v>1</v>
      </c>
      <c r="Z728" t="s">
        <v>47</v>
      </c>
    </row>
    <row r="729" spans="1:26" x14ac:dyDescent="0.3">
      <c r="A729" t="s">
        <v>1320</v>
      </c>
      <c r="B729" s="2">
        <v>45852</v>
      </c>
      <c r="C729" t="s">
        <v>851</v>
      </c>
      <c r="D729" t="s">
        <v>66</v>
      </c>
      <c r="E729" t="s">
        <v>29</v>
      </c>
      <c r="F729">
        <v>30</v>
      </c>
      <c r="G729" t="s">
        <v>30</v>
      </c>
      <c r="H729" t="s">
        <v>31</v>
      </c>
      <c r="I729" t="s">
        <v>30</v>
      </c>
      <c r="J729" t="s">
        <v>112</v>
      </c>
      <c r="K729">
        <v>2</v>
      </c>
      <c r="L729">
        <v>41547</v>
      </c>
      <c r="M729">
        <v>10</v>
      </c>
      <c r="N729">
        <v>8309.4</v>
      </c>
      <c r="O729">
        <v>13461.23</v>
      </c>
      <c r="P729">
        <v>154</v>
      </c>
      <c r="Q729">
        <v>88399.83</v>
      </c>
      <c r="R729" t="s">
        <v>45</v>
      </c>
      <c r="S729" t="s">
        <v>63</v>
      </c>
      <c r="T729" t="s">
        <v>70</v>
      </c>
      <c r="U729" t="s">
        <v>56</v>
      </c>
      <c r="V729" t="s">
        <v>57</v>
      </c>
      <c r="W729">
        <v>4</v>
      </c>
      <c r="X729" t="s">
        <v>38</v>
      </c>
      <c r="Y729">
        <v>3</v>
      </c>
      <c r="Z729" t="s">
        <v>58</v>
      </c>
    </row>
    <row r="730" spans="1:26" x14ac:dyDescent="0.3">
      <c r="A730" t="s">
        <v>1321</v>
      </c>
      <c r="B730" s="2">
        <v>45974</v>
      </c>
      <c r="C730" t="s">
        <v>1322</v>
      </c>
      <c r="D730" t="s">
        <v>61</v>
      </c>
      <c r="E730" t="s">
        <v>29</v>
      </c>
      <c r="F730">
        <v>26</v>
      </c>
      <c r="G730" t="s">
        <v>74</v>
      </c>
      <c r="H730" t="s">
        <v>31</v>
      </c>
      <c r="I730" t="s">
        <v>74</v>
      </c>
      <c r="J730" t="s">
        <v>125</v>
      </c>
      <c r="K730">
        <v>3</v>
      </c>
      <c r="L730">
        <v>27978</v>
      </c>
      <c r="M730">
        <v>5</v>
      </c>
      <c r="N730">
        <v>4196.7</v>
      </c>
      <c r="O730">
        <v>14352.71</v>
      </c>
      <c r="P730">
        <v>109</v>
      </c>
      <c r="Q730">
        <v>94199.01</v>
      </c>
      <c r="R730" t="s">
        <v>54</v>
      </c>
      <c r="S730" t="s">
        <v>63</v>
      </c>
      <c r="T730" t="s">
        <v>35</v>
      </c>
      <c r="U730" t="s">
        <v>36</v>
      </c>
      <c r="V730" t="s">
        <v>37</v>
      </c>
      <c r="W730">
        <v>7</v>
      </c>
      <c r="X730" t="s">
        <v>38</v>
      </c>
      <c r="Y730">
        <v>2</v>
      </c>
      <c r="Z730" t="s">
        <v>47</v>
      </c>
    </row>
    <row r="731" spans="1:26" x14ac:dyDescent="0.3">
      <c r="A731" t="s">
        <v>1323</v>
      </c>
      <c r="B731" s="2">
        <v>45962</v>
      </c>
      <c r="C731" t="s">
        <v>1324</v>
      </c>
      <c r="D731" t="s">
        <v>61</v>
      </c>
      <c r="E731" t="s">
        <v>43</v>
      </c>
      <c r="F731">
        <v>28</v>
      </c>
      <c r="G731" t="s">
        <v>134</v>
      </c>
      <c r="H731" t="s">
        <v>31</v>
      </c>
      <c r="I731" t="s">
        <v>134</v>
      </c>
      <c r="J731" t="s">
        <v>201</v>
      </c>
      <c r="K731">
        <v>1</v>
      </c>
      <c r="L731">
        <v>45792</v>
      </c>
      <c r="M731">
        <v>20</v>
      </c>
      <c r="N731">
        <v>9158.4</v>
      </c>
      <c r="O731">
        <v>6594.05</v>
      </c>
      <c r="P731">
        <v>224</v>
      </c>
      <c r="Q731">
        <v>43451.65</v>
      </c>
      <c r="R731" t="s">
        <v>33</v>
      </c>
      <c r="S731" t="s">
        <v>63</v>
      </c>
      <c r="T731" t="s">
        <v>95</v>
      </c>
      <c r="U731" t="s">
        <v>96</v>
      </c>
      <c r="V731" t="s">
        <v>57</v>
      </c>
      <c r="W731">
        <v>6</v>
      </c>
      <c r="X731" t="s">
        <v>47</v>
      </c>
      <c r="Y731">
        <v>3</v>
      </c>
      <c r="Z731" t="s">
        <v>58</v>
      </c>
    </row>
    <row r="732" spans="1:26" x14ac:dyDescent="0.3">
      <c r="A732" t="s">
        <v>1325</v>
      </c>
      <c r="B732" s="2">
        <v>46030</v>
      </c>
      <c r="C732" t="s">
        <v>223</v>
      </c>
      <c r="D732" t="s">
        <v>61</v>
      </c>
      <c r="E732" t="s">
        <v>29</v>
      </c>
      <c r="F732">
        <v>46</v>
      </c>
      <c r="G732" t="s">
        <v>99</v>
      </c>
      <c r="H732" t="s">
        <v>52</v>
      </c>
      <c r="I732" t="s">
        <v>99</v>
      </c>
      <c r="J732" t="s">
        <v>32</v>
      </c>
      <c r="K732">
        <v>3</v>
      </c>
      <c r="L732">
        <v>42112</v>
      </c>
      <c r="M732">
        <v>10</v>
      </c>
      <c r="N732">
        <v>12633.6</v>
      </c>
      <c r="O732">
        <v>20466.43</v>
      </c>
      <c r="P732">
        <v>357</v>
      </c>
      <c r="Q732">
        <v>134525.82999999999</v>
      </c>
      <c r="R732" t="s">
        <v>54</v>
      </c>
      <c r="S732" t="s">
        <v>34</v>
      </c>
      <c r="T732" t="s">
        <v>95</v>
      </c>
      <c r="U732" t="s">
        <v>96</v>
      </c>
      <c r="V732" t="s">
        <v>57</v>
      </c>
      <c r="W732">
        <v>8</v>
      </c>
      <c r="X732" t="s">
        <v>38</v>
      </c>
      <c r="Y732">
        <v>5</v>
      </c>
      <c r="Z732" t="s">
        <v>91</v>
      </c>
    </row>
    <row r="733" spans="1:26" x14ac:dyDescent="0.3">
      <c r="A733" t="s">
        <v>1326</v>
      </c>
      <c r="B733" s="2">
        <v>45963</v>
      </c>
      <c r="C733" t="s">
        <v>983</v>
      </c>
      <c r="D733" t="s">
        <v>89</v>
      </c>
      <c r="E733" t="s">
        <v>43</v>
      </c>
      <c r="F733">
        <v>42</v>
      </c>
      <c r="G733" t="s">
        <v>99</v>
      </c>
      <c r="H733" t="s">
        <v>52</v>
      </c>
      <c r="I733" t="s">
        <v>99</v>
      </c>
      <c r="J733" t="s">
        <v>150</v>
      </c>
      <c r="K733">
        <v>1</v>
      </c>
      <c r="L733">
        <v>9485</v>
      </c>
      <c r="M733">
        <v>15</v>
      </c>
      <c r="N733">
        <v>1422.75</v>
      </c>
      <c r="O733">
        <v>1451.2</v>
      </c>
      <c r="P733">
        <v>167</v>
      </c>
      <c r="Q733">
        <v>9680.4500000000007</v>
      </c>
      <c r="R733" t="s">
        <v>33</v>
      </c>
      <c r="S733" t="s">
        <v>34</v>
      </c>
      <c r="T733" t="s">
        <v>84</v>
      </c>
      <c r="U733" t="s">
        <v>85</v>
      </c>
      <c r="V733" t="s">
        <v>86</v>
      </c>
      <c r="W733">
        <v>1</v>
      </c>
      <c r="X733" t="s">
        <v>38</v>
      </c>
      <c r="Y733">
        <v>1</v>
      </c>
      <c r="Z733" t="s">
        <v>58</v>
      </c>
    </row>
    <row r="734" spans="1:26" x14ac:dyDescent="0.3">
      <c r="A734" t="s">
        <v>1327</v>
      </c>
      <c r="B734" s="2">
        <v>45891</v>
      </c>
      <c r="C734" t="s">
        <v>1328</v>
      </c>
      <c r="D734" t="s">
        <v>28</v>
      </c>
      <c r="E734" t="s">
        <v>43</v>
      </c>
      <c r="F734">
        <v>53</v>
      </c>
      <c r="G734" t="s">
        <v>30</v>
      </c>
      <c r="H734" t="s">
        <v>31</v>
      </c>
      <c r="I734" t="s">
        <v>30</v>
      </c>
      <c r="J734" t="s">
        <v>102</v>
      </c>
      <c r="K734">
        <v>3</v>
      </c>
      <c r="L734">
        <v>3588</v>
      </c>
      <c r="M734">
        <v>15</v>
      </c>
      <c r="N734">
        <v>1614.6</v>
      </c>
      <c r="O734">
        <v>1646.89</v>
      </c>
      <c r="P734">
        <v>206</v>
      </c>
      <c r="Q734">
        <v>11002.29</v>
      </c>
      <c r="R734" t="s">
        <v>54</v>
      </c>
      <c r="S734" t="s">
        <v>34</v>
      </c>
      <c r="T734" t="s">
        <v>103</v>
      </c>
      <c r="U734" t="s">
        <v>103</v>
      </c>
      <c r="V734" t="s">
        <v>57</v>
      </c>
      <c r="W734">
        <v>10</v>
      </c>
      <c r="X734" t="s">
        <v>38</v>
      </c>
      <c r="Y734">
        <v>4</v>
      </c>
      <c r="Z734" t="s">
        <v>47</v>
      </c>
    </row>
    <row r="735" spans="1:26" x14ac:dyDescent="0.3">
      <c r="A735" t="s">
        <v>1329</v>
      </c>
      <c r="B735" s="2">
        <v>45848</v>
      </c>
      <c r="C735" t="s">
        <v>824</v>
      </c>
      <c r="D735" t="s">
        <v>61</v>
      </c>
      <c r="E735" t="s">
        <v>43</v>
      </c>
      <c r="F735">
        <v>56</v>
      </c>
      <c r="G735" t="s">
        <v>51</v>
      </c>
      <c r="H735" t="s">
        <v>52</v>
      </c>
      <c r="I735" t="s">
        <v>51</v>
      </c>
      <c r="J735" t="s">
        <v>53</v>
      </c>
      <c r="K735">
        <v>1</v>
      </c>
      <c r="L735">
        <v>44046</v>
      </c>
      <c r="M735">
        <v>20</v>
      </c>
      <c r="N735">
        <v>8809.2000000000007</v>
      </c>
      <c r="O735">
        <v>6342.62</v>
      </c>
      <c r="P735">
        <v>311</v>
      </c>
      <c r="Q735">
        <v>41890.42</v>
      </c>
      <c r="R735" t="s">
        <v>54</v>
      </c>
      <c r="S735" t="s">
        <v>34</v>
      </c>
      <c r="T735" t="s">
        <v>103</v>
      </c>
      <c r="U735" t="s">
        <v>103</v>
      </c>
      <c r="V735" t="s">
        <v>57</v>
      </c>
      <c r="W735">
        <v>5</v>
      </c>
      <c r="X735" t="s">
        <v>47</v>
      </c>
      <c r="Y735">
        <v>4</v>
      </c>
      <c r="Z735" t="s">
        <v>91</v>
      </c>
    </row>
    <row r="736" spans="1:26" x14ac:dyDescent="0.3">
      <c r="A736" t="s">
        <v>1330</v>
      </c>
      <c r="B736" s="2">
        <v>45970</v>
      </c>
      <c r="C736" t="s">
        <v>1331</v>
      </c>
      <c r="D736" t="s">
        <v>89</v>
      </c>
      <c r="E736" t="s">
        <v>43</v>
      </c>
      <c r="F736">
        <v>25</v>
      </c>
      <c r="G736" t="s">
        <v>51</v>
      </c>
      <c r="H736" t="s">
        <v>52</v>
      </c>
      <c r="I736" t="s">
        <v>51</v>
      </c>
      <c r="J736" t="s">
        <v>150</v>
      </c>
      <c r="K736">
        <v>5</v>
      </c>
      <c r="L736">
        <v>6165</v>
      </c>
      <c r="M736">
        <v>20</v>
      </c>
      <c r="N736">
        <v>6165</v>
      </c>
      <c r="O736">
        <v>4438.8</v>
      </c>
      <c r="P736">
        <v>424</v>
      </c>
      <c r="Q736">
        <v>29522.799999999999</v>
      </c>
      <c r="R736" t="s">
        <v>83</v>
      </c>
      <c r="S736" t="s">
        <v>34</v>
      </c>
      <c r="T736" t="s">
        <v>103</v>
      </c>
      <c r="U736" t="s">
        <v>103</v>
      </c>
      <c r="V736" t="s">
        <v>57</v>
      </c>
      <c r="W736">
        <v>8</v>
      </c>
      <c r="X736" t="s">
        <v>38</v>
      </c>
      <c r="Y736">
        <v>5</v>
      </c>
      <c r="Z736" t="s">
        <v>58</v>
      </c>
    </row>
    <row r="737" spans="1:26" x14ac:dyDescent="0.3">
      <c r="A737" t="s">
        <v>1332</v>
      </c>
      <c r="B737" s="2">
        <v>45939</v>
      </c>
      <c r="C737" t="s">
        <v>948</v>
      </c>
      <c r="D737" t="s">
        <v>80</v>
      </c>
      <c r="E737" t="s">
        <v>29</v>
      </c>
      <c r="F737">
        <v>59</v>
      </c>
      <c r="G737" t="s">
        <v>90</v>
      </c>
      <c r="H737" t="s">
        <v>31</v>
      </c>
      <c r="I737" t="s">
        <v>90</v>
      </c>
      <c r="J737" t="s">
        <v>62</v>
      </c>
      <c r="K737">
        <v>4</v>
      </c>
      <c r="L737">
        <v>2086</v>
      </c>
      <c r="M737">
        <v>20</v>
      </c>
      <c r="N737">
        <v>1668.8</v>
      </c>
      <c r="O737">
        <v>1201.54</v>
      </c>
      <c r="P737">
        <v>360</v>
      </c>
      <c r="Q737">
        <v>8236.74</v>
      </c>
      <c r="R737" t="s">
        <v>45</v>
      </c>
      <c r="S737" t="s">
        <v>63</v>
      </c>
      <c r="T737" t="s">
        <v>103</v>
      </c>
      <c r="U737" t="s">
        <v>103</v>
      </c>
      <c r="V737" t="s">
        <v>57</v>
      </c>
      <c r="W737">
        <v>2</v>
      </c>
      <c r="X737" t="s">
        <v>47</v>
      </c>
      <c r="Y737">
        <v>4</v>
      </c>
      <c r="Z737" t="s">
        <v>91</v>
      </c>
    </row>
    <row r="738" spans="1:26" x14ac:dyDescent="0.3">
      <c r="A738" t="s">
        <v>1333</v>
      </c>
      <c r="B738" s="2">
        <v>45859</v>
      </c>
      <c r="C738" t="s">
        <v>746</v>
      </c>
      <c r="D738" t="s">
        <v>111</v>
      </c>
      <c r="E738" t="s">
        <v>43</v>
      </c>
      <c r="F738">
        <v>47</v>
      </c>
      <c r="G738" t="s">
        <v>51</v>
      </c>
      <c r="H738" t="s">
        <v>52</v>
      </c>
      <c r="I738" t="s">
        <v>51</v>
      </c>
      <c r="J738" t="s">
        <v>112</v>
      </c>
      <c r="K738">
        <v>1</v>
      </c>
      <c r="L738">
        <v>1296</v>
      </c>
      <c r="M738">
        <v>15</v>
      </c>
      <c r="N738">
        <v>194.4</v>
      </c>
      <c r="O738">
        <v>198.29</v>
      </c>
      <c r="P738">
        <v>410</v>
      </c>
      <c r="Q738">
        <v>1709.89</v>
      </c>
      <c r="R738" t="s">
        <v>54</v>
      </c>
      <c r="S738" t="s">
        <v>34</v>
      </c>
      <c r="T738" t="s">
        <v>84</v>
      </c>
      <c r="U738" t="s">
        <v>85</v>
      </c>
      <c r="V738" t="s">
        <v>86</v>
      </c>
      <c r="W738">
        <v>5</v>
      </c>
      <c r="X738" t="s">
        <v>38</v>
      </c>
      <c r="Y738">
        <v>3</v>
      </c>
      <c r="Z738" t="s">
        <v>58</v>
      </c>
    </row>
    <row r="739" spans="1:26" x14ac:dyDescent="0.3">
      <c r="A739" t="s">
        <v>1334</v>
      </c>
      <c r="B739" s="2">
        <v>46077</v>
      </c>
      <c r="C739" t="s">
        <v>193</v>
      </c>
      <c r="D739" t="s">
        <v>108</v>
      </c>
      <c r="E739" t="s">
        <v>29</v>
      </c>
      <c r="F739">
        <v>26</v>
      </c>
      <c r="G739" t="s">
        <v>30</v>
      </c>
      <c r="H739" t="s">
        <v>31</v>
      </c>
      <c r="I739" t="s">
        <v>30</v>
      </c>
      <c r="J739" t="s">
        <v>53</v>
      </c>
      <c r="K739">
        <v>1</v>
      </c>
      <c r="L739">
        <v>43602</v>
      </c>
      <c r="M739">
        <v>15</v>
      </c>
      <c r="N739">
        <v>6540.3</v>
      </c>
      <c r="O739">
        <v>6671.11</v>
      </c>
      <c r="P739">
        <v>396</v>
      </c>
      <c r="Q739">
        <v>44128.81</v>
      </c>
      <c r="R739" t="s">
        <v>83</v>
      </c>
      <c r="S739" t="s">
        <v>34</v>
      </c>
      <c r="T739" t="s">
        <v>35</v>
      </c>
      <c r="U739" t="s">
        <v>36</v>
      </c>
      <c r="V739" t="s">
        <v>37</v>
      </c>
      <c r="W739">
        <v>1</v>
      </c>
      <c r="X739" t="s">
        <v>47</v>
      </c>
      <c r="Y739">
        <v>5</v>
      </c>
      <c r="Z739" t="s">
        <v>47</v>
      </c>
    </row>
    <row r="740" spans="1:26" x14ac:dyDescent="0.3">
      <c r="A740" t="s">
        <v>1335</v>
      </c>
      <c r="B740" s="2">
        <v>45795</v>
      </c>
      <c r="C740" t="s">
        <v>1336</v>
      </c>
      <c r="D740" t="s">
        <v>111</v>
      </c>
      <c r="E740" t="s">
        <v>29</v>
      </c>
      <c r="F740">
        <v>25</v>
      </c>
      <c r="G740" t="s">
        <v>67</v>
      </c>
      <c r="H740" t="s">
        <v>68</v>
      </c>
      <c r="I740" t="s">
        <v>67</v>
      </c>
      <c r="J740" t="s">
        <v>75</v>
      </c>
      <c r="K740">
        <v>3</v>
      </c>
      <c r="L740">
        <v>8837</v>
      </c>
      <c r="M740">
        <v>20</v>
      </c>
      <c r="N740">
        <v>5302.2</v>
      </c>
      <c r="O740">
        <v>3817.58</v>
      </c>
      <c r="P740">
        <v>344</v>
      </c>
      <c r="Q740">
        <v>25370.38</v>
      </c>
      <c r="R740" t="s">
        <v>54</v>
      </c>
      <c r="S740" t="s">
        <v>34</v>
      </c>
      <c r="T740" t="s">
        <v>103</v>
      </c>
      <c r="U740" t="s">
        <v>103</v>
      </c>
      <c r="V740" t="s">
        <v>57</v>
      </c>
      <c r="W740">
        <v>8</v>
      </c>
      <c r="X740" t="s">
        <v>47</v>
      </c>
      <c r="Y740">
        <v>3</v>
      </c>
      <c r="Z740" t="s">
        <v>47</v>
      </c>
    </row>
    <row r="741" spans="1:26" x14ac:dyDescent="0.3">
      <c r="A741" t="s">
        <v>1337</v>
      </c>
      <c r="B741" s="2">
        <v>45886</v>
      </c>
      <c r="C741" t="s">
        <v>338</v>
      </c>
      <c r="D741" t="s">
        <v>80</v>
      </c>
      <c r="E741" t="s">
        <v>29</v>
      </c>
      <c r="F741">
        <v>23</v>
      </c>
      <c r="G741" t="s">
        <v>74</v>
      </c>
      <c r="H741" t="s">
        <v>31</v>
      </c>
      <c r="I741" t="s">
        <v>74</v>
      </c>
      <c r="J741" t="s">
        <v>102</v>
      </c>
      <c r="K741">
        <v>5</v>
      </c>
      <c r="L741">
        <v>10552</v>
      </c>
      <c r="M741">
        <v>0</v>
      </c>
      <c r="N741">
        <v>0</v>
      </c>
      <c r="O741">
        <v>9496.7999999999993</v>
      </c>
      <c r="P741">
        <v>290</v>
      </c>
      <c r="Q741">
        <v>62546.8</v>
      </c>
      <c r="R741" t="s">
        <v>83</v>
      </c>
      <c r="S741" t="s">
        <v>34</v>
      </c>
      <c r="T741" t="s">
        <v>84</v>
      </c>
      <c r="U741" t="s">
        <v>85</v>
      </c>
      <c r="V741" t="s">
        <v>86</v>
      </c>
      <c r="W741">
        <v>8</v>
      </c>
      <c r="X741" t="s">
        <v>38</v>
      </c>
      <c r="Y741">
        <v>3</v>
      </c>
      <c r="Z741" t="s">
        <v>58</v>
      </c>
    </row>
    <row r="742" spans="1:26" x14ac:dyDescent="0.3">
      <c r="A742" t="s">
        <v>1338</v>
      </c>
      <c r="B742" s="2">
        <v>45922</v>
      </c>
      <c r="C742" t="s">
        <v>1048</v>
      </c>
      <c r="D742" t="s">
        <v>108</v>
      </c>
      <c r="E742" t="s">
        <v>29</v>
      </c>
      <c r="F742">
        <v>52</v>
      </c>
      <c r="G742" t="s">
        <v>44</v>
      </c>
      <c r="H742" t="s">
        <v>31</v>
      </c>
      <c r="I742" t="s">
        <v>44</v>
      </c>
      <c r="J742" t="s">
        <v>112</v>
      </c>
      <c r="K742">
        <v>3</v>
      </c>
      <c r="L742">
        <v>31793</v>
      </c>
      <c r="M742">
        <v>10</v>
      </c>
      <c r="N742">
        <v>9537.9</v>
      </c>
      <c r="O742">
        <v>15451.4</v>
      </c>
      <c r="P742">
        <v>433</v>
      </c>
      <c r="Q742">
        <v>101725.5</v>
      </c>
      <c r="R742" t="s">
        <v>54</v>
      </c>
      <c r="S742" t="s">
        <v>34</v>
      </c>
      <c r="T742" t="s">
        <v>103</v>
      </c>
      <c r="U742" t="s">
        <v>103</v>
      </c>
      <c r="V742" t="s">
        <v>57</v>
      </c>
      <c r="W742">
        <v>7</v>
      </c>
      <c r="X742" t="s">
        <v>38</v>
      </c>
      <c r="Y742">
        <v>2</v>
      </c>
      <c r="Z742" t="s">
        <v>47</v>
      </c>
    </row>
    <row r="743" spans="1:26" x14ac:dyDescent="0.3">
      <c r="A743" t="s">
        <v>1339</v>
      </c>
      <c r="B743" s="2">
        <v>46031</v>
      </c>
      <c r="C743" t="s">
        <v>834</v>
      </c>
      <c r="D743" t="s">
        <v>28</v>
      </c>
      <c r="E743" t="s">
        <v>29</v>
      </c>
      <c r="F743">
        <v>24</v>
      </c>
      <c r="G743" t="s">
        <v>94</v>
      </c>
      <c r="H743" t="s">
        <v>31</v>
      </c>
      <c r="I743" t="s">
        <v>94</v>
      </c>
      <c r="J743" t="s">
        <v>53</v>
      </c>
      <c r="K743">
        <v>4</v>
      </c>
      <c r="L743">
        <v>49840</v>
      </c>
      <c r="M743">
        <v>10</v>
      </c>
      <c r="N743">
        <v>19936</v>
      </c>
      <c r="O743">
        <v>32296.32</v>
      </c>
      <c r="P743">
        <v>58</v>
      </c>
      <c r="Q743">
        <v>211778.32</v>
      </c>
      <c r="R743" t="s">
        <v>45</v>
      </c>
      <c r="S743" t="s">
        <v>63</v>
      </c>
      <c r="T743" t="s">
        <v>103</v>
      </c>
      <c r="U743" t="s">
        <v>103</v>
      </c>
      <c r="V743" t="s">
        <v>57</v>
      </c>
      <c r="W743">
        <v>6</v>
      </c>
      <c r="X743" t="s">
        <v>47</v>
      </c>
      <c r="Y743">
        <v>2</v>
      </c>
      <c r="Z743" t="s">
        <v>39</v>
      </c>
    </row>
    <row r="744" spans="1:26" x14ac:dyDescent="0.3">
      <c r="A744" t="s">
        <v>1340</v>
      </c>
      <c r="B744" s="2">
        <v>45840</v>
      </c>
      <c r="C744" t="s">
        <v>172</v>
      </c>
      <c r="D744" t="s">
        <v>61</v>
      </c>
      <c r="E744" t="s">
        <v>43</v>
      </c>
      <c r="F744">
        <v>53</v>
      </c>
      <c r="G744" t="s">
        <v>99</v>
      </c>
      <c r="H744" t="s">
        <v>52</v>
      </c>
      <c r="I744" t="s">
        <v>99</v>
      </c>
      <c r="J744" t="s">
        <v>75</v>
      </c>
      <c r="K744">
        <v>4</v>
      </c>
      <c r="L744">
        <v>5564</v>
      </c>
      <c r="M744">
        <v>20</v>
      </c>
      <c r="N744">
        <v>4451.2</v>
      </c>
      <c r="O744">
        <v>3204.86</v>
      </c>
      <c r="P744">
        <v>166</v>
      </c>
      <c r="Q744">
        <v>21175.66</v>
      </c>
      <c r="R744" t="s">
        <v>54</v>
      </c>
      <c r="S744" t="s">
        <v>34</v>
      </c>
      <c r="T744" t="s">
        <v>95</v>
      </c>
      <c r="U744" t="s">
        <v>96</v>
      </c>
      <c r="V744" t="s">
        <v>57</v>
      </c>
      <c r="W744">
        <v>10</v>
      </c>
      <c r="X744" t="s">
        <v>47</v>
      </c>
      <c r="Y744">
        <v>4</v>
      </c>
      <c r="Z744" t="s">
        <v>58</v>
      </c>
    </row>
    <row r="745" spans="1:26" x14ac:dyDescent="0.3">
      <c r="A745" t="s">
        <v>1341</v>
      </c>
      <c r="B745" s="2">
        <v>46071</v>
      </c>
      <c r="C745" t="s">
        <v>191</v>
      </c>
      <c r="D745" t="s">
        <v>42</v>
      </c>
      <c r="E745" t="s">
        <v>29</v>
      </c>
      <c r="F745">
        <v>35</v>
      </c>
      <c r="G745" t="s">
        <v>94</v>
      </c>
      <c r="H745" t="s">
        <v>31</v>
      </c>
      <c r="I745" t="s">
        <v>94</v>
      </c>
      <c r="J745" t="s">
        <v>75</v>
      </c>
      <c r="K745">
        <v>2</v>
      </c>
      <c r="L745">
        <v>8094</v>
      </c>
      <c r="M745">
        <v>5</v>
      </c>
      <c r="N745">
        <v>809.4</v>
      </c>
      <c r="O745">
        <v>2768.15</v>
      </c>
      <c r="P745">
        <v>400</v>
      </c>
      <c r="Q745">
        <v>18546.75</v>
      </c>
      <c r="R745" t="s">
        <v>33</v>
      </c>
      <c r="S745" t="s">
        <v>34</v>
      </c>
      <c r="T745" t="s">
        <v>76</v>
      </c>
      <c r="U745" t="s">
        <v>77</v>
      </c>
      <c r="V745" t="s">
        <v>57</v>
      </c>
      <c r="W745">
        <v>9</v>
      </c>
      <c r="X745" t="s">
        <v>47</v>
      </c>
      <c r="Y745">
        <v>5</v>
      </c>
      <c r="Z745" t="s">
        <v>47</v>
      </c>
    </row>
    <row r="746" spans="1:26" x14ac:dyDescent="0.3">
      <c r="A746" t="s">
        <v>1342</v>
      </c>
      <c r="B746" s="2">
        <v>46112</v>
      </c>
      <c r="C746" t="s">
        <v>1343</v>
      </c>
      <c r="D746" t="s">
        <v>108</v>
      </c>
      <c r="E746" t="s">
        <v>43</v>
      </c>
      <c r="F746">
        <v>41</v>
      </c>
      <c r="G746" t="s">
        <v>139</v>
      </c>
      <c r="H746" t="s">
        <v>31</v>
      </c>
      <c r="I746" t="s">
        <v>139</v>
      </c>
      <c r="J746" t="s">
        <v>69</v>
      </c>
      <c r="K746">
        <v>1</v>
      </c>
      <c r="L746">
        <v>32513</v>
      </c>
      <c r="M746">
        <v>5</v>
      </c>
      <c r="N746">
        <v>1625.65</v>
      </c>
      <c r="O746">
        <v>5559.72</v>
      </c>
      <c r="P746">
        <v>141</v>
      </c>
      <c r="Q746">
        <v>36588.07</v>
      </c>
      <c r="R746" t="s">
        <v>33</v>
      </c>
      <c r="S746" t="s">
        <v>63</v>
      </c>
      <c r="T746" t="s">
        <v>35</v>
      </c>
      <c r="U746" t="s">
        <v>36</v>
      </c>
      <c r="V746" t="s">
        <v>37</v>
      </c>
      <c r="W746">
        <v>8</v>
      </c>
      <c r="X746" t="s">
        <v>38</v>
      </c>
      <c r="Y746">
        <v>5</v>
      </c>
      <c r="Z746" t="s">
        <v>58</v>
      </c>
    </row>
    <row r="747" spans="1:26" x14ac:dyDescent="0.3">
      <c r="A747" t="s">
        <v>1344</v>
      </c>
      <c r="B747" s="2">
        <v>46078</v>
      </c>
      <c r="C747" t="s">
        <v>1345</v>
      </c>
      <c r="D747" t="s">
        <v>42</v>
      </c>
      <c r="E747" t="s">
        <v>43</v>
      </c>
      <c r="F747">
        <v>30</v>
      </c>
      <c r="G747" t="s">
        <v>74</v>
      </c>
      <c r="H747" t="s">
        <v>31</v>
      </c>
      <c r="I747" t="s">
        <v>74</v>
      </c>
      <c r="J747" t="s">
        <v>53</v>
      </c>
      <c r="K747">
        <v>3</v>
      </c>
      <c r="L747">
        <v>21815</v>
      </c>
      <c r="M747">
        <v>0</v>
      </c>
      <c r="N747">
        <v>0</v>
      </c>
      <c r="O747">
        <v>11780.1</v>
      </c>
      <c r="P747">
        <v>171</v>
      </c>
      <c r="Q747">
        <v>77396.100000000006</v>
      </c>
      <c r="R747" t="s">
        <v>54</v>
      </c>
      <c r="S747" t="s">
        <v>34</v>
      </c>
      <c r="T747" t="s">
        <v>95</v>
      </c>
      <c r="U747" t="s">
        <v>96</v>
      </c>
      <c r="V747" t="s">
        <v>57</v>
      </c>
      <c r="W747">
        <v>1</v>
      </c>
      <c r="X747" t="s">
        <v>38</v>
      </c>
      <c r="Y747">
        <v>4</v>
      </c>
      <c r="Z747" t="s">
        <v>39</v>
      </c>
    </row>
    <row r="748" spans="1:26" x14ac:dyDescent="0.3">
      <c r="A748" t="s">
        <v>1346</v>
      </c>
      <c r="B748" s="2">
        <v>45775</v>
      </c>
      <c r="C748" t="s">
        <v>528</v>
      </c>
      <c r="D748" t="s">
        <v>50</v>
      </c>
      <c r="E748" t="s">
        <v>29</v>
      </c>
      <c r="F748">
        <v>22</v>
      </c>
      <c r="G748" t="s">
        <v>139</v>
      </c>
      <c r="H748" t="s">
        <v>31</v>
      </c>
      <c r="I748" t="s">
        <v>139</v>
      </c>
      <c r="J748" t="s">
        <v>69</v>
      </c>
      <c r="K748">
        <v>5</v>
      </c>
      <c r="L748">
        <v>35936</v>
      </c>
      <c r="M748">
        <v>0</v>
      </c>
      <c r="N748">
        <v>0</v>
      </c>
      <c r="O748">
        <v>32342.400000000001</v>
      </c>
      <c r="P748">
        <v>301</v>
      </c>
      <c r="Q748">
        <v>212323.4</v>
      </c>
      <c r="R748" t="s">
        <v>33</v>
      </c>
      <c r="S748" t="s">
        <v>34</v>
      </c>
      <c r="T748" t="s">
        <v>46</v>
      </c>
      <c r="U748" t="s">
        <v>36</v>
      </c>
      <c r="V748" t="s">
        <v>37</v>
      </c>
      <c r="W748">
        <v>2</v>
      </c>
      <c r="X748" t="s">
        <v>47</v>
      </c>
      <c r="Y748">
        <v>3</v>
      </c>
      <c r="Z748" t="s">
        <v>47</v>
      </c>
    </row>
    <row r="749" spans="1:26" x14ac:dyDescent="0.3">
      <c r="A749" t="s">
        <v>1347</v>
      </c>
      <c r="B749" s="2">
        <v>46029</v>
      </c>
      <c r="C749" t="s">
        <v>906</v>
      </c>
      <c r="D749" t="s">
        <v>66</v>
      </c>
      <c r="E749" t="s">
        <v>29</v>
      </c>
      <c r="F749">
        <v>24</v>
      </c>
      <c r="G749" t="s">
        <v>99</v>
      </c>
      <c r="H749" t="s">
        <v>52</v>
      </c>
      <c r="I749" t="s">
        <v>99</v>
      </c>
      <c r="J749" t="s">
        <v>112</v>
      </c>
      <c r="K749">
        <v>2</v>
      </c>
      <c r="L749">
        <v>44948</v>
      </c>
      <c r="M749">
        <v>20</v>
      </c>
      <c r="N749">
        <v>17979.2</v>
      </c>
      <c r="O749">
        <v>12945.02</v>
      </c>
      <c r="P749">
        <v>53</v>
      </c>
      <c r="Q749">
        <v>84914.82</v>
      </c>
      <c r="R749" t="s">
        <v>33</v>
      </c>
      <c r="S749" t="s">
        <v>63</v>
      </c>
      <c r="T749" t="s">
        <v>76</v>
      </c>
      <c r="U749" t="s">
        <v>77</v>
      </c>
      <c r="V749" t="s">
        <v>57</v>
      </c>
      <c r="W749">
        <v>5</v>
      </c>
      <c r="X749" t="s">
        <v>38</v>
      </c>
      <c r="Y749">
        <v>1</v>
      </c>
      <c r="Z749" t="s">
        <v>47</v>
      </c>
    </row>
    <row r="750" spans="1:26" x14ac:dyDescent="0.3">
      <c r="A750" t="s">
        <v>1348</v>
      </c>
      <c r="B750" s="2">
        <v>45928</v>
      </c>
      <c r="C750" t="s">
        <v>330</v>
      </c>
      <c r="D750" t="s">
        <v>42</v>
      </c>
      <c r="E750" t="s">
        <v>29</v>
      </c>
      <c r="F750">
        <v>38</v>
      </c>
      <c r="G750" t="s">
        <v>94</v>
      </c>
      <c r="H750" t="s">
        <v>31</v>
      </c>
      <c r="I750" t="s">
        <v>94</v>
      </c>
      <c r="J750" t="s">
        <v>75</v>
      </c>
      <c r="K750">
        <v>1</v>
      </c>
      <c r="L750">
        <v>34893</v>
      </c>
      <c r="M750">
        <v>20</v>
      </c>
      <c r="N750">
        <v>6978.6</v>
      </c>
      <c r="O750">
        <v>5024.59</v>
      </c>
      <c r="P750">
        <v>137</v>
      </c>
      <c r="Q750">
        <v>33075.99</v>
      </c>
      <c r="R750" t="s">
        <v>54</v>
      </c>
      <c r="S750" t="s">
        <v>34</v>
      </c>
      <c r="T750" t="s">
        <v>35</v>
      </c>
      <c r="U750" t="s">
        <v>36</v>
      </c>
      <c r="V750" t="s">
        <v>37</v>
      </c>
      <c r="W750">
        <v>2</v>
      </c>
      <c r="X750" t="s">
        <v>38</v>
      </c>
      <c r="Y750">
        <v>2</v>
      </c>
      <c r="Z750" t="s">
        <v>47</v>
      </c>
    </row>
    <row r="751" spans="1:26" x14ac:dyDescent="0.3">
      <c r="A751" t="s">
        <v>1349</v>
      </c>
      <c r="B751" s="2">
        <v>46104</v>
      </c>
      <c r="C751" t="s">
        <v>353</v>
      </c>
      <c r="D751" t="s">
        <v>108</v>
      </c>
      <c r="E751" t="s">
        <v>43</v>
      </c>
      <c r="F751">
        <v>54</v>
      </c>
      <c r="G751" t="s">
        <v>99</v>
      </c>
      <c r="H751" t="s">
        <v>52</v>
      </c>
      <c r="I751" t="s">
        <v>99</v>
      </c>
      <c r="J751" t="s">
        <v>150</v>
      </c>
      <c r="K751">
        <v>5</v>
      </c>
      <c r="L751">
        <v>37161</v>
      </c>
      <c r="M751">
        <v>15</v>
      </c>
      <c r="N751">
        <v>27870.75</v>
      </c>
      <c r="O751">
        <v>28428.16</v>
      </c>
      <c r="P751">
        <v>83</v>
      </c>
      <c r="Q751">
        <v>186445.42</v>
      </c>
      <c r="R751" t="s">
        <v>54</v>
      </c>
      <c r="S751" t="s">
        <v>34</v>
      </c>
      <c r="T751" t="s">
        <v>103</v>
      </c>
      <c r="U751" t="s">
        <v>103</v>
      </c>
      <c r="V751" t="s">
        <v>57</v>
      </c>
      <c r="W751">
        <v>8</v>
      </c>
      <c r="X751" t="s">
        <v>38</v>
      </c>
      <c r="Y751">
        <v>5</v>
      </c>
      <c r="Z751" t="s">
        <v>58</v>
      </c>
    </row>
    <row r="752" spans="1:26" x14ac:dyDescent="0.3">
      <c r="A752" t="s">
        <v>1350</v>
      </c>
      <c r="B752" s="2">
        <v>46117</v>
      </c>
      <c r="C752" t="s">
        <v>1351</v>
      </c>
      <c r="D752" t="s">
        <v>61</v>
      </c>
      <c r="E752" t="s">
        <v>29</v>
      </c>
      <c r="F752">
        <v>43</v>
      </c>
      <c r="G752" t="s">
        <v>51</v>
      </c>
      <c r="H752" t="s">
        <v>52</v>
      </c>
      <c r="I752" t="s">
        <v>51</v>
      </c>
      <c r="J752" t="s">
        <v>69</v>
      </c>
      <c r="K752">
        <v>3</v>
      </c>
      <c r="L752">
        <v>30146</v>
      </c>
      <c r="M752">
        <v>10</v>
      </c>
      <c r="N752">
        <v>9043.7999999999993</v>
      </c>
      <c r="O752">
        <v>14650.96</v>
      </c>
      <c r="P752">
        <v>175</v>
      </c>
      <c r="Q752">
        <v>96220.160000000003</v>
      </c>
      <c r="R752" t="s">
        <v>83</v>
      </c>
      <c r="S752" t="s">
        <v>63</v>
      </c>
      <c r="T752" t="s">
        <v>55</v>
      </c>
      <c r="U752" t="s">
        <v>56</v>
      </c>
      <c r="V752" t="s">
        <v>57</v>
      </c>
      <c r="W752">
        <v>1</v>
      </c>
      <c r="X752" t="s">
        <v>38</v>
      </c>
      <c r="Y752">
        <v>4</v>
      </c>
      <c r="Z752" t="s">
        <v>58</v>
      </c>
    </row>
    <row r="753" spans="1:26" x14ac:dyDescent="0.3">
      <c r="A753" t="s">
        <v>1352</v>
      </c>
      <c r="B753" s="2">
        <v>45759</v>
      </c>
      <c r="C753" t="s">
        <v>1005</v>
      </c>
      <c r="D753" t="s">
        <v>66</v>
      </c>
      <c r="E753" t="s">
        <v>29</v>
      </c>
      <c r="F753">
        <v>55</v>
      </c>
      <c r="G753" t="s">
        <v>30</v>
      </c>
      <c r="H753" t="s">
        <v>31</v>
      </c>
      <c r="I753" t="s">
        <v>30</v>
      </c>
      <c r="J753" t="s">
        <v>125</v>
      </c>
      <c r="K753">
        <v>5</v>
      </c>
      <c r="L753">
        <v>22055</v>
      </c>
      <c r="M753">
        <v>0</v>
      </c>
      <c r="N753">
        <v>0</v>
      </c>
      <c r="O753">
        <v>19849.5</v>
      </c>
      <c r="P753">
        <v>490</v>
      </c>
      <c r="Q753">
        <v>130614.5</v>
      </c>
      <c r="R753" t="s">
        <v>54</v>
      </c>
      <c r="S753" t="s">
        <v>34</v>
      </c>
      <c r="T753" t="s">
        <v>35</v>
      </c>
      <c r="U753" t="s">
        <v>36</v>
      </c>
      <c r="V753" t="s">
        <v>37</v>
      </c>
      <c r="W753">
        <v>1</v>
      </c>
      <c r="X753" t="s">
        <v>38</v>
      </c>
      <c r="Y753">
        <v>3</v>
      </c>
      <c r="Z753" t="s">
        <v>91</v>
      </c>
    </row>
    <row r="754" spans="1:26" x14ac:dyDescent="0.3">
      <c r="A754" t="s">
        <v>1353</v>
      </c>
      <c r="B754" s="2">
        <v>46009</v>
      </c>
      <c r="C754" t="s">
        <v>767</v>
      </c>
      <c r="D754" t="s">
        <v>28</v>
      </c>
      <c r="E754" t="s">
        <v>43</v>
      </c>
      <c r="F754">
        <v>31</v>
      </c>
      <c r="G754" t="s">
        <v>99</v>
      </c>
      <c r="H754" t="s">
        <v>52</v>
      </c>
      <c r="I754" t="s">
        <v>99</v>
      </c>
      <c r="J754" t="s">
        <v>75</v>
      </c>
      <c r="K754">
        <v>1</v>
      </c>
      <c r="L754">
        <v>43437</v>
      </c>
      <c r="M754">
        <v>5</v>
      </c>
      <c r="N754">
        <v>2171.85</v>
      </c>
      <c r="O754">
        <v>7427.73</v>
      </c>
      <c r="P754">
        <v>286</v>
      </c>
      <c r="Q754">
        <v>48978.879999999997</v>
      </c>
      <c r="R754" t="s">
        <v>54</v>
      </c>
      <c r="S754" t="s">
        <v>34</v>
      </c>
      <c r="T754" t="s">
        <v>55</v>
      </c>
      <c r="U754" t="s">
        <v>56</v>
      </c>
      <c r="V754" t="s">
        <v>57</v>
      </c>
      <c r="W754">
        <v>9</v>
      </c>
      <c r="X754" t="s">
        <v>38</v>
      </c>
      <c r="Y754">
        <v>3</v>
      </c>
      <c r="Z754" t="s">
        <v>58</v>
      </c>
    </row>
    <row r="755" spans="1:26" x14ac:dyDescent="0.3">
      <c r="A755" t="s">
        <v>1354</v>
      </c>
      <c r="B755" s="2">
        <v>45903</v>
      </c>
      <c r="C755" t="s">
        <v>279</v>
      </c>
      <c r="D755" t="s">
        <v>80</v>
      </c>
      <c r="E755" t="s">
        <v>29</v>
      </c>
      <c r="F755">
        <v>18</v>
      </c>
      <c r="G755" t="s">
        <v>51</v>
      </c>
      <c r="H755" t="s">
        <v>52</v>
      </c>
      <c r="I755" t="s">
        <v>51</v>
      </c>
      <c r="J755" t="s">
        <v>201</v>
      </c>
      <c r="K755">
        <v>1</v>
      </c>
      <c r="L755">
        <v>16469</v>
      </c>
      <c r="M755">
        <v>20</v>
      </c>
      <c r="N755">
        <v>3293.8</v>
      </c>
      <c r="O755">
        <v>2371.54</v>
      </c>
      <c r="P755">
        <v>266</v>
      </c>
      <c r="Q755">
        <v>15812.74</v>
      </c>
      <c r="R755" t="s">
        <v>54</v>
      </c>
      <c r="S755" t="s">
        <v>34</v>
      </c>
      <c r="T755" t="s">
        <v>103</v>
      </c>
      <c r="U755" t="s">
        <v>103</v>
      </c>
      <c r="V755" t="s">
        <v>57</v>
      </c>
      <c r="W755">
        <v>7</v>
      </c>
      <c r="X755" t="s">
        <v>38</v>
      </c>
      <c r="Y755">
        <v>4</v>
      </c>
      <c r="Z755" t="s">
        <v>47</v>
      </c>
    </row>
    <row r="756" spans="1:26" x14ac:dyDescent="0.3">
      <c r="A756" t="s">
        <v>1355</v>
      </c>
      <c r="B756" s="2">
        <v>46070</v>
      </c>
      <c r="C756" t="s">
        <v>1356</v>
      </c>
      <c r="D756" t="s">
        <v>111</v>
      </c>
      <c r="E756" t="s">
        <v>29</v>
      </c>
      <c r="F756">
        <v>48</v>
      </c>
      <c r="G756" t="s">
        <v>51</v>
      </c>
      <c r="H756" t="s">
        <v>52</v>
      </c>
      <c r="I756" t="s">
        <v>51</v>
      </c>
      <c r="J756" t="s">
        <v>150</v>
      </c>
      <c r="K756">
        <v>1</v>
      </c>
      <c r="L756">
        <v>44498</v>
      </c>
      <c r="M756">
        <v>10</v>
      </c>
      <c r="N756">
        <v>4449.8</v>
      </c>
      <c r="O756">
        <v>7208.68</v>
      </c>
      <c r="P756">
        <v>101</v>
      </c>
      <c r="Q756">
        <v>47357.88</v>
      </c>
      <c r="R756" t="s">
        <v>45</v>
      </c>
      <c r="S756" t="s">
        <v>34</v>
      </c>
      <c r="T756" t="s">
        <v>76</v>
      </c>
      <c r="U756" t="s">
        <v>77</v>
      </c>
      <c r="V756" t="s">
        <v>57</v>
      </c>
      <c r="W756">
        <v>7</v>
      </c>
      <c r="X756" t="s">
        <v>38</v>
      </c>
      <c r="Y756">
        <v>2</v>
      </c>
      <c r="Z756" t="s">
        <v>47</v>
      </c>
    </row>
    <row r="757" spans="1:26" x14ac:dyDescent="0.3">
      <c r="A757" t="s">
        <v>1357</v>
      </c>
      <c r="B757" s="2">
        <v>45968</v>
      </c>
      <c r="C757" t="s">
        <v>1187</v>
      </c>
      <c r="D757" t="s">
        <v>28</v>
      </c>
      <c r="E757" t="s">
        <v>29</v>
      </c>
      <c r="F757">
        <v>33</v>
      </c>
      <c r="G757" t="s">
        <v>134</v>
      </c>
      <c r="H757" t="s">
        <v>31</v>
      </c>
      <c r="I757" t="s">
        <v>134</v>
      </c>
      <c r="J757" t="s">
        <v>102</v>
      </c>
      <c r="K757">
        <v>5</v>
      </c>
      <c r="L757">
        <v>31205</v>
      </c>
      <c r="M757">
        <v>10</v>
      </c>
      <c r="N757">
        <v>15602.5</v>
      </c>
      <c r="O757">
        <v>25276.05</v>
      </c>
      <c r="P757">
        <v>301</v>
      </c>
      <c r="Q757">
        <v>165999.54999999999</v>
      </c>
      <c r="R757" t="s">
        <v>54</v>
      </c>
      <c r="S757" t="s">
        <v>63</v>
      </c>
      <c r="T757" t="s">
        <v>55</v>
      </c>
      <c r="U757" t="s">
        <v>56</v>
      </c>
      <c r="V757" t="s">
        <v>57</v>
      </c>
      <c r="W757">
        <v>5</v>
      </c>
      <c r="X757" t="s">
        <v>38</v>
      </c>
      <c r="Y757">
        <v>3</v>
      </c>
      <c r="Z757" t="s">
        <v>39</v>
      </c>
    </row>
    <row r="758" spans="1:26" x14ac:dyDescent="0.3">
      <c r="A758" t="s">
        <v>1358</v>
      </c>
      <c r="B758" s="2">
        <v>45892</v>
      </c>
      <c r="C758" t="s">
        <v>287</v>
      </c>
      <c r="D758" t="s">
        <v>61</v>
      </c>
      <c r="E758" t="s">
        <v>43</v>
      </c>
      <c r="F758">
        <v>41</v>
      </c>
      <c r="G758" t="s">
        <v>51</v>
      </c>
      <c r="H758" t="s">
        <v>52</v>
      </c>
      <c r="I758" t="s">
        <v>51</v>
      </c>
      <c r="J758" t="s">
        <v>112</v>
      </c>
      <c r="K758">
        <v>2</v>
      </c>
      <c r="L758">
        <v>48901</v>
      </c>
      <c r="M758">
        <v>0</v>
      </c>
      <c r="N758">
        <v>0</v>
      </c>
      <c r="O758">
        <v>17604.36</v>
      </c>
      <c r="P758">
        <v>80</v>
      </c>
      <c r="Q758">
        <v>115486.36</v>
      </c>
      <c r="R758" t="s">
        <v>83</v>
      </c>
      <c r="S758" t="s">
        <v>63</v>
      </c>
      <c r="T758" t="s">
        <v>55</v>
      </c>
      <c r="U758" t="s">
        <v>56</v>
      </c>
      <c r="V758" t="s">
        <v>57</v>
      </c>
      <c r="W758">
        <v>8</v>
      </c>
      <c r="X758" t="s">
        <v>47</v>
      </c>
      <c r="Y758">
        <v>4</v>
      </c>
      <c r="Z758" t="s">
        <v>58</v>
      </c>
    </row>
    <row r="759" spans="1:26" x14ac:dyDescent="0.3">
      <c r="A759" t="s">
        <v>1359</v>
      </c>
      <c r="B759" s="2">
        <v>46079</v>
      </c>
      <c r="C759" t="s">
        <v>956</v>
      </c>
      <c r="D759" t="s">
        <v>28</v>
      </c>
      <c r="E759" t="s">
        <v>29</v>
      </c>
      <c r="F759">
        <v>27</v>
      </c>
      <c r="G759" t="s">
        <v>44</v>
      </c>
      <c r="H759" t="s">
        <v>31</v>
      </c>
      <c r="I759" t="s">
        <v>44</v>
      </c>
      <c r="J759" t="s">
        <v>125</v>
      </c>
      <c r="K759">
        <v>3</v>
      </c>
      <c r="L759">
        <v>2214</v>
      </c>
      <c r="M759">
        <v>20</v>
      </c>
      <c r="N759">
        <v>1328.4</v>
      </c>
      <c r="O759">
        <v>956.45</v>
      </c>
      <c r="P759">
        <v>182</v>
      </c>
      <c r="Q759">
        <v>6452.05</v>
      </c>
      <c r="R759" t="s">
        <v>83</v>
      </c>
      <c r="S759" t="s">
        <v>34</v>
      </c>
      <c r="T759" t="s">
        <v>35</v>
      </c>
      <c r="U759" t="s">
        <v>36</v>
      </c>
      <c r="V759" t="s">
        <v>37</v>
      </c>
      <c r="W759">
        <v>4</v>
      </c>
      <c r="X759" t="s">
        <v>47</v>
      </c>
      <c r="Y759">
        <v>2</v>
      </c>
      <c r="Z759" t="s">
        <v>91</v>
      </c>
    </row>
    <row r="760" spans="1:26" x14ac:dyDescent="0.3">
      <c r="A760" t="s">
        <v>1360</v>
      </c>
      <c r="B760" s="2">
        <v>45967</v>
      </c>
      <c r="C760" t="s">
        <v>1361</v>
      </c>
      <c r="D760" t="s">
        <v>89</v>
      </c>
      <c r="E760" t="s">
        <v>43</v>
      </c>
      <c r="F760">
        <v>59</v>
      </c>
      <c r="G760" t="s">
        <v>30</v>
      </c>
      <c r="H760" t="s">
        <v>31</v>
      </c>
      <c r="I760" t="s">
        <v>30</v>
      </c>
      <c r="J760" t="s">
        <v>53</v>
      </c>
      <c r="K760">
        <v>5</v>
      </c>
      <c r="L760">
        <v>37151</v>
      </c>
      <c r="M760">
        <v>5</v>
      </c>
      <c r="N760">
        <v>9287.75</v>
      </c>
      <c r="O760">
        <v>31764.1</v>
      </c>
      <c r="P760">
        <v>164</v>
      </c>
      <c r="Q760">
        <v>208395.36</v>
      </c>
      <c r="R760" t="s">
        <v>33</v>
      </c>
      <c r="S760" t="s">
        <v>34</v>
      </c>
      <c r="T760" t="s">
        <v>76</v>
      </c>
      <c r="U760" t="s">
        <v>77</v>
      </c>
      <c r="V760" t="s">
        <v>57</v>
      </c>
      <c r="W760">
        <v>4</v>
      </c>
      <c r="X760" t="s">
        <v>47</v>
      </c>
      <c r="Y760">
        <v>2</v>
      </c>
      <c r="Z760" t="s">
        <v>91</v>
      </c>
    </row>
    <row r="761" spans="1:26" x14ac:dyDescent="0.3">
      <c r="A761" t="s">
        <v>1362</v>
      </c>
      <c r="B761" s="2">
        <v>45893</v>
      </c>
      <c r="C761" t="s">
        <v>977</v>
      </c>
      <c r="D761" t="s">
        <v>66</v>
      </c>
      <c r="E761" t="s">
        <v>43</v>
      </c>
      <c r="F761">
        <v>37</v>
      </c>
      <c r="G761" t="s">
        <v>74</v>
      </c>
      <c r="H761" t="s">
        <v>31</v>
      </c>
      <c r="I761" t="s">
        <v>74</v>
      </c>
      <c r="J761" t="s">
        <v>75</v>
      </c>
      <c r="K761">
        <v>3</v>
      </c>
      <c r="L761">
        <v>37260</v>
      </c>
      <c r="M761">
        <v>0</v>
      </c>
      <c r="N761">
        <v>0</v>
      </c>
      <c r="O761">
        <v>20120.400000000001</v>
      </c>
      <c r="P761">
        <v>17</v>
      </c>
      <c r="Q761">
        <v>131917.4</v>
      </c>
      <c r="R761" t="s">
        <v>45</v>
      </c>
      <c r="S761" t="s">
        <v>34</v>
      </c>
      <c r="T761" t="s">
        <v>95</v>
      </c>
      <c r="U761" t="s">
        <v>96</v>
      </c>
      <c r="V761" t="s">
        <v>57</v>
      </c>
      <c r="W761">
        <v>2</v>
      </c>
      <c r="X761" t="s">
        <v>38</v>
      </c>
      <c r="Y761">
        <v>3</v>
      </c>
      <c r="Z761" t="s">
        <v>58</v>
      </c>
    </row>
    <row r="762" spans="1:26" x14ac:dyDescent="0.3">
      <c r="A762" t="s">
        <v>1363</v>
      </c>
      <c r="B762" s="2">
        <v>45847</v>
      </c>
      <c r="C762" t="s">
        <v>344</v>
      </c>
      <c r="D762" t="s">
        <v>89</v>
      </c>
      <c r="E762" t="s">
        <v>29</v>
      </c>
      <c r="F762">
        <v>19</v>
      </c>
      <c r="G762" t="s">
        <v>139</v>
      </c>
      <c r="H762" t="s">
        <v>31</v>
      </c>
      <c r="I762" t="s">
        <v>139</v>
      </c>
      <c r="J762" t="s">
        <v>102</v>
      </c>
      <c r="K762">
        <v>1</v>
      </c>
      <c r="L762">
        <v>47891</v>
      </c>
      <c r="M762">
        <v>0</v>
      </c>
      <c r="N762">
        <v>0</v>
      </c>
      <c r="O762">
        <v>8620.3799999999992</v>
      </c>
      <c r="P762">
        <v>382</v>
      </c>
      <c r="Q762">
        <v>56893.38</v>
      </c>
      <c r="R762" t="s">
        <v>45</v>
      </c>
      <c r="S762" t="s">
        <v>63</v>
      </c>
      <c r="T762" t="s">
        <v>35</v>
      </c>
      <c r="U762" t="s">
        <v>36</v>
      </c>
      <c r="V762" t="s">
        <v>37</v>
      </c>
      <c r="W762">
        <v>3</v>
      </c>
      <c r="X762" t="s">
        <v>38</v>
      </c>
      <c r="Y762">
        <v>2</v>
      </c>
      <c r="Z762" t="s">
        <v>91</v>
      </c>
    </row>
    <row r="763" spans="1:26" x14ac:dyDescent="0.3">
      <c r="A763" t="s">
        <v>1364</v>
      </c>
      <c r="B763" s="2">
        <v>46070</v>
      </c>
      <c r="C763" t="s">
        <v>404</v>
      </c>
      <c r="D763" t="s">
        <v>80</v>
      </c>
      <c r="E763" t="s">
        <v>29</v>
      </c>
      <c r="F763">
        <v>55</v>
      </c>
      <c r="G763" t="s">
        <v>74</v>
      </c>
      <c r="H763" t="s">
        <v>31</v>
      </c>
      <c r="I763" t="s">
        <v>74</v>
      </c>
      <c r="J763" t="s">
        <v>53</v>
      </c>
      <c r="K763">
        <v>5</v>
      </c>
      <c r="L763">
        <v>16719</v>
      </c>
      <c r="M763">
        <v>5</v>
      </c>
      <c r="N763">
        <v>4179.75</v>
      </c>
      <c r="O763">
        <v>14294.74</v>
      </c>
      <c r="P763">
        <v>308</v>
      </c>
      <c r="Q763">
        <v>94017.99</v>
      </c>
      <c r="R763" t="s">
        <v>45</v>
      </c>
      <c r="S763" t="s">
        <v>34</v>
      </c>
      <c r="T763" t="s">
        <v>70</v>
      </c>
      <c r="U763" t="s">
        <v>56</v>
      </c>
      <c r="V763" t="s">
        <v>57</v>
      </c>
      <c r="W763">
        <v>10</v>
      </c>
      <c r="X763" t="s">
        <v>38</v>
      </c>
      <c r="Y763">
        <v>2</v>
      </c>
      <c r="Z763" t="s">
        <v>47</v>
      </c>
    </row>
    <row r="764" spans="1:26" x14ac:dyDescent="0.3">
      <c r="A764" t="s">
        <v>1365</v>
      </c>
      <c r="B764" s="2">
        <v>45771</v>
      </c>
      <c r="C764" t="s">
        <v>1366</v>
      </c>
      <c r="D764" t="s">
        <v>89</v>
      </c>
      <c r="E764" t="s">
        <v>43</v>
      </c>
      <c r="F764">
        <v>29</v>
      </c>
      <c r="G764" t="s">
        <v>51</v>
      </c>
      <c r="H764" t="s">
        <v>52</v>
      </c>
      <c r="I764" t="s">
        <v>51</v>
      </c>
      <c r="J764" t="s">
        <v>102</v>
      </c>
      <c r="K764">
        <v>2</v>
      </c>
      <c r="L764">
        <v>35205</v>
      </c>
      <c r="M764">
        <v>0</v>
      </c>
      <c r="N764">
        <v>0</v>
      </c>
      <c r="O764">
        <v>12673.8</v>
      </c>
      <c r="P764">
        <v>27</v>
      </c>
      <c r="Q764">
        <v>83110.8</v>
      </c>
      <c r="R764" t="s">
        <v>54</v>
      </c>
      <c r="S764" t="s">
        <v>34</v>
      </c>
      <c r="T764" t="s">
        <v>35</v>
      </c>
      <c r="U764" t="s">
        <v>36</v>
      </c>
      <c r="V764" t="s">
        <v>37</v>
      </c>
      <c r="W764">
        <v>7</v>
      </c>
      <c r="X764" t="s">
        <v>38</v>
      </c>
      <c r="Y764">
        <v>1</v>
      </c>
      <c r="Z764" t="s">
        <v>47</v>
      </c>
    </row>
    <row r="765" spans="1:26" x14ac:dyDescent="0.3">
      <c r="A765" t="s">
        <v>1367</v>
      </c>
      <c r="B765" s="2">
        <v>45782</v>
      </c>
      <c r="C765" t="s">
        <v>310</v>
      </c>
      <c r="D765" t="s">
        <v>42</v>
      </c>
      <c r="E765" t="s">
        <v>29</v>
      </c>
      <c r="F765">
        <v>56</v>
      </c>
      <c r="G765" t="s">
        <v>44</v>
      </c>
      <c r="H765" t="s">
        <v>31</v>
      </c>
      <c r="I765" t="s">
        <v>44</v>
      </c>
      <c r="J765" t="s">
        <v>150</v>
      </c>
      <c r="K765">
        <v>5</v>
      </c>
      <c r="L765">
        <v>1924</v>
      </c>
      <c r="M765">
        <v>10</v>
      </c>
      <c r="N765">
        <v>962</v>
      </c>
      <c r="O765">
        <v>1558.44</v>
      </c>
      <c r="P765">
        <v>474</v>
      </c>
      <c r="Q765">
        <v>10690.44</v>
      </c>
      <c r="R765" t="s">
        <v>83</v>
      </c>
      <c r="S765" t="s">
        <v>63</v>
      </c>
      <c r="T765" t="s">
        <v>70</v>
      </c>
      <c r="U765" t="s">
        <v>56</v>
      </c>
      <c r="V765" t="s">
        <v>57</v>
      </c>
      <c r="W765">
        <v>1</v>
      </c>
      <c r="X765" t="s">
        <v>47</v>
      </c>
      <c r="Y765">
        <v>3</v>
      </c>
      <c r="Z765" t="s">
        <v>47</v>
      </c>
    </row>
    <row r="766" spans="1:26" x14ac:dyDescent="0.3">
      <c r="A766" t="s">
        <v>1368</v>
      </c>
      <c r="B766" s="2">
        <v>45949</v>
      </c>
      <c r="C766" t="s">
        <v>1369</v>
      </c>
      <c r="D766" t="s">
        <v>50</v>
      </c>
      <c r="E766" t="s">
        <v>29</v>
      </c>
      <c r="F766">
        <v>40</v>
      </c>
      <c r="G766" t="s">
        <v>90</v>
      </c>
      <c r="H766" t="s">
        <v>31</v>
      </c>
      <c r="I766" t="s">
        <v>90</v>
      </c>
      <c r="J766" t="s">
        <v>102</v>
      </c>
      <c r="K766">
        <v>5</v>
      </c>
      <c r="L766">
        <v>1111</v>
      </c>
      <c r="M766">
        <v>10</v>
      </c>
      <c r="N766">
        <v>555.5</v>
      </c>
      <c r="O766">
        <v>899.91</v>
      </c>
      <c r="P766">
        <v>32</v>
      </c>
      <c r="Q766">
        <v>5931.41</v>
      </c>
      <c r="R766" t="s">
        <v>54</v>
      </c>
      <c r="S766" t="s">
        <v>34</v>
      </c>
      <c r="T766" t="s">
        <v>55</v>
      </c>
      <c r="U766" t="s">
        <v>56</v>
      </c>
      <c r="V766" t="s">
        <v>57</v>
      </c>
      <c r="W766">
        <v>2</v>
      </c>
      <c r="X766" t="s">
        <v>38</v>
      </c>
      <c r="Y766">
        <v>4</v>
      </c>
      <c r="Z766" t="s">
        <v>47</v>
      </c>
    </row>
    <row r="767" spans="1:26" x14ac:dyDescent="0.3">
      <c r="A767" t="s">
        <v>1370</v>
      </c>
      <c r="B767" s="2">
        <v>46082</v>
      </c>
      <c r="C767" t="s">
        <v>209</v>
      </c>
      <c r="D767" t="s">
        <v>73</v>
      </c>
      <c r="E767" t="s">
        <v>29</v>
      </c>
      <c r="F767">
        <v>55</v>
      </c>
      <c r="G767" t="s">
        <v>134</v>
      </c>
      <c r="H767" t="s">
        <v>31</v>
      </c>
      <c r="I767" t="s">
        <v>134</v>
      </c>
      <c r="J767" t="s">
        <v>32</v>
      </c>
      <c r="K767">
        <v>3</v>
      </c>
      <c r="L767">
        <v>4451</v>
      </c>
      <c r="M767">
        <v>10</v>
      </c>
      <c r="N767">
        <v>1335.3</v>
      </c>
      <c r="O767">
        <v>2163.19</v>
      </c>
      <c r="P767">
        <v>484</v>
      </c>
      <c r="Q767">
        <v>14664.89</v>
      </c>
      <c r="R767" t="s">
        <v>33</v>
      </c>
      <c r="S767" t="s">
        <v>63</v>
      </c>
      <c r="T767" t="s">
        <v>95</v>
      </c>
      <c r="U767" t="s">
        <v>96</v>
      </c>
      <c r="V767" t="s">
        <v>57</v>
      </c>
      <c r="W767">
        <v>8</v>
      </c>
      <c r="X767" t="s">
        <v>38</v>
      </c>
      <c r="Y767">
        <v>1</v>
      </c>
      <c r="Z767" t="s">
        <v>91</v>
      </c>
    </row>
    <row r="768" spans="1:26" x14ac:dyDescent="0.3">
      <c r="A768" t="s">
        <v>1371</v>
      </c>
      <c r="B768" s="2">
        <v>46072</v>
      </c>
      <c r="C768" t="s">
        <v>568</v>
      </c>
      <c r="D768" t="s">
        <v>80</v>
      </c>
      <c r="E768" t="s">
        <v>29</v>
      </c>
      <c r="F768">
        <v>51</v>
      </c>
      <c r="G768" t="s">
        <v>90</v>
      </c>
      <c r="H768" t="s">
        <v>31</v>
      </c>
      <c r="I768" t="s">
        <v>90</v>
      </c>
      <c r="J768" t="s">
        <v>150</v>
      </c>
      <c r="K768">
        <v>1</v>
      </c>
      <c r="L768">
        <v>44909</v>
      </c>
      <c r="M768">
        <v>20</v>
      </c>
      <c r="N768">
        <v>8981.7999999999993</v>
      </c>
      <c r="O768">
        <v>6466.9</v>
      </c>
      <c r="P768">
        <v>384</v>
      </c>
      <c r="Q768">
        <v>42778.1</v>
      </c>
      <c r="R768" t="s">
        <v>45</v>
      </c>
      <c r="S768" t="s">
        <v>34</v>
      </c>
      <c r="T768" t="s">
        <v>103</v>
      </c>
      <c r="U768" t="s">
        <v>103</v>
      </c>
      <c r="V768" t="s">
        <v>57</v>
      </c>
      <c r="W768">
        <v>9</v>
      </c>
      <c r="X768" t="s">
        <v>47</v>
      </c>
      <c r="Y768">
        <v>1</v>
      </c>
      <c r="Z768" t="s">
        <v>91</v>
      </c>
    </row>
    <row r="769" spans="1:26" x14ac:dyDescent="0.3">
      <c r="A769" t="s">
        <v>1372</v>
      </c>
      <c r="B769" s="2">
        <v>45841</v>
      </c>
      <c r="C769" t="s">
        <v>658</v>
      </c>
      <c r="D769" t="s">
        <v>66</v>
      </c>
      <c r="E769" t="s">
        <v>43</v>
      </c>
      <c r="F769">
        <v>29</v>
      </c>
      <c r="G769" t="s">
        <v>90</v>
      </c>
      <c r="H769" t="s">
        <v>31</v>
      </c>
      <c r="I769" t="s">
        <v>90</v>
      </c>
      <c r="J769" t="s">
        <v>112</v>
      </c>
      <c r="K769">
        <v>4</v>
      </c>
      <c r="L769">
        <v>43820</v>
      </c>
      <c r="M769">
        <v>10</v>
      </c>
      <c r="N769">
        <v>17528</v>
      </c>
      <c r="O769">
        <v>28395.360000000001</v>
      </c>
      <c r="P769">
        <v>157</v>
      </c>
      <c r="Q769">
        <v>186304.36</v>
      </c>
      <c r="R769" t="s">
        <v>45</v>
      </c>
      <c r="S769" t="s">
        <v>63</v>
      </c>
      <c r="T769" t="s">
        <v>84</v>
      </c>
      <c r="U769" t="s">
        <v>85</v>
      </c>
      <c r="V769" t="s">
        <v>86</v>
      </c>
      <c r="W769">
        <v>10</v>
      </c>
      <c r="X769" t="s">
        <v>47</v>
      </c>
      <c r="Y769">
        <v>4</v>
      </c>
      <c r="Z769" t="s">
        <v>91</v>
      </c>
    </row>
    <row r="770" spans="1:26" x14ac:dyDescent="0.3">
      <c r="A770" t="s">
        <v>1373</v>
      </c>
      <c r="B770" s="2">
        <v>45862</v>
      </c>
      <c r="C770" t="s">
        <v>1374</v>
      </c>
      <c r="D770" t="s">
        <v>42</v>
      </c>
      <c r="E770" t="s">
        <v>29</v>
      </c>
      <c r="F770">
        <v>40</v>
      </c>
      <c r="G770" t="s">
        <v>51</v>
      </c>
      <c r="H770" t="s">
        <v>52</v>
      </c>
      <c r="I770" t="s">
        <v>51</v>
      </c>
      <c r="J770" t="s">
        <v>201</v>
      </c>
      <c r="K770">
        <v>3</v>
      </c>
      <c r="L770">
        <v>13810</v>
      </c>
      <c r="M770">
        <v>10</v>
      </c>
      <c r="N770">
        <v>4143</v>
      </c>
      <c r="O770">
        <v>6711.66</v>
      </c>
      <c r="P770">
        <v>258</v>
      </c>
      <c r="Q770">
        <v>44256.66</v>
      </c>
      <c r="R770" t="s">
        <v>54</v>
      </c>
      <c r="S770" t="s">
        <v>34</v>
      </c>
      <c r="T770" t="s">
        <v>95</v>
      </c>
      <c r="U770" t="s">
        <v>96</v>
      </c>
      <c r="V770" t="s">
        <v>57</v>
      </c>
      <c r="W770">
        <v>9</v>
      </c>
      <c r="X770" t="s">
        <v>38</v>
      </c>
      <c r="Y770">
        <v>1</v>
      </c>
      <c r="Z770" t="s">
        <v>39</v>
      </c>
    </row>
    <row r="771" spans="1:26" x14ac:dyDescent="0.3">
      <c r="A771" t="s">
        <v>1375</v>
      </c>
      <c r="B771" s="2">
        <v>46047</v>
      </c>
      <c r="C771" t="s">
        <v>1162</v>
      </c>
      <c r="D771" t="s">
        <v>61</v>
      </c>
      <c r="E771" t="s">
        <v>43</v>
      </c>
      <c r="F771">
        <v>40</v>
      </c>
      <c r="G771" t="s">
        <v>44</v>
      </c>
      <c r="H771" t="s">
        <v>31</v>
      </c>
      <c r="I771" t="s">
        <v>44</v>
      </c>
      <c r="J771" t="s">
        <v>32</v>
      </c>
      <c r="K771">
        <v>2</v>
      </c>
      <c r="L771">
        <v>46551</v>
      </c>
      <c r="M771">
        <v>15</v>
      </c>
      <c r="N771">
        <v>13965.3</v>
      </c>
      <c r="O771">
        <v>14244.61</v>
      </c>
      <c r="P771">
        <v>269</v>
      </c>
      <c r="Q771">
        <v>93650.31</v>
      </c>
      <c r="R771" t="s">
        <v>45</v>
      </c>
      <c r="S771" t="s">
        <v>63</v>
      </c>
      <c r="T771" t="s">
        <v>95</v>
      </c>
      <c r="U771" t="s">
        <v>96</v>
      </c>
      <c r="V771" t="s">
        <v>57</v>
      </c>
      <c r="W771">
        <v>10</v>
      </c>
      <c r="X771" t="s">
        <v>38</v>
      </c>
      <c r="Y771">
        <v>3</v>
      </c>
      <c r="Z771" t="s">
        <v>58</v>
      </c>
    </row>
    <row r="772" spans="1:26" x14ac:dyDescent="0.3">
      <c r="A772" t="s">
        <v>1376</v>
      </c>
      <c r="B772" s="2">
        <v>46024</v>
      </c>
      <c r="C772" t="s">
        <v>365</v>
      </c>
      <c r="D772" t="s">
        <v>89</v>
      </c>
      <c r="E772" t="s">
        <v>29</v>
      </c>
      <c r="F772">
        <v>51</v>
      </c>
      <c r="G772" t="s">
        <v>30</v>
      </c>
      <c r="H772" t="s">
        <v>31</v>
      </c>
      <c r="I772" t="s">
        <v>30</v>
      </c>
      <c r="J772" t="s">
        <v>62</v>
      </c>
      <c r="K772">
        <v>1</v>
      </c>
      <c r="L772">
        <v>39927</v>
      </c>
      <c r="M772">
        <v>20</v>
      </c>
      <c r="N772">
        <v>7985.4</v>
      </c>
      <c r="O772">
        <v>5749.49</v>
      </c>
      <c r="P772">
        <v>5</v>
      </c>
      <c r="Q772">
        <v>37696.089999999997</v>
      </c>
      <c r="R772" t="s">
        <v>45</v>
      </c>
      <c r="S772" t="s">
        <v>34</v>
      </c>
      <c r="T772" t="s">
        <v>76</v>
      </c>
      <c r="U772" t="s">
        <v>77</v>
      </c>
      <c r="V772" t="s">
        <v>57</v>
      </c>
      <c r="W772">
        <v>1</v>
      </c>
      <c r="X772" t="s">
        <v>38</v>
      </c>
      <c r="Y772">
        <v>5</v>
      </c>
      <c r="Z772" t="s">
        <v>91</v>
      </c>
    </row>
    <row r="773" spans="1:26" x14ac:dyDescent="0.3">
      <c r="A773" t="s">
        <v>1377</v>
      </c>
      <c r="B773" s="2">
        <v>45966</v>
      </c>
      <c r="C773" t="s">
        <v>1378</v>
      </c>
      <c r="D773" t="s">
        <v>89</v>
      </c>
      <c r="E773" t="s">
        <v>29</v>
      </c>
      <c r="F773">
        <v>24</v>
      </c>
      <c r="G773" t="s">
        <v>99</v>
      </c>
      <c r="H773" t="s">
        <v>52</v>
      </c>
      <c r="I773" t="s">
        <v>99</v>
      </c>
      <c r="J773" t="s">
        <v>53</v>
      </c>
      <c r="K773">
        <v>4</v>
      </c>
      <c r="L773">
        <v>26531</v>
      </c>
      <c r="M773">
        <v>15</v>
      </c>
      <c r="N773">
        <v>15918.6</v>
      </c>
      <c r="O773">
        <v>16236.97</v>
      </c>
      <c r="P773">
        <v>424</v>
      </c>
      <c r="Q773">
        <v>106866.37</v>
      </c>
      <c r="R773" t="s">
        <v>83</v>
      </c>
      <c r="S773" t="s">
        <v>34</v>
      </c>
      <c r="T773" t="s">
        <v>55</v>
      </c>
      <c r="U773" t="s">
        <v>56</v>
      </c>
      <c r="V773" t="s">
        <v>57</v>
      </c>
      <c r="W773">
        <v>4</v>
      </c>
      <c r="X773" t="s">
        <v>38</v>
      </c>
      <c r="Y773">
        <v>4</v>
      </c>
      <c r="Z773" t="s">
        <v>91</v>
      </c>
    </row>
    <row r="774" spans="1:26" x14ac:dyDescent="0.3">
      <c r="A774" t="s">
        <v>1379</v>
      </c>
      <c r="B774" s="2">
        <v>45874</v>
      </c>
      <c r="C774" t="s">
        <v>523</v>
      </c>
      <c r="D774" t="s">
        <v>42</v>
      </c>
      <c r="E774" t="s">
        <v>29</v>
      </c>
      <c r="F774">
        <v>50</v>
      </c>
      <c r="G774" t="s">
        <v>67</v>
      </c>
      <c r="H774" t="s">
        <v>68</v>
      </c>
      <c r="I774" t="s">
        <v>67</v>
      </c>
      <c r="J774" t="s">
        <v>53</v>
      </c>
      <c r="K774">
        <v>3</v>
      </c>
      <c r="L774">
        <v>17924</v>
      </c>
      <c r="M774">
        <v>5</v>
      </c>
      <c r="N774">
        <v>2688.6</v>
      </c>
      <c r="O774">
        <v>9195.01</v>
      </c>
      <c r="P774">
        <v>37</v>
      </c>
      <c r="Q774">
        <v>60315.41</v>
      </c>
      <c r="R774" t="s">
        <v>45</v>
      </c>
      <c r="S774" t="s">
        <v>63</v>
      </c>
      <c r="T774" t="s">
        <v>46</v>
      </c>
      <c r="U774" t="s">
        <v>36</v>
      </c>
      <c r="V774" t="s">
        <v>37</v>
      </c>
      <c r="W774">
        <v>8</v>
      </c>
      <c r="X774" t="s">
        <v>47</v>
      </c>
      <c r="Y774">
        <v>1</v>
      </c>
      <c r="Z774" t="s">
        <v>58</v>
      </c>
    </row>
    <row r="775" spans="1:26" x14ac:dyDescent="0.3">
      <c r="A775" t="s">
        <v>1380</v>
      </c>
      <c r="B775" s="2">
        <v>45921</v>
      </c>
      <c r="C775" t="s">
        <v>631</v>
      </c>
      <c r="D775" t="s">
        <v>28</v>
      </c>
      <c r="E775" t="s">
        <v>29</v>
      </c>
      <c r="F775">
        <v>26</v>
      </c>
      <c r="G775" t="s">
        <v>134</v>
      </c>
      <c r="H775" t="s">
        <v>31</v>
      </c>
      <c r="I775" t="s">
        <v>134</v>
      </c>
      <c r="J775" t="s">
        <v>62</v>
      </c>
      <c r="K775">
        <v>5</v>
      </c>
      <c r="L775">
        <v>14793</v>
      </c>
      <c r="M775">
        <v>0</v>
      </c>
      <c r="N775">
        <v>0</v>
      </c>
      <c r="O775">
        <v>13313.7</v>
      </c>
      <c r="P775">
        <v>61</v>
      </c>
      <c r="Q775">
        <v>87339.7</v>
      </c>
      <c r="R775" t="s">
        <v>83</v>
      </c>
      <c r="S775" t="s">
        <v>63</v>
      </c>
      <c r="T775" t="s">
        <v>55</v>
      </c>
      <c r="U775" t="s">
        <v>56</v>
      </c>
      <c r="V775" t="s">
        <v>57</v>
      </c>
      <c r="W775">
        <v>4</v>
      </c>
      <c r="X775" t="s">
        <v>38</v>
      </c>
      <c r="Y775">
        <v>5</v>
      </c>
      <c r="Z775" t="s">
        <v>39</v>
      </c>
    </row>
    <row r="776" spans="1:26" x14ac:dyDescent="0.3">
      <c r="A776" t="s">
        <v>1381</v>
      </c>
      <c r="B776" s="2">
        <v>45866</v>
      </c>
      <c r="C776" t="s">
        <v>722</v>
      </c>
      <c r="D776" t="s">
        <v>111</v>
      </c>
      <c r="E776" t="s">
        <v>43</v>
      </c>
      <c r="F776">
        <v>26</v>
      </c>
      <c r="G776" t="s">
        <v>44</v>
      </c>
      <c r="H776" t="s">
        <v>31</v>
      </c>
      <c r="I776" t="s">
        <v>44</v>
      </c>
      <c r="J776" t="s">
        <v>62</v>
      </c>
      <c r="K776">
        <v>5</v>
      </c>
      <c r="L776">
        <v>47888</v>
      </c>
      <c r="M776">
        <v>10</v>
      </c>
      <c r="N776">
        <v>23944</v>
      </c>
      <c r="O776">
        <v>38789.279999999999</v>
      </c>
      <c r="P776">
        <v>381</v>
      </c>
      <c r="Q776">
        <v>254666.28</v>
      </c>
      <c r="R776" t="s">
        <v>54</v>
      </c>
      <c r="S776" t="s">
        <v>63</v>
      </c>
      <c r="T776" t="s">
        <v>46</v>
      </c>
      <c r="U776" t="s">
        <v>36</v>
      </c>
      <c r="V776" t="s">
        <v>37</v>
      </c>
      <c r="W776">
        <v>1</v>
      </c>
      <c r="X776" t="s">
        <v>38</v>
      </c>
      <c r="Y776">
        <v>3</v>
      </c>
      <c r="Z776" t="s">
        <v>58</v>
      </c>
    </row>
    <row r="777" spans="1:26" x14ac:dyDescent="0.3">
      <c r="A777" t="s">
        <v>1382</v>
      </c>
      <c r="B777" s="2">
        <v>45774</v>
      </c>
      <c r="C777" t="s">
        <v>149</v>
      </c>
      <c r="D777" t="s">
        <v>28</v>
      </c>
      <c r="E777" t="s">
        <v>43</v>
      </c>
      <c r="F777">
        <v>42</v>
      </c>
      <c r="G777" t="s">
        <v>139</v>
      </c>
      <c r="H777" t="s">
        <v>31</v>
      </c>
      <c r="I777" t="s">
        <v>139</v>
      </c>
      <c r="J777" t="s">
        <v>102</v>
      </c>
      <c r="K777">
        <v>4</v>
      </c>
      <c r="L777">
        <v>9646</v>
      </c>
      <c r="M777">
        <v>5</v>
      </c>
      <c r="N777">
        <v>1929.2</v>
      </c>
      <c r="O777">
        <v>6597.86</v>
      </c>
      <c r="P777">
        <v>331</v>
      </c>
      <c r="Q777">
        <v>43583.66</v>
      </c>
      <c r="R777" t="s">
        <v>54</v>
      </c>
      <c r="S777" t="s">
        <v>63</v>
      </c>
      <c r="T777" t="s">
        <v>95</v>
      </c>
      <c r="U777" t="s">
        <v>96</v>
      </c>
      <c r="V777" t="s">
        <v>57</v>
      </c>
      <c r="W777">
        <v>8</v>
      </c>
      <c r="X777" t="s">
        <v>47</v>
      </c>
      <c r="Y777">
        <v>5</v>
      </c>
      <c r="Z777" t="s">
        <v>47</v>
      </c>
    </row>
    <row r="778" spans="1:26" x14ac:dyDescent="0.3">
      <c r="A778" t="s">
        <v>1383</v>
      </c>
      <c r="B778" s="2">
        <v>45805</v>
      </c>
      <c r="C778" t="s">
        <v>451</v>
      </c>
      <c r="D778" t="s">
        <v>61</v>
      </c>
      <c r="E778" t="s">
        <v>29</v>
      </c>
      <c r="F778">
        <v>38</v>
      </c>
      <c r="G778" t="s">
        <v>74</v>
      </c>
      <c r="H778" t="s">
        <v>31</v>
      </c>
      <c r="I778" t="s">
        <v>74</v>
      </c>
      <c r="J778" t="s">
        <v>102</v>
      </c>
      <c r="K778">
        <v>4</v>
      </c>
      <c r="L778">
        <v>4941</v>
      </c>
      <c r="M778">
        <v>20</v>
      </c>
      <c r="N778">
        <v>3952.8</v>
      </c>
      <c r="O778">
        <v>2846.02</v>
      </c>
      <c r="P778">
        <v>305</v>
      </c>
      <c r="Q778">
        <v>18962.22</v>
      </c>
      <c r="R778" t="s">
        <v>33</v>
      </c>
      <c r="S778" t="s">
        <v>63</v>
      </c>
      <c r="T778" t="s">
        <v>35</v>
      </c>
      <c r="U778" t="s">
        <v>36</v>
      </c>
      <c r="V778" t="s">
        <v>37</v>
      </c>
      <c r="W778">
        <v>9</v>
      </c>
      <c r="X778" t="s">
        <v>38</v>
      </c>
      <c r="Y778">
        <v>1</v>
      </c>
      <c r="Z778" t="s">
        <v>39</v>
      </c>
    </row>
    <row r="779" spans="1:26" x14ac:dyDescent="0.3">
      <c r="A779" t="s">
        <v>1384</v>
      </c>
      <c r="B779" s="2">
        <v>45849</v>
      </c>
      <c r="C779" t="s">
        <v>1237</v>
      </c>
      <c r="D779" t="s">
        <v>28</v>
      </c>
      <c r="E779" t="s">
        <v>29</v>
      </c>
      <c r="F779">
        <v>52</v>
      </c>
      <c r="G779" t="s">
        <v>99</v>
      </c>
      <c r="H779" t="s">
        <v>52</v>
      </c>
      <c r="I779" t="s">
        <v>99</v>
      </c>
      <c r="J779" t="s">
        <v>62</v>
      </c>
      <c r="K779">
        <v>3</v>
      </c>
      <c r="L779">
        <v>39057</v>
      </c>
      <c r="M779">
        <v>10</v>
      </c>
      <c r="N779">
        <v>11717.1</v>
      </c>
      <c r="O779">
        <v>18981.7</v>
      </c>
      <c r="P779">
        <v>493</v>
      </c>
      <c r="Q779">
        <v>124928.6</v>
      </c>
      <c r="R779" t="s">
        <v>54</v>
      </c>
      <c r="S779" t="s">
        <v>63</v>
      </c>
      <c r="T779" t="s">
        <v>84</v>
      </c>
      <c r="U779" t="s">
        <v>85</v>
      </c>
      <c r="V779" t="s">
        <v>86</v>
      </c>
      <c r="W779">
        <v>1</v>
      </c>
      <c r="X779" t="s">
        <v>38</v>
      </c>
      <c r="Y779">
        <v>3</v>
      </c>
      <c r="Z779" t="s">
        <v>58</v>
      </c>
    </row>
    <row r="780" spans="1:26" x14ac:dyDescent="0.3">
      <c r="A780" t="s">
        <v>1385</v>
      </c>
      <c r="B780" s="2">
        <v>45840</v>
      </c>
      <c r="C780" t="s">
        <v>814</v>
      </c>
      <c r="D780" t="s">
        <v>28</v>
      </c>
      <c r="E780" t="s">
        <v>29</v>
      </c>
      <c r="F780">
        <v>49</v>
      </c>
      <c r="G780" t="s">
        <v>30</v>
      </c>
      <c r="H780" t="s">
        <v>31</v>
      </c>
      <c r="I780" t="s">
        <v>30</v>
      </c>
      <c r="J780" t="s">
        <v>125</v>
      </c>
      <c r="K780">
        <v>3</v>
      </c>
      <c r="L780">
        <v>1818</v>
      </c>
      <c r="M780">
        <v>10</v>
      </c>
      <c r="N780">
        <v>545.4</v>
      </c>
      <c r="O780">
        <v>883.55</v>
      </c>
      <c r="P780">
        <v>304</v>
      </c>
      <c r="Q780">
        <v>6096.15</v>
      </c>
      <c r="R780" t="s">
        <v>54</v>
      </c>
      <c r="S780" t="s">
        <v>63</v>
      </c>
      <c r="T780" t="s">
        <v>70</v>
      </c>
      <c r="U780" t="s">
        <v>56</v>
      </c>
      <c r="V780" t="s">
        <v>57</v>
      </c>
      <c r="W780">
        <v>2</v>
      </c>
      <c r="X780" t="s">
        <v>38</v>
      </c>
      <c r="Y780">
        <v>4</v>
      </c>
      <c r="Z780" t="s">
        <v>91</v>
      </c>
    </row>
    <row r="781" spans="1:26" x14ac:dyDescent="0.3">
      <c r="A781" t="s">
        <v>1386</v>
      </c>
      <c r="B781" s="2">
        <v>46108</v>
      </c>
      <c r="C781" t="s">
        <v>1387</v>
      </c>
      <c r="D781" t="s">
        <v>66</v>
      </c>
      <c r="E781" t="s">
        <v>43</v>
      </c>
      <c r="F781">
        <v>18</v>
      </c>
      <c r="G781" t="s">
        <v>90</v>
      </c>
      <c r="H781" t="s">
        <v>31</v>
      </c>
      <c r="I781" t="s">
        <v>90</v>
      </c>
      <c r="J781" t="s">
        <v>102</v>
      </c>
      <c r="K781">
        <v>2</v>
      </c>
      <c r="L781">
        <v>18717</v>
      </c>
      <c r="M781">
        <v>10</v>
      </c>
      <c r="N781">
        <v>3743.4</v>
      </c>
      <c r="O781">
        <v>6064.31</v>
      </c>
      <c r="P781">
        <v>4</v>
      </c>
      <c r="Q781">
        <v>39758.910000000003</v>
      </c>
      <c r="R781" t="s">
        <v>83</v>
      </c>
      <c r="S781" t="s">
        <v>34</v>
      </c>
      <c r="T781" t="s">
        <v>46</v>
      </c>
      <c r="U781" t="s">
        <v>36</v>
      </c>
      <c r="V781" t="s">
        <v>37</v>
      </c>
      <c r="W781">
        <v>3</v>
      </c>
      <c r="X781" t="s">
        <v>47</v>
      </c>
      <c r="Y781">
        <v>1</v>
      </c>
      <c r="Z781" t="s">
        <v>91</v>
      </c>
    </row>
    <row r="782" spans="1:26" x14ac:dyDescent="0.3">
      <c r="A782" t="s">
        <v>1388</v>
      </c>
      <c r="B782" s="2">
        <v>46054</v>
      </c>
      <c r="C782" t="s">
        <v>101</v>
      </c>
      <c r="D782" t="s">
        <v>89</v>
      </c>
      <c r="E782" t="s">
        <v>43</v>
      </c>
      <c r="F782">
        <v>21</v>
      </c>
      <c r="G782" t="s">
        <v>51</v>
      </c>
      <c r="H782" t="s">
        <v>52</v>
      </c>
      <c r="I782" t="s">
        <v>51</v>
      </c>
      <c r="J782" t="s">
        <v>69</v>
      </c>
      <c r="K782">
        <v>4</v>
      </c>
      <c r="L782">
        <v>14573</v>
      </c>
      <c r="M782">
        <v>0</v>
      </c>
      <c r="N782">
        <v>0</v>
      </c>
      <c r="O782">
        <v>10492.56</v>
      </c>
      <c r="P782">
        <v>385</v>
      </c>
      <c r="Q782">
        <v>69169.56</v>
      </c>
      <c r="R782" t="s">
        <v>54</v>
      </c>
      <c r="S782" t="s">
        <v>63</v>
      </c>
      <c r="T782" t="s">
        <v>95</v>
      </c>
      <c r="U782" t="s">
        <v>96</v>
      </c>
      <c r="V782" t="s">
        <v>57</v>
      </c>
      <c r="W782">
        <v>10</v>
      </c>
      <c r="X782" t="s">
        <v>38</v>
      </c>
      <c r="Y782">
        <v>3</v>
      </c>
      <c r="Z782" t="s">
        <v>91</v>
      </c>
    </row>
    <row r="783" spans="1:26" x14ac:dyDescent="0.3">
      <c r="A783" t="s">
        <v>1389</v>
      </c>
      <c r="B783" s="2">
        <v>45956</v>
      </c>
      <c r="C783" t="s">
        <v>1390</v>
      </c>
      <c r="D783" t="s">
        <v>50</v>
      </c>
      <c r="E783" t="s">
        <v>43</v>
      </c>
      <c r="F783">
        <v>54</v>
      </c>
      <c r="G783" t="s">
        <v>134</v>
      </c>
      <c r="H783" t="s">
        <v>31</v>
      </c>
      <c r="I783" t="s">
        <v>134</v>
      </c>
      <c r="J783" t="s">
        <v>102</v>
      </c>
      <c r="K783">
        <v>4</v>
      </c>
      <c r="L783">
        <v>11813</v>
      </c>
      <c r="M783">
        <v>10</v>
      </c>
      <c r="N783">
        <v>4725.2</v>
      </c>
      <c r="O783">
        <v>7654.82</v>
      </c>
      <c r="P783">
        <v>205</v>
      </c>
      <c r="Q783">
        <v>50386.62</v>
      </c>
      <c r="R783" t="s">
        <v>83</v>
      </c>
      <c r="S783" t="s">
        <v>63</v>
      </c>
      <c r="T783" t="s">
        <v>76</v>
      </c>
      <c r="U783" t="s">
        <v>77</v>
      </c>
      <c r="V783" t="s">
        <v>57</v>
      </c>
      <c r="W783">
        <v>9</v>
      </c>
      <c r="X783" t="s">
        <v>38</v>
      </c>
      <c r="Y783">
        <v>2</v>
      </c>
      <c r="Z783" t="s">
        <v>47</v>
      </c>
    </row>
    <row r="784" spans="1:26" x14ac:dyDescent="0.3">
      <c r="A784" t="s">
        <v>1391</v>
      </c>
      <c r="B784" s="2">
        <v>45854</v>
      </c>
      <c r="C784" t="s">
        <v>1392</v>
      </c>
      <c r="D784" t="s">
        <v>108</v>
      </c>
      <c r="E784" t="s">
        <v>43</v>
      </c>
      <c r="F784">
        <v>32</v>
      </c>
      <c r="G784" t="s">
        <v>30</v>
      </c>
      <c r="H784" t="s">
        <v>31</v>
      </c>
      <c r="I784" t="s">
        <v>30</v>
      </c>
      <c r="J784" t="s">
        <v>62</v>
      </c>
      <c r="K784">
        <v>1</v>
      </c>
      <c r="L784">
        <v>8738</v>
      </c>
      <c r="M784">
        <v>5</v>
      </c>
      <c r="N784">
        <v>436.9</v>
      </c>
      <c r="O784">
        <v>1494.2</v>
      </c>
      <c r="P784">
        <v>184</v>
      </c>
      <c r="Q784">
        <v>9979.2999999999993</v>
      </c>
      <c r="R784" t="s">
        <v>83</v>
      </c>
      <c r="S784" t="s">
        <v>63</v>
      </c>
      <c r="T784" t="s">
        <v>103</v>
      </c>
      <c r="U784" t="s">
        <v>103</v>
      </c>
      <c r="V784" t="s">
        <v>57</v>
      </c>
      <c r="W784">
        <v>7</v>
      </c>
      <c r="X784" t="s">
        <v>38</v>
      </c>
      <c r="Y784">
        <v>4</v>
      </c>
      <c r="Z784" t="s">
        <v>91</v>
      </c>
    </row>
    <row r="785" spans="1:26" x14ac:dyDescent="0.3">
      <c r="A785" t="s">
        <v>1393</v>
      </c>
      <c r="B785" s="2">
        <v>45963</v>
      </c>
      <c r="C785" t="s">
        <v>323</v>
      </c>
      <c r="D785" t="s">
        <v>111</v>
      </c>
      <c r="E785" t="s">
        <v>43</v>
      </c>
      <c r="F785">
        <v>29</v>
      </c>
      <c r="G785" t="s">
        <v>30</v>
      </c>
      <c r="H785" t="s">
        <v>31</v>
      </c>
      <c r="I785" t="s">
        <v>30</v>
      </c>
      <c r="J785" t="s">
        <v>32</v>
      </c>
      <c r="K785">
        <v>4</v>
      </c>
      <c r="L785">
        <v>1489</v>
      </c>
      <c r="M785">
        <v>20</v>
      </c>
      <c r="N785">
        <v>1191.2</v>
      </c>
      <c r="O785">
        <v>857.66</v>
      </c>
      <c r="P785">
        <v>442</v>
      </c>
      <c r="Q785">
        <v>6064.46</v>
      </c>
      <c r="R785" t="s">
        <v>45</v>
      </c>
      <c r="S785" t="s">
        <v>63</v>
      </c>
      <c r="T785" t="s">
        <v>76</v>
      </c>
      <c r="U785" t="s">
        <v>77</v>
      </c>
      <c r="V785" t="s">
        <v>57</v>
      </c>
      <c r="W785">
        <v>5</v>
      </c>
      <c r="X785" t="s">
        <v>47</v>
      </c>
      <c r="Y785">
        <v>5</v>
      </c>
      <c r="Z785" t="s">
        <v>39</v>
      </c>
    </row>
    <row r="786" spans="1:26" x14ac:dyDescent="0.3">
      <c r="A786" t="s">
        <v>1394</v>
      </c>
      <c r="B786" s="2">
        <v>46083</v>
      </c>
      <c r="C786" t="s">
        <v>1063</v>
      </c>
      <c r="D786" t="s">
        <v>89</v>
      </c>
      <c r="E786" t="s">
        <v>43</v>
      </c>
      <c r="F786">
        <v>29</v>
      </c>
      <c r="G786" t="s">
        <v>99</v>
      </c>
      <c r="H786" t="s">
        <v>52</v>
      </c>
      <c r="I786" t="s">
        <v>99</v>
      </c>
      <c r="J786" t="s">
        <v>62</v>
      </c>
      <c r="K786">
        <v>1</v>
      </c>
      <c r="L786">
        <v>9101</v>
      </c>
      <c r="M786">
        <v>5</v>
      </c>
      <c r="N786">
        <v>455.05</v>
      </c>
      <c r="O786">
        <v>1556.27</v>
      </c>
      <c r="P786">
        <v>408</v>
      </c>
      <c r="Q786">
        <v>10610.22</v>
      </c>
      <c r="R786" t="s">
        <v>83</v>
      </c>
      <c r="S786" t="s">
        <v>63</v>
      </c>
      <c r="T786" t="s">
        <v>84</v>
      </c>
      <c r="U786" t="s">
        <v>85</v>
      </c>
      <c r="V786" t="s">
        <v>86</v>
      </c>
      <c r="W786">
        <v>2</v>
      </c>
      <c r="X786" t="s">
        <v>47</v>
      </c>
      <c r="Y786">
        <v>3</v>
      </c>
      <c r="Z786" t="s">
        <v>91</v>
      </c>
    </row>
    <row r="787" spans="1:26" x14ac:dyDescent="0.3">
      <c r="A787" t="s">
        <v>1395</v>
      </c>
      <c r="B787" s="2">
        <v>46105</v>
      </c>
      <c r="C787" t="s">
        <v>521</v>
      </c>
      <c r="D787" t="s">
        <v>42</v>
      </c>
      <c r="E787" t="s">
        <v>43</v>
      </c>
      <c r="F787">
        <v>58</v>
      </c>
      <c r="G787" t="s">
        <v>51</v>
      </c>
      <c r="H787" t="s">
        <v>52</v>
      </c>
      <c r="I787" t="s">
        <v>51</v>
      </c>
      <c r="J787" t="s">
        <v>112</v>
      </c>
      <c r="K787">
        <v>3</v>
      </c>
      <c r="L787">
        <v>28364</v>
      </c>
      <c r="M787">
        <v>20</v>
      </c>
      <c r="N787">
        <v>17018.400000000001</v>
      </c>
      <c r="O787">
        <v>12253.25</v>
      </c>
      <c r="P787">
        <v>411</v>
      </c>
      <c r="Q787">
        <v>80737.850000000006</v>
      </c>
      <c r="R787" t="s">
        <v>83</v>
      </c>
      <c r="S787" t="s">
        <v>34</v>
      </c>
      <c r="T787" t="s">
        <v>76</v>
      </c>
      <c r="U787" t="s">
        <v>77</v>
      </c>
      <c r="V787" t="s">
        <v>57</v>
      </c>
      <c r="W787">
        <v>7</v>
      </c>
      <c r="X787" t="s">
        <v>47</v>
      </c>
      <c r="Y787">
        <v>4</v>
      </c>
      <c r="Z787" t="s">
        <v>47</v>
      </c>
    </row>
    <row r="788" spans="1:26" x14ac:dyDescent="0.3">
      <c r="A788" t="s">
        <v>1396</v>
      </c>
      <c r="B788" s="2">
        <v>46029</v>
      </c>
      <c r="C788" t="s">
        <v>1397</v>
      </c>
      <c r="D788" t="s">
        <v>42</v>
      </c>
      <c r="E788" t="s">
        <v>43</v>
      </c>
      <c r="F788">
        <v>25</v>
      </c>
      <c r="G788" t="s">
        <v>74</v>
      </c>
      <c r="H788" t="s">
        <v>31</v>
      </c>
      <c r="I788" t="s">
        <v>74</v>
      </c>
      <c r="J788" t="s">
        <v>62</v>
      </c>
      <c r="K788">
        <v>3</v>
      </c>
      <c r="L788">
        <v>26567</v>
      </c>
      <c r="M788">
        <v>20</v>
      </c>
      <c r="N788">
        <v>15940.2</v>
      </c>
      <c r="O788">
        <v>11476.94</v>
      </c>
      <c r="P788">
        <v>289</v>
      </c>
      <c r="Q788">
        <v>75526.740000000005</v>
      </c>
      <c r="R788" t="s">
        <v>54</v>
      </c>
      <c r="S788" t="s">
        <v>63</v>
      </c>
      <c r="T788" t="s">
        <v>103</v>
      </c>
      <c r="U788" t="s">
        <v>103</v>
      </c>
      <c r="V788" t="s">
        <v>57</v>
      </c>
      <c r="W788">
        <v>8</v>
      </c>
      <c r="X788" t="s">
        <v>47</v>
      </c>
      <c r="Y788">
        <v>2</v>
      </c>
      <c r="Z788" t="s">
        <v>47</v>
      </c>
    </row>
    <row r="789" spans="1:26" x14ac:dyDescent="0.3">
      <c r="A789" t="s">
        <v>1398</v>
      </c>
      <c r="B789" s="2">
        <v>46026</v>
      </c>
      <c r="C789" t="s">
        <v>1399</v>
      </c>
      <c r="D789" t="s">
        <v>50</v>
      </c>
      <c r="E789" t="s">
        <v>43</v>
      </c>
      <c r="F789">
        <v>40</v>
      </c>
      <c r="G789" t="s">
        <v>74</v>
      </c>
      <c r="H789" t="s">
        <v>31</v>
      </c>
      <c r="I789" t="s">
        <v>74</v>
      </c>
      <c r="J789" t="s">
        <v>32</v>
      </c>
      <c r="K789">
        <v>4</v>
      </c>
      <c r="L789">
        <v>36398</v>
      </c>
      <c r="M789">
        <v>20</v>
      </c>
      <c r="N789">
        <v>29118.400000000001</v>
      </c>
      <c r="O789">
        <v>20965.25</v>
      </c>
      <c r="P789">
        <v>62</v>
      </c>
      <c r="Q789">
        <v>137500.85</v>
      </c>
      <c r="R789" t="s">
        <v>33</v>
      </c>
      <c r="S789" t="s">
        <v>63</v>
      </c>
      <c r="T789" t="s">
        <v>103</v>
      </c>
      <c r="U789" t="s">
        <v>103</v>
      </c>
      <c r="V789" t="s">
        <v>57</v>
      </c>
      <c r="W789">
        <v>8</v>
      </c>
      <c r="X789" t="s">
        <v>38</v>
      </c>
      <c r="Y789">
        <v>2</v>
      </c>
      <c r="Z789" t="s">
        <v>47</v>
      </c>
    </row>
    <row r="790" spans="1:26" x14ac:dyDescent="0.3">
      <c r="A790" t="s">
        <v>1400</v>
      </c>
      <c r="B790" s="2">
        <v>45858</v>
      </c>
      <c r="C790" t="s">
        <v>1401</v>
      </c>
      <c r="D790" t="s">
        <v>42</v>
      </c>
      <c r="E790" t="s">
        <v>29</v>
      </c>
      <c r="F790">
        <v>26</v>
      </c>
      <c r="G790" t="s">
        <v>139</v>
      </c>
      <c r="H790" t="s">
        <v>31</v>
      </c>
      <c r="I790" t="s">
        <v>139</v>
      </c>
      <c r="J790" t="s">
        <v>125</v>
      </c>
      <c r="K790">
        <v>3</v>
      </c>
      <c r="L790">
        <v>5708</v>
      </c>
      <c r="M790">
        <v>10</v>
      </c>
      <c r="N790">
        <v>1712.4</v>
      </c>
      <c r="O790">
        <v>2774.09</v>
      </c>
      <c r="P790">
        <v>270</v>
      </c>
      <c r="Q790">
        <v>18455.689999999999</v>
      </c>
      <c r="R790" t="s">
        <v>83</v>
      </c>
      <c r="S790" t="s">
        <v>34</v>
      </c>
      <c r="T790" t="s">
        <v>55</v>
      </c>
      <c r="U790" t="s">
        <v>56</v>
      </c>
      <c r="V790" t="s">
        <v>57</v>
      </c>
      <c r="W790">
        <v>2</v>
      </c>
      <c r="X790" t="s">
        <v>47</v>
      </c>
      <c r="Y790">
        <v>1</v>
      </c>
      <c r="Z790" t="s">
        <v>91</v>
      </c>
    </row>
    <row r="791" spans="1:26" x14ac:dyDescent="0.3">
      <c r="A791" t="s">
        <v>1402</v>
      </c>
      <c r="B791" s="2">
        <v>45757</v>
      </c>
      <c r="C791" t="s">
        <v>162</v>
      </c>
      <c r="D791" t="s">
        <v>50</v>
      </c>
      <c r="E791" t="s">
        <v>43</v>
      </c>
      <c r="F791">
        <v>34</v>
      </c>
      <c r="G791" t="s">
        <v>44</v>
      </c>
      <c r="H791" t="s">
        <v>31</v>
      </c>
      <c r="I791" t="s">
        <v>44</v>
      </c>
      <c r="J791" t="s">
        <v>112</v>
      </c>
      <c r="K791">
        <v>5</v>
      </c>
      <c r="L791">
        <v>41929</v>
      </c>
      <c r="M791">
        <v>10</v>
      </c>
      <c r="N791">
        <v>20964.5</v>
      </c>
      <c r="O791">
        <v>33962.49</v>
      </c>
      <c r="P791">
        <v>167</v>
      </c>
      <c r="Q791">
        <v>222809.99</v>
      </c>
      <c r="R791" t="s">
        <v>45</v>
      </c>
      <c r="S791" t="s">
        <v>63</v>
      </c>
      <c r="T791" t="s">
        <v>95</v>
      </c>
      <c r="U791" t="s">
        <v>96</v>
      </c>
      <c r="V791" t="s">
        <v>57</v>
      </c>
      <c r="W791">
        <v>7</v>
      </c>
      <c r="X791" t="s">
        <v>38</v>
      </c>
      <c r="Y791">
        <v>3</v>
      </c>
      <c r="Z791" t="s">
        <v>58</v>
      </c>
    </row>
    <row r="792" spans="1:26" x14ac:dyDescent="0.3">
      <c r="A792" t="s">
        <v>1403</v>
      </c>
      <c r="B792" s="2">
        <v>46081</v>
      </c>
      <c r="C792" t="s">
        <v>1404</v>
      </c>
      <c r="D792" t="s">
        <v>111</v>
      </c>
      <c r="E792" t="s">
        <v>43</v>
      </c>
      <c r="F792">
        <v>43</v>
      </c>
      <c r="G792" t="s">
        <v>139</v>
      </c>
      <c r="H792" t="s">
        <v>31</v>
      </c>
      <c r="I792" t="s">
        <v>139</v>
      </c>
      <c r="J792" t="s">
        <v>62</v>
      </c>
      <c r="K792">
        <v>4</v>
      </c>
      <c r="L792">
        <v>28575</v>
      </c>
      <c r="M792">
        <v>15</v>
      </c>
      <c r="N792">
        <v>17145</v>
      </c>
      <c r="O792">
        <v>17487.900000000001</v>
      </c>
      <c r="P792">
        <v>226</v>
      </c>
      <c r="Q792">
        <v>114868.9</v>
      </c>
      <c r="R792" t="s">
        <v>45</v>
      </c>
      <c r="S792" t="s">
        <v>63</v>
      </c>
      <c r="T792" t="s">
        <v>76</v>
      </c>
      <c r="U792" t="s">
        <v>77</v>
      </c>
      <c r="V792" t="s">
        <v>57</v>
      </c>
      <c r="W792">
        <v>1</v>
      </c>
      <c r="X792" t="s">
        <v>38</v>
      </c>
      <c r="Y792">
        <v>5</v>
      </c>
      <c r="Z792" t="s">
        <v>39</v>
      </c>
    </row>
    <row r="793" spans="1:26" x14ac:dyDescent="0.3">
      <c r="A793" t="s">
        <v>1405</v>
      </c>
      <c r="B793" s="2">
        <v>46052</v>
      </c>
      <c r="C793" t="s">
        <v>1336</v>
      </c>
      <c r="D793" t="s">
        <v>66</v>
      </c>
      <c r="E793" t="s">
        <v>43</v>
      </c>
      <c r="F793">
        <v>55</v>
      </c>
      <c r="G793" t="s">
        <v>44</v>
      </c>
      <c r="H793" t="s">
        <v>31</v>
      </c>
      <c r="I793" t="s">
        <v>44</v>
      </c>
      <c r="J793" t="s">
        <v>75</v>
      </c>
      <c r="K793">
        <v>3</v>
      </c>
      <c r="L793">
        <v>13660</v>
      </c>
      <c r="M793">
        <v>20</v>
      </c>
      <c r="N793">
        <v>8196</v>
      </c>
      <c r="O793">
        <v>5901.12</v>
      </c>
      <c r="P793">
        <v>12</v>
      </c>
      <c r="Q793">
        <v>38697.120000000003</v>
      </c>
      <c r="R793" t="s">
        <v>54</v>
      </c>
      <c r="S793" t="s">
        <v>63</v>
      </c>
      <c r="T793" t="s">
        <v>84</v>
      </c>
      <c r="U793" t="s">
        <v>85</v>
      </c>
      <c r="V793" t="s">
        <v>86</v>
      </c>
      <c r="W793">
        <v>6</v>
      </c>
      <c r="X793" t="s">
        <v>47</v>
      </c>
      <c r="Y793">
        <v>1</v>
      </c>
      <c r="Z793" t="s">
        <v>47</v>
      </c>
    </row>
    <row r="794" spans="1:26" x14ac:dyDescent="0.3">
      <c r="A794" t="s">
        <v>1406</v>
      </c>
      <c r="B794" s="2">
        <v>45980</v>
      </c>
      <c r="C794" t="s">
        <v>1407</v>
      </c>
      <c r="D794" t="s">
        <v>50</v>
      </c>
      <c r="E794" t="s">
        <v>29</v>
      </c>
      <c r="F794">
        <v>23</v>
      </c>
      <c r="G794" t="s">
        <v>51</v>
      </c>
      <c r="H794" t="s">
        <v>52</v>
      </c>
      <c r="I794" t="s">
        <v>51</v>
      </c>
      <c r="J794" t="s">
        <v>112</v>
      </c>
      <c r="K794">
        <v>2</v>
      </c>
      <c r="L794">
        <v>24228</v>
      </c>
      <c r="M794">
        <v>10</v>
      </c>
      <c r="N794">
        <v>4845.6000000000004</v>
      </c>
      <c r="O794">
        <v>7849.87</v>
      </c>
      <c r="P794">
        <v>308</v>
      </c>
      <c r="Q794">
        <v>51768.27</v>
      </c>
      <c r="R794" t="s">
        <v>45</v>
      </c>
      <c r="S794" t="s">
        <v>34</v>
      </c>
      <c r="T794" t="s">
        <v>84</v>
      </c>
      <c r="U794" t="s">
        <v>85</v>
      </c>
      <c r="V794" t="s">
        <v>86</v>
      </c>
      <c r="W794">
        <v>10</v>
      </c>
      <c r="X794" t="s">
        <v>47</v>
      </c>
      <c r="Y794">
        <v>5</v>
      </c>
      <c r="Z794" t="s">
        <v>58</v>
      </c>
    </row>
    <row r="795" spans="1:26" x14ac:dyDescent="0.3">
      <c r="A795" t="s">
        <v>1408</v>
      </c>
      <c r="B795" s="2">
        <v>45772</v>
      </c>
      <c r="C795" t="s">
        <v>1155</v>
      </c>
      <c r="D795" t="s">
        <v>108</v>
      </c>
      <c r="E795" t="s">
        <v>29</v>
      </c>
      <c r="F795">
        <v>47</v>
      </c>
      <c r="G795" t="s">
        <v>44</v>
      </c>
      <c r="H795" t="s">
        <v>31</v>
      </c>
      <c r="I795" t="s">
        <v>44</v>
      </c>
      <c r="J795" t="s">
        <v>62</v>
      </c>
      <c r="K795">
        <v>3</v>
      </c>
      <c r="L795">
        <v>39349</v>
      </c>
      <c r="M795">
        <v>20</v>
      </c>
      <c r="N795">
        <v>23609.4</v>
      </c>
      <c r="O795">
        <v>16998.77</v>
      </c>
      <c r="P795">
        <v>228</v>
      </c>
      <c r="Q795">
        <v>111664.37</v>
      </c>
      <c r="R795" t="s">
        <v>33</v>
      </c>
      <c r="S795" t="s">
        <v>34</v>
      </c>
      <c r="T795" t="s">
        <v>46</v>
      </c>
      <c r="U795" t="s">
        <v>36</v>
      </c>
      <c r="V795" t="s">
        <v>37</v>
      </c>
      <c r="W795">
        <v>2</v>
      </c>
      <c r="X795" t="s">
        <v>47</v>
      </c>
      <c r="Y795">
        <v>2</v>
      </c>
      <c r="Z795" t="s">
        <v>91</v>
      </c>
    </row>
    <row r="796" spans="1:26" x14ac:dyDescent="0.3">
      <c r="A796" t="s">
        <v>1409</v>
      </c>
      <c r="B796" s="2">
        <v>45921</v>
      </c>
      <c r="C796" t="s">
        <v>249</v>
      </c>
      <c r="D796" t="s">
        <v>89</v>
      </c>
      <c r="E796" t="s">
        <v>29</v>
      </c>
      <c r="F796">
        <v>37</v>
      </c>
      <c r="G796" t="s">
        <v>139</v>
      </c>
      <c r="H796" t="s">
        <v>31</v>
      </c>
      <c r="I796" t="s">
        <v>139</v>
      </c>
      <c r="J796" t="s">
        <v>32</v>
      </c>
      <c r="K796">
        <v>5</v>
      </c>
      <c r="L796">
        <v>10892</v>
      </c>
      <c r="M796">
        <v>20</v>
      </c>
      <c r="N796">
        <v>10892</v>
      </c>
      <c r="O796">
        <v>7842.24</v>
      </c>
      <c r="P796">
        <v>420</v>
      </c>
      <c r="Q796">
        <v>51830.239999999998</v>
      </c>
      <c r="R796" t="s">
        <v>33</v>
      </c>
      <c r="S796" t="s">
        <v>63</v>
      </c>
      <c r="T796" t="s">
        <v>35</v>
      </c>
      <c r="U796" t="s">
        <v>36</v>
      </c>
      <c r="V796" t="s">
        <v>37</v>
      </c>
      <c r="W796">
        <v>7</v>
      </c>
      <c r="X796" t="s">
        <v>38</v>
      </c>
      <c r="Y796">
        <v>1</v>
      </c>
      <c r="Z796" t="s">
        <v>58</v>
      </c>
    </row>
    <row r="797" spans="1:26" x14ac:dyDescent="0.3">
      <c r="A797" t="s">
        <v>1410</v>
      </c>
      <c r="B797" s="2">
        <v>45885</v>
      </c>
      <c r="C797" t="s">
        <v>1411</v>
      </c>
      <c r="D797" t="s">
        <v>61</v>
      </c>
      <c r="E797" t="s">
        <v>43</v>
      </c>
      <c r="F797">
        <v>37</v>
      </c>
      <c r="G797" t="s">
        <v>90</v>
      </c>
      <c r="H797" t="s">
        <v>31</v>
      </c>
      <c r="I797" t="s">
        <v>90</v>
      </c>
      <c r="J797" t="s">
        <v>32</v>
      </c>
      <c r="K797">
        <v>1</v>
      </c>
      <c r="L797">
        <v>22810</v>
      </c>
      <c r="M797">
        <v>10</v>
      </c>
      <c r="N797">
        <v>2281</v>
      </c>
      <c r="O797">
        <v>3695.22</v>
      </c>
      <c r="P797">
        <v>477</v>
      </c>
      <c r="Q797">
        <v>24701.22</v>
      </c>
      <c r="R797" t="s">
        <v>54</v>
      </c>
      <c r="S797" t="s">
        <v>63</v>
      </c>
      <c r="T797" t="s">
        <v>95</v>
      </c>
      <c r="U797" t="s">
        <v>96</v>
      </c>
      <c r="V797" t="s">
        <v>57</v>
      </c>
      <c r="W797">
        <v>5</v>
      </c>
      <c r="X797" t="s">
        <v>47</v>
      </c>
      <c r="Y797">
        <v>4</v>
      </c>
      <c r="Z797" t="s">
        <v>91</v>
      </c>
    </row>
    <row r="798" spans="1:26" x14ac:dyDescent="0.3">
      <c r="A798" t="s">
        <v>1412</v>
      </c>
      <c r="B798" s="2">
        <v>45829</v>
      </c>
      <c r="C798" t="s">
        <v>1413</v>
      </c>
      <c r="D798" t="s">
        <v>50</v>
      </c>
      <c r="E798" t="s">
        <v>29</v>
      </c>
      <c r="F798">
        <v>57</v>
      </c>
      <c r="G798" t="s">
        <v>74</v>
      </c>
      <c r="H798" t="s">
        <v>31</v>
      </c>
      <c r="I798" t="s">
        <v>74</v>
      </c>
      <c r="J798" t="s">
        <v>53</v>
      </c>
      <c r="K798">
        <v>2</v>
      </c>
      <c r="L798">
        <v>14573</v>
      </c>
      <c r="M798">
        <v>20</v>
      </c>
      <c r="N798">
        <v>5829.2</v>
      </c>
      <c r="O798">
        <v>4197.0200000000004</v>
      </c>
      <c r="P798">
        <v>237</v>
      </c>
      <c r="Q798">
        <v>27750.82</v>
      </c>
      <c r="R798" t="s">
        <v>33</v>
      </c>
      <c r="S798" t="s">
        <v>63</v>
      </c>
      <c r="T798" t="s">
        <v>84</v>
      </c>
      <c r="U798" t="s">
        <v>85</v>
      </c>
      <c r="V798" t="s">
        <v>86</v>
      </c>
      <c r="W798">
        <v>4</v>
      </c>
      <c r="X798" t="s">
        <v>47</v>
      </c>
      <c r="Y798">
        <v>2</v>
      </c>
      <c r="Z798" t="s">
        <v>58</v>
      </c>
    </row>
    <row r="799" spans="1:26" x14ac:dyDescent="0.3">
      <c r="A799" t="s">
        <v>1414</v>
      </c>
      <c r="B799" s="2">
        <v>46088</v>
      </c>
      <c r="C799" t="s">
        <v>901</v>
      </c>
      <c r="D799" t="s">
        <v>61</v>
      </c>
      <c r="E799" t="s">
        <v>43</v>
      </c>
      <c r="F799">
        <v>31</v>
      </c>
      <c r="G799" t="s">
        <v>67</v>
      </c>
      <c r="H799" t="s">
        <v>68</v>
      </c>
      <c r="I799" t="s">
        <v>67</v>
      </c>
      <c r="J799" t="s">
        <v>75</v>
      </c>
      <c r="K799">
        <v>5</v>
      </c>
      <c r="L799">
        <v>24050</v>
      </c>
      <c r="M799">
        <v>15</v>
      </c>
      <c r="N799">
        <v>18037.5</v>
      </c>
      <c r="O799">
        <v>18398.25</v>
      </c>
      <c r="P799">
        <v>437</v>
      </c>
      <c r="Q799">
        <v>121047.75</v>
      </c>
      <c r="R799" t="s">
        <v>33</v>
      </c>
      <c r="S799" t="s">
        <v>63</v>
      </c>
      <c r="T799" t="s">
        <v>55</v>
      </c>
      <c r="U799" t="s">
        <v>56</v>
      </c>
      <c r="V799" t="s">
        <v>57</v>
      </c>
      <c r="W799">
        <v>4</v>
      </c>
      <c r="X799" t="s">
        <v>38</v>
      </c>
      <c r="Y799">
        <v>4</v>
      </c>
      <c r="Z799" t="s">
        <v>47</v>
      </c>
    </row>
    <row r="800" spans="1:26" x14ac:dyDescent="0.3">
      <c r="A800" t="s">
        <v>1415</v>
      </c>
      <c r="B800" s="2">
        <v>46099</v>
      </c>
      <c r="C800" t="s">
        <v>1416</v>
      </c>
      <c r="D800" t="s">
        <v>89</v>
      </c>
      <c r="E800" t="s">
        <v>29</v>
      </c>
      <c r="F800">
        <v>47</v>
      </c>
      <c r="G800" t="s">
        <v>44</v>
      </c>
      <c r="H800" t="s">
        <v>31</v>
      </c>
      <c r="I800" t="s">
        <v>44</v>
      </c>
      <c r="J800" t="s">
        <v>112</v>
      </c>
      <c r="K800">
        <v>5</v>
      </c>
      <c r="L800">
        <v>48099</v>
      </c>
      <c r="M800">
        <v>5</v>
      </c>
      <c r="N800">
        <v>12024.75</v>
      </c>
      <c r="O800">
        <v>41124.639999999999</v>
      </c>
      <c r="P800">
        <v>491</v>
      </c>
      <c r="Q800">
        <v>270085.90000000002</v>
      </c>
      <c r="R800" t="s">
        <v>45</v>
      </c>
      <c r="S800" t="s">
        <v>63</v>
      </c>
      <c r="T800" t="s">
        <v>95</v>
      </c>
      <c r="U800" t="s">
        <v>96</v>
      </c>
      <c r="V800" t="s">
        <v>57</v>
      </c>
      <c r="W800">
        <v>2</v>
      </c>
      <c r="X800" t="s">
        <v>47</v>
      </c>
      <c r="Y800">
        <v>5</v>
      </c>
      <c r="Z800" t="s">
        <v>58</v>
      </c>
    </row>
    <row r="801" spans="1:26" x14ac:dyDescent="0.3">
      <c r="A801" t="s">
        <v>1417</v>
      </c>
      <c r="B801" s="2">
        <v>45875</v>
      </c>
      <c r="C801" t="s">
        <v>1343</v>
      </c>
      <c r="D801" t="s">
        <v>80</v>
      </c>
      <c r="E801" t="s">
        <v>43</v>
      </c>
      <c r="F801">
        <v>18</v>
      </c>
      <c r="G801" t="s">
        <v>30</v>
      </c>
      <c r="H801" t="s">
        <v>31</v>
      </c>
      <c r="I801" t="s">
        <v>30</v>
      </c>
      <c r="J801" t="s">
        <v>112</v>
      </c>
      <c r="K801">
        <v>5</v>
      </c>
      <c r="L801">
        <v>37475</v>
      </c>
      <c r="M801">
        <v>10</v>
      </c>
      <c r="N801">
        <v>18737.5</v>
      </c>
      <c r="O801">
        <v>30354.75</v>
      </c>
      <c r="P801">
        <v>279</v>
      </c>
      <c r="Q801">
        <v>199271.25</v>
      </c>
      <c r="R801" t="s">
        <v>83</v>
      </c>
      <c r="S801" t="s">
        <v>63</v>
      </c>
      <c r="T801" t="s">
        <v>70</v>
      </c>
      <c r="U801" t="s">
        <v>56</v>
      </c>
      <c r="V801" t="s">
        <v>57</v>
      </c>
      <c r="W801">
        <v>6</v>
      </c>
      <c r="X801" t="s">
        <v>47</v>
      </c>
      <c r="Y801">
        <v>4</v>
      </c>
      <c r="Z801" t="s">
        <v>91</v>
      </c>
    </row>
    <row r="802" spans="1:26" x14ac:dyDescent="0.3">
      <c r="A802" t="s">
        <v>1418</v>
      </c>
      <c r="B802" s="2">
        <v>45840</v>
      </c>
      <c r="C802" t="s">
        <v>1087</v>
      </c>
      <c r="D802" t="s">
        <v>66</v>
      </c>
      <c r="E802" t="s">
        <v>29</v>
      </c>
      <c r="F802">
        <v>58</v>
      </c>
      <c r="G802" t="s">
        <v>90</v>
      </c>
      <c r="H802" t="s">
        <v>31</v>
      </c>
      <c r="I802" t="s">
        <v>90</v>
      </c>
      <c r="J802" t="s">
        <v>69</v>
      </c>
      <c r="K802">
        <v>2</v>
      </c>
      <c r="L802">
        <v>36204</v>
      </c>
      <c r="M802">
        <v>0</v>
      </c>
      <c r="N802">
        <v>0</v>
      </c>
      <c r="O802">
        <v>13033.44</v>
      </c>
      <c r="P802">
        <v>133</v>
      </c>
      <c r="Q802">
        <v>85574.44</v>
      </c>
      <c r="R802" t="s">
        <v>45</v>
      </c>
      <c r="S802" t="s">
        <v>63</v>
      </c>
      <c r="T802" t="s">
        <v>46</v>
      </c>
      <c r="U802" t="s">
        <v>36</v>
      </c>
      <c r="V802" t="s">
        <v>37</v>
      </c>
      <c r="W802">
        <v>6</v>
      </c>
      <c r="X802" t="s">
        <v>38</v>
      </c>
      <c r="Y802">
        <v>3</v>
      </c>
      <c r="Z802" t="s">
        <v>58</v>
      </c>
    </row>
    <row r="803" spans="1:26" x14ac:dyDescent="0.3">
      <c r="A803" t="s">
        <v>1419</v>
      </c>
      <c r="B803" s="2">
        <v>46008</v>
      </c>
      <c r="C803" t="s">
        <v>709</v>
      </c>
      <c r="D803" t="s">
        <v>73</v>
      </c>
      <c r="E803" t="s">
        <v>29</v>
      </c>
      <c r="F803">
        <v>26</v>
      </c>
      <c r="G803" t="s">
        <v>134</v>
      </c>
      <c r="H803" t="s">
        <v>31</v>
      </c>
      <c r="I803" t="s">
        <v>134</v>
      </c>
      <c r="J803" t="s">
        <v>53</v>
      </c>
      <c r="K803">
        <v>4</v>
      </c>
      <c r="L803">
        <v>38685</v>
      </c>
      <c r="M803">
        <v>0</v>
      </c>
      <c r="N803">
        <v>0</v>
      </c>
      <c r="O803">
        <v>27853.200000000001</v>
      </c>
      <c r="P803">
        <v>454</v>
      </c>
      <c r="Q803">
        <v>183047.2</v>
      </c>
      <c r="R803" t="s">
        <v>33</v>
      </c>
      <c r="S803" t="s">
        <v>34</v>
      </c>
      <c r="T803" t="s">
        <v>55</v>
      </c>
      <c r="U803" t="s">
        <v>56</v>
      </c>
      <c r="V803" t="s">
        <v>57</v>
      </c>
      <c r="W803">
        <v>7</v>
      </c>
      <c r="X803" t="s">
        <v>38</v>
      </c>
      <c r="Y803">
        <v>3</v>
      </c>
      <c r="Z803" t="s">
        <v>47</v>
      </c>
    </row>
    <row r="804" spans="1:26" x14ac:dyDescent="0.3">
      <c r="A804" t="s">
        <v>1420</v>
      </c>
      <c r="B804" s="2">
        <v>45888</v>
      </c>
      <c r="C804" t="s">
        <v>1421</v>
      </c>
      <c r="D804" t="s">
        <v>80</v>
      </c>
      <c r="E804" t="s">
        <v>29</v>
      </c>
      <c r="F804">
        <v>52</v>
      </c>
      <c r="G804" t="s">
        <v>74</v>
      </c>
      <c r="H804" t="s">
        <v>31</v>
      </c>
      <c r="I804" t="s">
        <v>74</v>
      </c>
      <c r="J804" t="s">
        <v>125</v>
      </c>
      <c r="K804">
        <v>3</v>
      </c>
      <c r="L804">
        <v>14708</v>
      </c>
      <c r="M804">
        <v>10</v>
      </c>
      <c r="N804">
        <v>4412.3999999999996</v>
      </c>
      <c r="O804">
        <v>7148.09</v>
      </c>
      <c r="P804">
        <v>196</v>
      </c>
      <c r="Q804">
        <v>47055.69</v>
      </c>
      <c r="R804" t="s">
        <v>54</v>
      </c>
      <c r="S804" t="s">
        <v>34</v>
      </c>
      <c r="T804" t="s">
        <v>35</v>
      </c>
      <c r="U804" t="s">
        <v>36</v>
      </c>
      <c r="V804" t="s">
        <v>37</v>
      </c>
      <c r="W804">
        <v>8</v>
      </c>
      <c r="X804" t="s">
        <v>47</v>
      </c>
      <c r="Y804">
        <v>3</v>
      </c>
      <c r="Z804" t="s">
        <v>47</v>
      </c>
    </row>
    <row r="805" spans="1:26" x14ac:dyDescent="0.3">
      <c r="A805" t="s">
        <v>1422</v>
      </c>
      <c r="B805" s="2">
        <v>45990</v>
      </c>
      <c r="C805" t="s">
        <v>182</v>
      </c>
      <c r="D805" t="s">
        <v>28</v>
      </c>
      <c r="E805" t="s">
        <v>43</v>
      </c>
      <c r="F805">
        <v>24</v>
      </c>
      <c r="G805" t="s">
        <v>99</v>
      </c>
      <c r="H805" t="s">
        <v>52</v>
      </c>
      <c r="I805" t="s">
        <v>99</v>
      </c>
      <c r="J805" t="s">
        <v>32</v>
      </c>
      <c r="K805">
        <v>3</v>
      </c>
      <c r="L805">
        <v>14838</v>
      </c>
      <c r="M805">
        <v>10</v>
      </c>
      <c r="N805">
        <v>4451.3999999999996</v>
      </c>
      <c r="O805">
        <v>7211.27</v>
      </c>
      <c r="P805">
        <v>147</v>
      </c>
      <c r="Q805">
        <v>47420.87</v>
      </c>
      <c r="R805" t="s">
        <v>54</v>
      </c>
      <c r="S805" t="s">
        <v>34</v>
      </c>
      <c r="T805" t="s">
        <v>35</v>
      </c>
      <c r="U805" t="s">
        <v>36</v>
      </c>
      <c r="V805" t="s">
        <v>37</v>
      </c>
      <c r="W805">
        <v>10</v>
      </c>
      <c r="X805" t="s">
        <v>47</v>
      </c>
      <c r="Y805">
        <v>2</v>
      </c>
      <c r="Z805" t="s">
        <v>47</v>
      </c>
    </row>
    <row r="806" spans="1:26" x14ac:dyDescent="0.3">
      <c r="A806" t="s">
        <v>1423</v>
      </c>
      <c r="B806" s="2">
        <v>45771</v>
      </c>
      <c r="C806" t="s">
        <v>816</v>
      </c>
      <c r="D806" t="s">
        <v>66</v>
      </c>
      <c r="E806" t="s">
        <v>29</v>
      </c>
      <c r="F806">
        <v>26</v>
      </c>
      <c r="G806" t="s">
        <v>30</v>
      </c>
      <c r="H806" t="s">
        <v>31</v>
      </c>
      <c r="I806" t="s">
        <v>30</v>
      </c>
      <c r="J806" t="s">
        <v>102</v>
      </c>
      <c r="K806">
        <v>4</v>
      </c>
      <c r="L806">
        <v>34698</v>
      </c>
      <c r="M806">
        <v>10</v>
      </c>
      <c r="N806">
        <v>13879.2</v>
      </c>
      <c r="O806">
        <v>22484.3</v>
      </c>
      <c r="P806">
        <v>304</v>
      </c>
      <c r="Q806">
        <v>147701.1</v>
      </c>
      <c r="R806" t="s">
        <v>54</v>
      </c>
      <c r="S806" t="s">
        <v>34</v>
      </c>
      <c r="T806" t="s">
        <v>84</v>
      </c>
      <c r="U806" t="s">
        <v>85</v>
      </c>
      <c r="V806" t="s">
        <v>86</v>
      </c>
      <c r="W806">
        <v>1</v>
      </c>
      <c r="X806" t="s">
        <v>47</v>
      </c>
      <c r="Y806">
        <v>2</v>
      </c>
      <c r="Z806" t="s">
        <v>58</v>
      </c>
    </row>
    <row r="807" spans="1:26" x14ac:dyDescent="0.3">
      <c r="A807" t="s">
        <v>1424</v>
      </c>
      <c r="B807" s="2">
        <v>45963</v>
      </c>
      <c r="C807" t="s">
        <v>719</v>
      </c>
      <c r="D807" t="s">
        <v>66</v>
      </c>
      <c r="E807" t="s">
        <v>29</v>
      </c>
      <c r="F807">
        <v>47</v>
      </c>
      <c r="G807" t="s">
        <v>74</v>
      </c>
      <c r="H807" t="s">
        <v>31</v>
      </c>
      <c r="I807" t="s">
        <v>74</v>
      </c>
      <c r="J807" t="s">
        <v>53</v>
      </c>
      <c r="K807">
        <v>5</v>
      </c>
      <c r="L807">
        <v>46766</v>
      </c>
      <c r="M807">
        <v>10</v>
      </c>
      <c r="N807">
        <v>23383</v>
      </c>
      <c r="O807">
        <v>37880.46</v>
      </c>
      <c r="P807">
        <v>163</v>
      </c>
      <c r="Q807">
        <v>248490.46</v>
      </c>
      <c r="R807" t="s">
        <v>83</v>
      </c>
      <c r="S807" t="s">
        <v>34</v>
      </c>
      <c r="T807" t="s">
        <v>46</v>
      </c>
      <c r="U807" t="s">
        <v>36</v>
      </c>
      <c r="V807" t="s">
        <v>37</v>
      </c>
      <c r="W807">
        <v>4</v>
      </c>
      <c r="X807" t="s">
        <v>38</v>
      </c>
      <c r="Y807">
        <v>3</v>
      </c>
      <c r="Z807" t="s">
        <v>47</v>
      </c>
    </row>
    <row r="808" spans="1:26" x14ac:dyDescent="0.3">
      <c r="A808" t="s">
        <v>1425</v>
      </c>
      <c r="B808" s="2">
        <v>45786</v>
      </c>
      <c r="C808" t="s">
        <v>1426</v>
      </c>
      <c r="D808" t="s">
        <v>42</v>
      </c>
      <c r="E808" t="s">
        <v>29</v>
      </c>
      <c r="F808">
        <v>30</v>
      </c>
      <c r="G808" t="s">
        <v>74</v>
      </c>
      <c r="H808" t="s">
        <v>31</v>
      </c>
      <c r="I808" t="s">
        <v>74</v>
      </c>
      <c r="J808" t="s">
        <v>102</v>
      </c>
      <c r="K808">
        <v>3</v>
      </c>
      <c r="L808">
        <v>644</v>
      </c>
      <c r="M808">
        <v>5</v>
      </c>
      <c r="N808">
        <v>96.6</v>
      </c>
      <c r="O808">
        <v>330.37</v>
      </c>
      <c r="P808">
        <v>253</v>
      </c>
      <c r="Q808">
        <v>2418.77</v>
      </c>
      <c r="R808" t="s">
        <v>33</v>
      </c>
      <c r="S808" t="s">
        <v>63</v>
      </c>
      <c r="T808" t="s">
        <v>76</v>
      </c>
      <c r="U808" t="s">
        <v>77</v>
      </c>
      <c r="V808" t="s">
        <v>57</v>
      </c>
      <c r="W808">
        <v>10</v>
      </c>
      <c r="X808" t="s">
        <v>38</v>
      </c>
      <c r="Y808">
        <v>1</v>
      </c>
      <c r="Z808" t="s">
        <v>58</v>
      </c>
    </row>
    <row r="809" spans="1:26" x14ac:dyDescent="0.3">
      <c r="A809" t="s">
        <v>1427</v>
      </c>
      <c r="B809" s="2">
        <v>45966</v>
      </c>
      <c r="C809" t="s">
        <v>1428</v>
      </c>
      <c r="D809" t="s">
        <v>42</v>
      </c>
      <c r="E809" t="s">
        <v>29</v>
      </c>
      <c r="F809">
        <v>49</v>
      </c>
      <c r="G809" t="s">
        <v>134</v>
      </c>
      <c r="H809" t="s">
        <v>31</v>
      </c>
      <c r="I809" t="s">
        <v>134</v>
      </c>
      <c r="J809" t="s">
        <v>102</v>
      </c>
      <c r="K809">
        <v>1</v>
      </c>
      <c r="L809">
        <v>7604</v>
      </c>
      <c r="M809">
        <v>10</v>
      </c>
      <c r="N809">
        <v>760.4</v>
      </c>
      <c r="O809">
        <v>1231.8499999999999</v>
      </c>
      <c r="P809">
        <v>405</v>
      </c>
      <c r="Q809">
        <v>8480.4500000000007</v>
      </c>
      <c r="R809" t="s">
        <v>54</v>
      </c>
      <c r="S809" t="s">
        <v>63</v>
      </c>
      <c r="T809" t="s">
        <v>95</v>
      </c>
      <c r="U809" t="s">
        <v>96</v>
      </c>
      <c r="V809" t="s">
        <v>57</v>
      </c>
      <c r="W809">
        <v>8</v>
      </c>
      <c r="X809" t="s">
        <v>38</v>
      </c>
      <c r="Y809">
        <v>2</v>
      </c>
      <c r="Z809" t="s">
        <v>58</v>
      </c>
    </row>
    <row r="810" spans="1:26" x14ac:dyDescent="0.3">
      <c r="A810" t="s">
        <v>1429</v>
      </c>
      <c r="B810" s="2">
        <v>45993</v>
      </c>
      <c r="C810" t="s">
        <v>275</v>
      </c>
      <c r="D810" t="s">
        <v>80</v>
      </c>
      <c r="E810" t="s">
        <v>29</v>
      </c>
      <c r="F810">
        <v>25</v>
      </c>
      <c r="G810" t="s">
        <v>99</v>
      </c>
      <c r="H810" t="s">
        <v>52</v>
      </c>
      <c r="I810" t="s">
        <v>99</v>
      </c>
      <c r="J810" t="s">
        <v>112</v>
      </c>
      <c r="K810">
        <v>5</v>
      </c>
      <c r="L810">
        <v>19653</v>
      </c>
      <c r="M810">
        <v>0</v>
      </c>
      <c r="N810">
        <v>0</v>
      </c>
      <c r="O810">
        <v>17687.7</v>
      </c>
      <c r="P810">
        <v>309</v>
      </c>
      <c r="Q810">
        <v>116261.7</v>
      </c>
      <c r="R810" t="s">
        <v>45</v>
      </c>
      <c r="S810" t="s">
        <v>34</v>
      </c>
      <c r="T810" t="s">
        <v>46</v>
      </c>
      <c r="U810" t="s">
        <v>36</v>
      </c>
      <c r="V810" t="s">
        <v>37</v>
      </c>
      <c r="W810">
        <v>4</v>
      </c>
      <c r="X810" t="s">
        <v>47</v>
      </c>
      <c r="Y810">
        <v>3</v>
      </c>
      <c r="Z810" t="s">
        <v>47</v>
      </c>
    </row>
    <row r="811" spans="1:26" x14ac:dyDescent="0.3">
      <c r="A811" t="s">
        <v>1430</v>
      </c>
      <c r="B811" s="2">
        <v>46035</v>
      </c>
      <c r="C811" t="s">
        <v>1431</v>
      </c>
      <c r="D811" t="s">
        <v>66</v>
      </c>
      <c r="E811" t="s">
        <v>29</v>
      </c>
      <c r="F811">
        <v>37</v>
      </c>
      <c r="G811" t="s">
        <v>74</v>
      </c>
      <c r="H811" t="s">
        <v>31</v>
      </c>
      <c r="I811" t="s">
        <v>74</v>
      </c>
      <c r="J811" t="s">
        <v>125</v>
      </c>
      <c r="K811">
        <v>2</v>
      </c>
      <c r="L811">
        <v>42230</v>
      </c>
      <c r="M811">
        <v>10</v>
      </c>
      <c r="N811">
        <v>8446</v>
      </c>
      <c r="O811">
        <v>13682.52</v>
      </c>
      <c r="P811">
        <v>156</v>
      </c>
      <c r="Q811">
        <v>89852.52</v>
      </c>
      <c r="R811" t="s">
        <v>83</v>
      </c>
      <c r="S811" t="s">
        <v>63</v>
      </c>
      <c r="T811" t="s">
        <v>76</v>
      </c>
      <c r="U811" t="s">
        <v>77</v>
      </c>
      <c r="V811" t="s">
        <v>57</v>
      </c>
      <c r="W811">
        <v>1</v>
      </c>
      <c r="X811" t="s">
        <v>47</v>
      </c>
      <c r="Y811">
        <v>2</v>
      </c>
      <c r="Z811" t="s">
        <v>39</v>
      </c>
    </row>
    <row r="812" spans="1:26" x14ac:dyDescent="0.3">
      <c r="A812" t="s">
        <v>1432</v>
      </c>
      <c r="B812" s="2">
        <v>45847</v>
      </c>
      <c r="C812" t="s">
        <v>1433</v>
      </c>
      <c r="D812" t="s">
        <v>50</v>
      </c>
      <c r="E812" t="s">
        <v>29</v>
      </c>
      <c r="F812">
        <v>23</v>
      </c>
      <c r="G812" t="s">
        <v>99</v>
      </c>
      <c r="H812" t="s">
        <v>52</v>
      </c>
      <c r="I812" t="s">
        <v>99</v>
      </c>
      <c r="J812" t="s">
        <v>53</v>
      </c>
      <c r="K812">
        <v>2</v>
      </c>
      <c r="L812">
        <v>29934</v>
      </c>
      <c r="M812">
        <v>20</v>
      </c>
      <c r="N812">
        <v>11973.6</v>
      </c>
      <c r="O812">
        <v>8620.99</v>
      </c>
      <c r="P812">
        <v>362</v>
      </c>
      <c r="Q812">
        <v>56877.39</v>
      </c>
      <c r="R812" t="s">
        <v>33</v>
      </c>
      <c r="S812" t="s">
        <v>63</v>
      </c>
      <c r="T812" t="s">
        <v>35</v>
      </c>
      <c r="U812" t="s">
        <v>36</v>
      </c>
      <c r="V812" t="s">
        <v>37</v>
      </c>
      <c r="W812">
        <v>6</v>
      </c>
      <c r="X812" t="s">
        <v>38</v>
      </c>
      <c r="Y812">
        <v>5</v>
      </c>
      <c r="Z812" t="s">
        <v>58</v>
      </c>
    </row>
    <row r="813" spans="1:26" x14ac:dyDescent="0.3">
      <c r="A813" t="s">
        <v>1434</v>
      </c>
      <c r="B813" s="2">
        <v>45817</v>
      </c>
      <c r="C813" t="s">
        <v>259</v>
      </c>
      <c r="D813" t="s">
        <v>111</v>
      </c>
      <c r="E813" t="s">
        <v>29</v>
      </c>
      <c r="F813">
        <v>27</v>
      </c>
      <c r="G813" t="s">
        <v>67</v>
      </c>
      <c r="H813" t="s">
        <v>68</v>
      </c>
      <c r="I813" t="s">
        <v>67</v>
      </c>
      <c r="J813" t="s">
        <v>62</v>
      </c>
      <c r="K813">
        <v>1</v>
      </c>
      <c r="L813">
        <v>28168</v>
      </c>
      <c r="M813">
        <v>10</v>
      </c>
      <c r="N813">
        <v>2816.8</v>
      </c>
      <c r="O813">
        <v>4563.22</v>
      </c>
      <c r="P813">
        <v>158</v>
      </c>
      <c r="Q813">
        <v>30072.42</v>
      </c>
      <c r="R813" t="s">
        <v>33</v>
      </c>
      <c r="S813" t="s">
        <v>63</v>
      </c>
      <c r="T813" t="s">
        <v>95</v>
      </c>
      <c r="U813" t="s">
        <v>96</v>
      </c>
      <c r="V813" t="s">
        <v>57</v>
      </c>
      <c r="W813">
        <v>5</v>
      </c>
      <c r="X813" t="s">
        <v>47</v>
      </c>
      <c r="Y813">
        <v>2</v>
      </c>
      <c r="Z813" t="s">
        <v>47</v>
      </c>
    </row>
    <row r="814" spans="1:26" x14ac:dyDescent="0.3">
      <c r="A814" t="s">
        <v>1435</v>
      </c>
      <c r="B814" s="2">
        <v>45977</v>
      </c>
      <c r="C814" t="s">
        <v>1436</v>
      </c>
      <c r="D814" t="s">
        <v>50</v>
      </c>
      <c r="E814" t="s">
        <v>43</v>
      </c>
      <c r="F814">
        <v>36</v>
      </c>
      <c r="G814" t="s">
        <v>30</v>
      </c>
      <c r="H814" t="s">
        <v>31</v>
      </c>
      <c r="I814" t="s">
        <v>30</v>
      </c>
      <c r="J814" t="s">
        <v>150</v>
      </c>
      <c r="K814">
        <v>4</v>
      </c>
      <c r="L814">
        <v>35314</v>
      </c>
      <c r="M814">
        <v>5</v>
      </c>
      <c r="N814">
        <v>7062.8</v>
      </c>
      <c r="O814">
        <v>24154.78</v>
      </c>
      <c r="P814">
        <v>456</v>
      </c>
      <c r="Q814">
        <v>158803.98000000001</v>
      </c>
      <c r="R814" t="s">
        <v>54</v>
      </c>
      <c r="S814" t="s">
        <v>34</v>
      </c>
      <c r="T814" t="s">
        <v>70</v>
      </c>
      <c r="U814" t="s">
        <v>56</v>
      </c>
      <c r="V814" t="s">
        <v>57</v>
      </c>
      <c r="W814">
        <v>2</v>
      </c>
      <c r="X814" t="s">
        <v>38</v>
      </c>
      <c r="Y814">
        <v>5</v>
      </c>
      <c r="Z814" t="s">
        <v>91</v>
      </c>
    </row>
    <row r="815" spans="1:26" x14ac:dyDescent="0.3">
      <c r="A815" t="s">
        <v>1437</v>
      </c>
      <c r="B815" s="2">
        <v>45949</v>
      </c>
      <c r="C815" t="s">
        <v>160</v>
      </c>
      <c r="D815" t="s">
        <v>50</v>
      </c>
      <c r="E815" t="s">
        <v>43</v>
      </c>
      <c r="F815">
        <v>55</v>
      </c>
      <c r="G815" t="s">
        <v>94</v>
      </c>
      <c r="H815" t="s">
        <v>31</v>
      </c>
      <c r="I815" t="s">
        <v>94</v>
      </c>
      <c r="J815" t="s">
        <v>75</v>
      </c>
      <c r="K815">
        <v>1</v>
      </c>
      <c r="L815">
        <v>27249</v>
      </c>
      <c r="M815">
        <v>20</v>
      </c>
      <c r="N815">
        <v>5449.8</v>
      </c>
      <c r="O815">
        <v>3923.86</v>
      </c>
      <c r="P815">
        <v>475</v>
      </c>
      <c r="Q815">
        <v>26198.06</v>
      </c>
      <c r="R815" t="s">
        <v>33</v>
      </c>
      <c r="S815" t="s">
        <v>63</v>
      </c>
      <c r="T815" t="s">
        <v>103</v>
      </c>
      <c r="U815" t="s">
        <v>103</v>
      </c>
      <c r="V815" t="s">
        <v>57</v>
      </c>
      <c r="W815">
        <v>5</v>
      </c>
      <c r="X815" t="s">
        <v>38</v>
      </c>
      <c r="Y815">
        <v>1</v>
      </c>
      <c r="Z815" t="s">
        <v>39</v>
      </c>
    </row>
    <row r="816" spans="1:26" x14ac:dyDescent="0.3">
      <c r="A816" t="s">
        <v>1438</v>
      </c>
      <c r="B816" s="2">
        <v>45761</v>
      </c>
      <c r="C816" t="s">
        <v>330</v>
      </c>
      <c r="D816" t="s">
        <v>61</v>
      </c>
      <c r="E816" t="s">
        <v>43</v>
      </c>
      <c r="F816">
        <v>29</v>
      </c>
      <c r="G816" t="s">
        <v>51</v>
      </c>
      <c r="H816" t="s">
        <v>52</v>
      </c>
      <c r="I816" t="s">
        <v>51</v>
      </c>
      <c r="J816" t="s">
        <v>150</v>
      </c>
      <c r="K816">
        <v>3</v>
      </c>
      <c r="L816">
        <v>49236</v>
      </c>
      <c r="M816">
        <v>10</v>
      </c>
      <c r="N816">
        <v>14770.8</v>
      </c>
      <c r="O816">
        <v>23928.7</v>
      </c>
      <c r="P816">
        <v>256</v>
      </c>
      <c r="Q816">
        <v>157121.9</v>
      </c>
      <c r="R816" t="s">
        <v>54</v>
      </c>
      <c r="S816" t="s">
        <v>34</v>
      </c>
      <c r="T816" t="s">
        <v>55</v>
      </c>
      <c r="U816" t="s">
        <v>56</v>
      </c>
      <c r="V816" t="s">
        <v>57</v>
      </c>
      <c r="W816">
        <v>3</v>
      </c>
      <c r="X816" t="s">
        <v>38</v>
      </c>
      <c r="Y816">
        <v>3</v>
      </c>
      <c r="Z816" t="s">
        <v>91</v>
      </c>
    </row>
    <row r="817" spans="1:26" x14ac:dyDescent="0.3">
      <c r="A817" t="s">
        <v>1439</v>
      </c>
      <c r="B817" s="2">
        <v>46003</v>
      </c>
      <c r="C817" t="s">
        <v>786</v>
      </c>
      <c r="D817" t="s">
        <v>61</v>
      </c>
      <c r="E817" t="s">
        <v>43</v>
      </c>
      <c r="F817">
        <v>26</v>
      </c>
      <c r="G817" t="s">
        <v>67</v>
      </c>
      <c r="H817" t="s">
        <v>68</v>
      </c>
      <c r="I817" t="s">
        <v>67</v>
      </c>
      <c r="J817" t="s">
        <v>125</v>
      </c>
      <c r="K817">
        <v>1</v>
      </c>
      <c r="L817">
        <v>30859</v>
      </c>
      <c r="M817">
        <v>5</v>
      </c>
      <c r="N817">
        <v>1542.95</v>
      </c>
      <c r="O817">
        <v>5276.89</v>
      </c>
      <c r="P817">
        <v>480</v>
      </c>
      <c r="Q817">
        <v>35072.94</v>
      </c>
      <c r="R817" t="s">
        <v>54</v>
      </c>
      <c r="S817" t="s">
        <v>63</v>
      </c>
      <c r="T817" t="s">
        <v>35</v>
      </c>
      <c r="U817" t="s">
        <v>36</v>
      </c>
      <c r="V817" t="s">
        <v>37</v>
      </c>
      <c r="W817">
        <v>4</v>
      </c>
      <c r="X817" t="s">
        <v>38</v>
      </c>
      <c r="Y817">
        <v>4</v>
      </c>
      <c r="Z817" t="s">
        <v>58</v>
      </c>
    </row>
    <row r="818" spans="1:26" x14ac:dyDescent="0.3">
      <c r="A818" t="s">
        <v>1440</v>
      </c>
      <c r="B818" s="2">
        <v>45825</v>
      </c>
      <c r="C818" t="s">
        <v>921</v>
      </c>
      <c r="D818" t="s">
        <v>89</v>
      </c>
      <c r="E818" t="s">
        <v>43</v>
      </c>
      <c r="F818">
        <v>44</v>
      </c>
      <c r="G818" t="s">
        <v>99</v>
      </c>
      <c r="H818" t="s">
        <v>52</v>
      </c>
      <c r="I818" t="s">
        <v>99</v>
      </c>
      <c r="J818" t="s">
        <v>75</v>
      </c>
      <c r="K818">
        <v>4</v>
      </c>
      <c r="L818">
        <v>37642</v>
      </c>
      <c r="M818">
        <v>15</v>
      </c>
      <c r="N818">
        <v>22585.200000000001</v>
      </c>
      <c r="O818">
        <v>23036.9</v>
      </c>
      <c r="P818">
        <v>32</v>
      </c>
      <c r="Q818">
        <v>151051.70000000001</v>
      </c>
      <c r="R818" t="s">
        <v>45</v>
      </c>
      <c r="S818" t="s">
        <v>34</v>
      </c>
      <c r="T818" t="s">
        <v>70</v>
      </c>
      <c r="U818" t="s">
        <v>56</v>
      </c>
      <c r="V818" t="s">
        <v>57</v>
      </c>
      <c r="W818">
        <v>1</v>
      </c>
      <c r="X818" t="s">
        <v>38</v>
      </c>
      <c r="Y818">
        <v>5</v>
      </c>
      <c r="Z818" t="s">
        <v>39</v>
      </c>
    </row>
    <row r="819" spans="1:26" x14ac:dyDescent="0.3">
      <c r="A819" t="s">
        <v>1441</v>
      </c>
      <c r="B819" s="2">
        <v>45857</v>
      </c>
      <c r="C819" t="s">
        <v>1442</v>
      </c>
      <c r="D819" t="s">
        <v>108</v>
      </c>
      <c r="E819" t="s">
        <v>29</v>
      </c>
      <c r="F819">
        <v>23</v>
      </c>
      <c r="G819" t="s">
        <v>94</v>
      </c>
      <c r="H819" t="s">
        <v>31</v>
      </c>
      <c r="I819" t="s">
        <v>94</v>
      </c>
      <c r="J819" t="s">
        <v>102</v>
      </c>
      <c r="K819">
        <v>5</v>
      </c>
      <c r="L819">
        <v>48628</v>
      </c>
      <c r="M819">
        <v>15</v>
      </c>
      <c r="N819">
        <v>36471</v>
      </c>
      <c r="O819">
        <v>37200.42</v>
      </c>
      <c r="P819">
        <v>224</v>
      </c>
      <c r="Q819">
        <v>244093.42</v>
      </c>
      <c r="R819" t="s">
        <v>54</v>
      </c>
      <c r="S819" t="s">
        <v>34</v>
      </c>
      <c r="T819" t="s">
        <v>55</v>
      </c>
      <c r="U819" t="s">
        <v>56</v>
      </c>
      <c r="V819" t="s">
        <v>57</v>
      </c>
      <c r="W819">
        <v>9</v>
      </c>
      <c r="X819" t="s">
        <v>47</v>
      </c>
      <c r="Y819">
        <v>2</v>
      </c>
      <c r="Z819" t="s">
        <v>39</v>
      </c>
    </row>
    <row r="820" spans="1:26" x14ac:dyDescent="0.3">
      <c r="A820" t="s">
        <v>1443</v>
      </c>
      <c r="B820" s="2">
        <v>45786</v>
      </c>
      <c r="C820" t="s">
        <v>425</v>
      </c>
      <c r="D820" t="s">
        <v>111</v>
      </c>
      <c r="E820" t="s">
        <v>29</v>
      </c>
      <c r="F820">
        <v>49</v>
      </c>
      <c r="G820" t="s">
        <v>139</v>
      </c>
      <c r="H820" t="s">
        <v>31</v>
      </c>
      <c r="I820" t="s">
        <v>139</v>
      </c>
      <c r="J820" t="s">
        <v>32</v>
      </c>
      <c r="K820">
        <v>5</v>
      </c>
      <c r="L820">
        <v>16368</v>
      </c>
      <c r="M820">
        <v>15</v>
      </c>
      <c r="N820">
        <v>12276</v>
      </c>
      <c r="O820">
        <v>12521.52</v>
      </c>
      <c r="P820">
        <v>443</v>
      </c>
      <c r="Q820">
        <v>82528.52</v>
      </c>
      <c r="R820" t="s">
        <v>45</v>
      </c>
      <c r="S820" t="s">
        <v>63</v>
      </c>
      <c r="T820" t="s">
        <v>70</v>
      </c>
      <c r="U820" t="s">
        <v>56</v>
      </c>
      <c r="V820" t="s">
        <v>57</v>
      </c>
      <c r="W820">
        <v>8</v>
      </c>
      <c r="X820" t="s">
        <v>47</v>
      </c>
      <c r="Y820">
        <v>2</v>
      </c>
      <c r="Z820" t="s">
        <v>47</v>
      </c>
    </row>
    <row r="821" spans="1:26" x14ac:dyDescent="0.3">
      <c r="A821" t="s">
        <v>1444</v>
      </c>
      <c r="B821" s="2">
        <v>45913</v>
      </c>
      <c r="C821" t="s">
        <v>1180</v>
      </c>
      <c r="D821" t="s">
        <v>28</v>
      </c>
      <c r="E821" t="s">
        <v>29</v>
      </c>
      <c r="F821">
        <v>37</v>
      </c>
      <c r="G821" t="s">
        <v>44</v>
      </c>
      <c r="H821" t="s">
        <v>31</v>
      </c>
      <c r="I821" t="s">
        <v>44</v>
      </c>
      <c r="J821" t="s">
        <v>112</v>
      </c>
      <c r="K821">
        <v>2</v>
      </c>
      <c r="L821">
        <v>31757</v>
      </c>
      <c r="M821">
        <v>0</v>
      </c>
      <c r="N821">
        <v>0</v>
      </c>
      <c r="O821">
        <v>11432.52</v>
      </c>
      <c r="P821">
        <v>191</v>
      </c>
      <c r="Q821">
        <v>75137.52</v>
      </c>
      <c r="R821" t="s">
        <v>45</v>
      </c>
      <c r="S821" t="s">
        <v>34</v>
      </c>
      <c r="T821" t="s">
        <v>55</v>
      </c>
      <c r="U821" t="s">
        <v>56</v>
      </c>
      <c r="V821" t="s">
        <v>57</v>
      </c>
      <c r="W821">
        <v>3</v>
      </c>
      <c r="X821" t="s">
        <v>38</v>
      </c>
      <c r="Y821">
        <v>3</v>
      </c>
      <c r="Z821" t="s">
        <v>47</v>
      </c>
    </row>
    <row r="822" spans="1:26" x14ac:dyDescent="0.3">
      <c r="A822" t="s">
        <v>1445</v>
      </c>
      <c r="B822" s="2">
        <v>45853</v>
      </c>
      <c r="C822" t="s">
        <v>1446</v>
      </c>
      <c r="D822" t="s">
        <v>73</v>
      </c>
      <c r="E822" t="s">
        <v>43</v>
      </c>
      <c r="F822">
        <v>29</v>
      </c>
      <c r="G822" t="s">
        <v>90</v>
      </c>
      <c r="H822" t="s">
        <v>31</v>
      </c>
      <c r="I822" t="s">
        <v>90</v>
      </c>
      <c r="J822" t="s">
        <v>75</v>
      </c>
      <c r="K822">
        <v>4</v>
      </c>
      <c r="L822">
        <v>37757</v>
      </c>
      <c r="M822">
        <v>10</v>
      </c>
      <c r="N822">
        <v>15102.8</v>
      </c>
      <c r="O822">
        <v>24466.54</v>
      </c>
      <c r="P822">
        <v>430</v>
      </c>
      <c r="Q822">
        <v>160821.74</v>
      </c>
      <c r="R822" t="s">
        <v>83</v>
      </c>
      <c r="S822" t="s">
        <v>63</v>
      </c>
      <c r="T822" t="s">
        <v>70</v>
      </c>
      <c r="U822" t="s">
        <v>56</v>
      </c>
      <c r="V822" t="s">
        <v>57</v>
      </c>
      <c r="W822">
        <v>3</v>
      </c>
      <c r="X822" t="s">
        <v>47</v>
      </c>
      <c r="Y822">
        <v>4</v>
      </c>
      <c r="Z822" t="s">
        <v>47</v>
      </c>
    </row>
    <row r="823" spans="1:26" x14ac:dyDescent="0.3">
      <c r="A823" t="s">
        <v>1447</v>
      </c>
      <c r="B823" s="2">
        <v>46020</v>
      </c>
      <c r="C823" t="s">
        <v>213</v>
      </c>
      <c r="D823" t="s">
        <v>50</v>
      </c>
      <c r="E823" t="s">
        <v>43</v>
      </c>
      <c r="F823">
        <v>55</v>
      </c>
      <c r="G823" t="s">
        <v>139</v>
      </c>
      <c r="H823" t="s">
        <v>31</v>
      </c>
      <c r="I823" t="s">
        <v>139</v>
      </c>
      <c r="J823" t="s">
        <v>150</v>
      </c>
      <c r="K823">
        <v>2</v>
      </c>
      <c r="L823">
        <v>42743</v>
      </c>
      <c r="M823">
        <v>5</v>
      </c>
      <c r="N823">
        <v>4274.3</v>
      </c>
      <c r="O823">
        <v>14618.11</v>
      </c>
      <c r="P823">
        <v>473</v>
      </c>
      <c r="Q823">
        <v>96302.81</v>
      </c>
      <c r="R823" t="s">
        <v>54</v>
      </c>
      <c r="S823" t="s">
        <v>63</v>
      </c>
      <c r="T823" t="s">
        <v>70</v>
      </c>
      <c r="U823" t="s">
        <v>56</v>
      </c>
      <c r="V823" t="s">
        <v>57</v>
      </c>
      <c r="W823">
        <v>9</v>
      </c>
      <c r="X823" t="s">
        <v>47</v>
      </c>
      <c r="Y823">
        <v>4</v>
      </c>
      <c r="Z823" t="s">
        <v>91</v>
      </c>
    </row>
    <row r="824" spans="1:26" x14ac:dyDescent="0.3">
      <c r="A824" t="s">
        <v>1448</v>
      </c>
      <c r="B824" s="2">
        <v>45849</v>
      </c>
      <c r="C824" t="s">
        <v>656</v>
      </c>
      <c r="D824" t="s">
        <v>61</v>
      </c>
      <c r="E824" t="s">
        <v>29</v>
      </c>
      <c r="F824">
        <v>58</v>
      </c>
      <c r="G824" t="s">
        <v>74</v>
      </c>
      <c r="H824" t="s">
        <v>31</v>
      </c>
      <c r="I824" t="s">
        <v>74</v>
      </c>
      <c r="J824" t="s">
        <v>102</v>
      </c>
      <c r="K824">
        <v>3</v>
      </c>
      <c r="L824">
        <v>20225</v>
      </c>
      <c r="M824">
        <v>10</v>
      </c>
      <c r="N824">
        <v>6067.5</v>
      </c>
      <c r="O824">
        <v>9829.35</v>
      </c>
      <c r="P824">
        <v>463</v>
      </c>
      <c r="Q824">
        <v>64899.85</v>
      </c>
      <c r="R824" t="s">
        <v>45</v>
      </c>
      <c r="S824" t="s">
        <v>63</v>
      </c>
      <c r="T824" t="s">
        <v>70</v>
      </c>
      <c r="U824" t="s">
        <v>56</v>
      </c>
      <c r="V824" t="s">
        <v>57</v>
      </c>
      <c r="W824">
        <v>9</v>
      </c>
      <c r="X824" t="s">
        <v>47</v>
      </c>
      <c r="Y824">
        <v>1</v>
      </c>
      <c r="Z824" t="s">
        <v>58</v>
      </c>
    </row>
    <row r="825" spans="1:26" x14ac:dyDescent="0.3">
      <c r="A825" t="s">
        <v>1449</v>
      </c>
      <c r="B825" s="2">
        <v>46063</v>
      </c>
      <c r="C825" t="s">
        <v>777</v>
      </c>
      <c r="D825" t="s">
        <v>28</v>
      </c>
      <c r="E825" t="s">
        <v>43</v>
      </c>
      <c r="F825">
        <v>49</v>
      </c>
      <c r="G825" t="s">
        <v>51</v>
      </c>
      <c r="H825" t="s">
        <v>52</v>
      </c>
      <c r="I825" t="s">
        <v>51</v>
      </c>
      <c r="J825" t="s">
        <v>112</v>
      </c>
      <c r="K825">
        <v>2</v>
      </c>
      <c r="L825">
        <v>8375</v>
      </c>
      <c r="M825">
        <v>15</v>
      </c>
      <c r="N825">
        <v>2512.5</v>
      </c>
      <c r="O825">
        <v>2562.75</v>
      </c>
      <c r="P825">
        <v>470</v>
      </c>
      <c r="Q825">
        <v>17270.25</v>
      </c>
      <c r="R825" t="s">
        <v>45</v>
      </c>
      <c r="S825" t="s">
        <v>34</v>
      </c>
      <c r="T825" t="s">
        <v>84</v>
      </c>
      <c r="U825" t="s">
        <v>85</v>
      </c>
      <c r="V825" t="s">
        <v>86</v>
      </c>
      <c r="W825">
        <v>1</v>
      </c>
      <c r="X825" t="s">
        <v>38</v>
      </c>
      <c r="Y825">
        <v>3</v>
      </c>
      <c r="Z825" t="s">
        <v>91</v>
      </c>
    </row>
    <row r="826" spans="1:26" x14ac:dyDescent="0.3">
      <c r="A826" t="s">
        <v>1450</v>
      </c>
      <c r="B826" s="2">
        <v>45803</v>
      </c>
      <c r="C826" t="s">
        <v>1451</v>
      </c>
      <c r="D826" t="s">
        <v>73</v>
      </c>
      <c r="E826" t="s">
        <v>43</v>
      </c>
      <c r="F826">
        <v>58</v>
      </c>
      <c r="G826" t="s">
        <v>90</v>
      </c>
      <c r="H826" t="s">
        <v>31</v>
      </c>
      <c r="I826" t="s">
        <v>90</v>
      </c>
      <c r="J826" t="s">
        <v>53</v>
      </c>
      <c r="K826">
        <v>1</v>
      </c>
      <c r="L826">
        <v>5347</v>
      </c>
      <c r="M826">
        <v>10</v>
      </c>
      <c r="N826">
        <v>534.70000000000005</v>
      </c>
      <c r="O826">
        <v>866.21</v>
      </c>
      <c r="P826">
        <v>428</v>
      </c>
      <c r="Q826">
        <v>6106.51</v>
      </c>
      <c r="R826" t="s">
        <v>83</v>
      </c>
      <c r="S826" t="s">
        <v>63</v>
      </c>
      <c r="T826" t="s">
        <v>95</v>
      </c>
      <c r="U826" t="s">
        <v>96</v>
      </c>
      <c r="V826" t="s">
        <v>57</v>
      </c>
      <c r="W826">
        <v>2</v>
      </c>
      <c r="X826" t="s">
        <v>38</v>
      </c>
      <c r="Y826">
        <v>4</v>
      </c>
      <c r="Z826" t="s">
        <v>91</v>
      </c>
    </row>
    <row r="827" spans="1:26" x14ac:dyDescent="0.3">
      <c r="A827" t="s">
        <v>1452</v>
      </c>
      <c r="B827" s="2">
        <v>46092</v>
      </c>
      <c r="C827" t="s">
        <v>1453</v>
      </c>
      <c r="D827" t="s">
        <v>73</v>
      </c>
      <c r="E827" t="s">
        <v>43</v>
      </c>
      <c r="F827">
        <v>19</v>
      </c>
      <c r="G827" t="s">
        <v>99</v>
      </c>
      <c r="H827" t="s">
        <v>52</v>
      </c>
      <c r="I827" t="s">
        <v>99</v>
      </c>
      <c r="J827" t="s">
        <v>102</v>
      </c>
      <c r="K827">
        <v>2</v>
      </c>
      <c r="L827">
        <v>24967</v>
      </c>
      <c r="M827">
        <v>10</v>
      </c>
      <c r="N827">
        <v>4993.3999999999996</v>
      </c>
      <c r="O827">
        <v>8089.31</v>
      </c>
      <c r="P827">
        <v>104</v>
      </c>
      <c r="Q827">
        <v>53133.91</v>
      </c>
      <c r="R827" t="s">
        <v>54</v>
      </c>
      <c r="S827" t="s">
        <v>34</v>
      </c>
      <c r="T827" t="s">
        <v>76</v>
      </c>
      <c r="U827" t="s">
        <v>77</v>
      </c>
      <c r="V827" t="s">
        <v>57</v>
      </c>
      <c r="W827">
        <v>1</v>
      </c>
      <c r="X827" t="s">
        <v>38</v>
      </c>
      <c r="Y827">
        <v>4</v>
      </c>
      <c r="Z827" t="s">
        <v>58</v>
      </c>
    </row>
    <row r="828" spans="1:26" x14ac:dyDescent="0.3">
      <c r="A828" t="s">
        <v>1454</v>
      </c>
      <c r="B828" s="2">
        <v>46043</v>
      </c>
      <c r="C828" t="s">
        <v>874</v>
      </c>
      <c r="D828" t="s">
        <v>80</v>
      </c>
      <c r="E828" t="s">
        <v>43</v>
      </c>
      <c r="F828">
        <v>38</v>
      </c>
      <c r="G828" t="s">
        <v>51</v>
      </c>
      <c r="H828" t="s">
        <v>52</v>
      </c>
      <c r="I828" t="s">
        <v>51</v>
      </c>
      <c r="J828" t="s">
        <v>53</v>
      </c>
      <c r="K828">
        <v>4</v>
      </c>
      <c r="L828">
        <v>33363</v>
      </c>
      <c r="M828">
        <v>0</v>
      </c>
      <c r="N828">
        <v>0</v>
      </c>
      <c r="O828">
        <v>24021.360000000001</v>
      </c>
      <c r="P828">
        <v>353</v>
      </c>
      <c r="Q828">
        <v>157826.35999999999</v>
      </c>
      <c r="R828" t="s">
        <v>83</v>
      </c>
      <c r="S828" t="s">
        <v>63</v>
      </c>
      <c r="T828" t="s">
        <v>70</v>
      </c>
      <c r="U828" t="s">
        <v>56</v>
      </c>
      <c r="V828" t="s">
        <v>57</v>
      </c>
      <c r="W828">
        <v>1</v>
      </c>
      <c r="X828" t="s">
        <v>38</v>
      </c>
      <c r="Y828">
        <v>2</v>
      </c>
      <c r="Z828" t="s">
        <v>91</v>
      </c>
    </row>
    <row r="829" spans="1:26" x14ac:dyDescent="0.3">
      <c r="A829" t="s">
        <v>1455</v>
      </c>
      <c r="B829" s="2">
        <v>45887</v>
      </c>
      <c r="C829" t="s">
        <v>131</v>
      </c>
      <c r="D829" t="s">
        <v>42</v>
      </c>
      <c r="E829" t="s">
        <v>43</v>
      </c>
      <c r="F829">
        <v>38</v>
      </c>
      <c r="G829" t="s">
        <v>51</v>
      </c>
      <c r="H829" t="s">
        <v>52</v>
      </c>
      <c r="I829" t="s">
        <v>51</v>
      </c>
      <c r="J829" t="s">
        <v>201</v>
      </c>
      <c r="K829">
        <v>3</v>
      </c>
      <c r="L829">
        <v>11118</v>
      </c>
      <c r="M829">
        <v>15</v>
      </c>
      <c r="N829">
        <v>5003.1000000000004</v>
      </c>
      <c r="O829">
        <v>5103.16</v>
      </c>
      <c r="P829">
        <v>443</v>
      </c>
      <c r="Q829">
        <v>33897.06</v>
      </c>
      <c r="R829" t="s">
        <v>83</v>
      </c>
      <c r="S829" t="s">
        <v>63</v>
      </c>
      <c r="T829" t="s">
        <v>84</v>
      </c>
      <c r="U829" t="s">
        <v>85</v>
      </c>
      <c r="V829" t="s">
        <v>86</v>
      </c>
      <c r="W829">
        <v>8</v>
      </c>
      <c r="X829" t="s">
        <v>38</v>
      </c>
      <c r="Y829">
        <v>3</v>
      </c>
      <c r="Z829" t="s">
        <v>91</v>
      </c>
    </row>
    <row r="830" spans="1:26" x14ac:dyDescent="0.3">
      <c r="A830" t="s">
        <v>1456</v>
      </c>
      <c r="B830" s="2">
        <v>45763</v>
      </c>
      <c r="C830" t="s">
        <v>1457</v>
      </c>
      <c r="D830" t="s">
        <v>66</v>
      </c>
      <c r="E830" t="s">
        <v>43</v>
      </c>
      <c r="F830">
        <v>59</v>
      </c>
      <c r="G830" t="s">
        <v>99</v>
      </c>
      <c r="H830" t="s">
        <v>52</v>
      </c>
      <c r="I830" t="s">
        <v>99</v>
      </c>
      <c r="J830" t="s">
        <v>32</v>
      </c>
      <c r="K830">
        <v>1</v>
      </c>
      <c r="L830">
        <v>34518</v>
      </c>
      <c r="M830">
        <v>0</v>
      </c>
      <c r="N830">
        <v>0</v>
      </c>
      <c r="O830">
        <v>6213.24</v>
      </c>
      <c r="P830">
        <v>91</v>
      </c>
      <c r="Q830">
        <v>40822.239999999998</v>
      </c>
      <c r="R830" t="s">
        <v>54</v>
      </c>
      <c r="S830" t="s">
        <v>63</v>
      </c>
      <c r="T830" t="s">
        <v>76</v>
      </c>
      <c r="U830" t="s">
        <v>77</v>
      </c>
      <c r="V830" t="s">
        <v>57</v>
      </c>
      <c r="W830">
        <v>8</v>
      </c>
      <c r="X830" t="s">
        <v>47</v>
      </c>
      <c r="Y830">
        <v>5</v>
      </c>
      <c r="Z830" t="s">
        <v>91</v>
      </c>
    </row>
    <row r="831" spans="1:26" x14ac:dyDescent="0.3">
      <c r="A831" t="s">
        <v>1458</v>
      </c>
      <c r="B831" s="2">
        <v>45942</v>
      </c>
      <c r="C831" t="s">
        <v>231</v>
      </c>
      <c r="D831" t="s">
        <v>111</v>
      </c>
      <c r="E831" t="s">
        <v>29</v>
      </c>
      <c r="F831">
        <v>56</v>
      </c>
      <c r="G831" t="s">
        <v>30</v>
      </c>
      <c r="H831" t="s">
        <v>31</v>
      </c>
      <c r="I831" t="s">
        <v>30</v>
      </c>
      <c r="J831" t="s">
        <v>53</v>
      </c>
      <c r="K831">
        <v>3</v>
      </c>
      <c r="L831">
        <v>30273</v>
      </c>
      <c r="M831">
        <v>10</v>
      </c>
      <c r="N831">
        <v>9081.9</v>
      </c>
      <c r="O831">
        <v>14712.68</v>
      </c>
      <c r="P831">
        <v>294</v>
      </c>
      <c r="Q831">
        <v>96743.78</v>
      </c>
      <c r="R831" t="s">
        <v>33</v>
      </c>
      <c r="S831" t="s">
        <v>63</v>
      </c>
      <c r="T831" t="s">
        <v>46</v>
      </c>
      <c r="U831" t="s">
        <v>36</v>
      </c>
      <c r="V831" t="s">
        <v>37</v>
      </c>
      <c r="W831">
        <v>8</v>
      </c>
      <c r="X831" t="s">
        <v>47</v>
      </c>
      <c r="Y831">
        <v>5</v>
      </c>
      <c r="Z831" t="s">
        <v>47</v>
      </c>
    </row>
    <row r="832" spans="1:26" x14ac:dyDescent="0.3">
      <c r="A832" t="s">
        <v>1459</v>
      </c>
      <c r="B832" s="2">
        <v>46049</v>
      </c>
      <c r="C832" t="s">
        <v>711</v>
      </c>
      <c r="D832" t="s">
        <v>73</v>
      </c>
      <c r="E832" t="s">
        <v>29</v>
      </c>
      <c r="F832">
        <v>42</v>
      </c>
      <c r="G832" t="s">
        <v>74</v>
      </c>
      <c r="H832" t="s">
        <v>31</v>
      </c>
      <c r="I832" t="s">
        <v>74</v>
      </c>
      <c r="J832" t="s">
        <v>112</v>
      </c>
      <c r="K832">
        <v>2</v>
      </c>
      <c r="L832">
        <v>11342</v>
      </c>
      <c r="M832">
        <v>10</v>
      </c>
      <c r="N832">
        <v>2268.4</v>
      </c>
      <c r="O832">
        <v>3674.81</v>
      </c>
      <c r="P832">
        <v>459</v>
      </c>
      <c r="Q832">
        <v>24549.41</v>
      </c>
      <c r="R832" t="s">
        <v>33</v>
      </c>
      <c r="S832" t="s">
        <v>34</v>
      </c>
      <c r="T832" t="s">
        <v>95</v>
      </c>
      <c r="U832" t="s">
        <v>96</v>
      </c>
      <c r="V832" t="s">
        <v>57</v>
      </c>
      <c r="W832">
        <v>7</v>
      </c>
      <c r="X832" t="s">
        <v>38</v>
      </c>
      <c r="Y832">
        <v>1</v>
      </c>
      <c r="Z832" t="s">
        <v>58</v>
      </c>
    </row>
    <row r="833" spans="1:26" x14ac:dyDescent="0.3">
      <c r="A833" t="s">
        <v>1460</v>
      </c>
      <c r="B833" s="2">
        <v>45892</v>
      </c>
      <c r="C833" t="s">
        <v>881</v>
      </c>
      <c r="D833" t="s">
        <v>50</v>
      </c>
      <c r="E833" t="s">
        <v>43</v>
      </c>
      <c r="F833">
        <v>58</v>
      </c>
      <c r="G833" t="s">
        <v>94</v>
      </c>
      <c r="H833" t="s">
        <v>31</v>
      </c>
      <c r="I833" t="s">
        <v>94</v>
      </c>
      <c r="J833" t="s">
        <v>75</v>
      </c>
      <c r="K833">
        <v>1</v>
      </c>
      <c r="L833">
        <v>48064</v>
      </c>
      <c r="M833">
        <v>20</v>
      </c>
      <c r="N833">
        <v>9612.7999999999993</v>
      </c>
      <c r="O833">
        <v>6921.22</v>
      </c>
      <c r="P833">
        <v>115</v>
      </c>
      <c r="Q833">
        <v>45487.42</v>
      </c>
      <c r="R833" t="s">
        <v>33</v>
      </c>
      <c r="S833" t="s">
        <v>34</v>
      </c>
      <c r="T833" t="s">
        <v>103</v>
      </c>
      <c r="U833" t="s">
        <v>103</v>
      </c>
      <c r="V833" t="s">
        <v>57</v>
      </c>
      <c r="W833">
        <v>1</v>
      </c>
      <c r="X833" t="s">
        <v>47</v>
      </c>
      <c r="Y833">
        <v>3</v>
      </c>
      <c r="Z833" t="s">
        <v>39</v>
      </c>
    </row>
    <row r="834" spans="1:26" x14ac:dyDescent="0.3">
      <c r="A834" t="s">
        <v>1461</v>
      </c>
      <c r="B834" s="2">
        <v>46014</v>
      </c>
      <c r="C834" t="s">
        <v>127</v>
      </c>
      <c r="D834" t="s">
        <v>89</v>
      </c>
      <c r="E834" t="s">
        <v>43</v>
      </c>
      <c r="F834">
        <v>35</v>
      </c>
      <c r="G834" t="s">
        <v>90</v>
      </c>
      <c r="H834" t="s">
        <v>31</v>
      </c>
      <c r="I834" t="s">
        <v>90</v>
      </c>
      <c r="J834" t="s">
        <v>201</v>
      </c>
      <c r="K834">
        <v>5</v>
      </c>
      <c r="L834">
        <v>32836</v>
      </c>
      <c r="M834">
        <v>15</v>
      </c>
      <c r="N834">
        <v>24627</v>
      </c>
      <c r="O834">
        <v>25119.54</v>
      </c>
      <c r="P834">
        <v>464</v>
      </c>
      <c r="Q834">
        <v>165136.54</v>
      </c>
      <c r="R834" t="s">
        <v>33</v>
      </c>
      <c r="S834" t="s">
        <v>63</v>
      </c>
      <c r="T834" t="s">
        <v>35</v>
      </c>
      <c r="U834" t="s">
        <v>36</v>
      </c>
      <c r="V834" t="s">
        <v>37</v>
      </c>
      <c r="W834">
        <v>3</v>
      </c>
      <c r="X834" t="s">
        <v>38</v>
      </c>
      <c r="Y834">
        <v>2</v>
      </c>
      <c r="Z834" t="s">
        <v>47</v>
      </c>
    </row>
    <row r="835" spans="1:26" x14ac:dyDescent="0.3">
      <c r="A835" t="s">
        <v>1462</v>
      </c>
      <c r="B835" s="2">
        <v>46094</v>
      </c>
      <c r="C835" t="s">
        <v>523</v>
      </c>
      <c r="D835" t="s">
        <v>73</v>
      </c>
      <c r="E835" t="s">
        <v>43</v>
      </c>
      <c r="F835">
        <v>40</v>
      </c>
      <c r="G835" t="s">
        <v>44</v>
      </c>
      <c r="H835" t="s">
        <v>31</v>
      </c>
      <c r="I835" t="s">
        <v>44</v>
      </c>
      <c r="J835" t="s">
        <v>53</v>
      </c>
      <c r="K835">
        <v>5</v>
      </c>
      <c r="L835">
        <v>43163</v>
      </c>
      <c r="M835">
        <v>10</v>
      </c>
      <c r="N835">
        <v>21581.5</v>
      </c>
      <c r="O835">
        <v>34962.03</v>
      </c>
      <c r="P835">
        <v>202</v>
      </c>
      <c r="Q835">
        <v>229397.53</v>
      </c>
      <c r="R835" t="s">
        <v>54</v>
      </c>
      <c r="S835" t="s">
        <v>63</v>
      </c>
      <c r="T835" t="s">
        <v>46</v>
      </c>
      <c r="U835" t="s">
        <v>36</v>
      </c>
      <c r="V835" t="s">
        <v>37</v>
      </c>
      <c r="W835">
        <v>1</v>
      </c>
      <c r="X835" t="s">
        <v>38</v>
      </c>
      <c r="Y835">
        <v>5</v>
      </c>
      <c r="Z835" t="s">
        <v>91</v>
      </c>
    </row>
    <row r="836" spans="1:26" x14ac:dyDescent="0.3">
      <c r="A836" t="s">
        <v>1463</v>
      </c>
      <c r="B836" s="2">
        <v>45792</v>
      </c>
      <c r="C836" t="s">
        <v>1464</v>
      </c>
      <c r="D836" t="s">
        <v>108</v>
      </c>
      <c r="E836" t="s">
        <v>29</v>
      </c>
      <c r="F836">
        <v>29</v>
      </c>
      <c r="G836" t="s">
        <v>94</v>
      </c>
      <c r="H836" t="s">
        <v>31</v>
      </c>
      <c r="I836" t="s">
        <v>94</v>
      </c>
      <c r="J836" t="s">
        <v>75</v>
      </c>
      <c r="K836">
        <v>1</v>
      </c>
      <c r="L836">
        <v>31573</v>
      </c>
      <c r="M836">
        <v>10</v>
      </c>
      <c r="N836">
        <v>3157.3</v>
      </c>
      <c r="O836">
        <v>5114.83</v>
      </c>
      <c r="P836">
        <v>152</v>
      </c>
      <c r="Q836">
        <v>33682.53</v>
      </c>
      <c r="R836" t="s">
        <v>54</v>
      </c>
      <c r="S836" t="s">
        <v>34</v>
      </c>
      <c r="T836" t="s">
        <v>55</v>
      </c>
      <c r="U836" t="s">
        <v>56</v>
      </c>
      <c r="V836" t="s">
        <v>57</v>
      </c>
      <c r="W836">
        <v>4</v>
      </c>
      <c r="X836" t="s">
        <v>47</v>
      </c>
      <c r="Y836">
        <v>1</v>
      </c>
      <c r="Z836" t="s">
        <v>39</v>
      </c>
    </row>
    <row r="837" spans="1:26" x14ac:dyDescent="0.3">
      <c r="A837" t="s">
        <v>1465</v>
      </c>
      <c r="B837" s="2">
        <v>45956</v>
      </c>
      <c r="C837" t="s">
        <v>1466</v>
      </c>
      <c r="D837" t="s">
        <v>89</v>
      </c>
      <c r="E837" t="s">
        <v>43</v>
      </c>
      <c r="F837">
        <v>29</v>
      </c>
      <c r="G837" t="s">
        <v>67</v>
      </c>
      <c r="H837" t="s">
        <v>68</v>
      </c>
      <c r="I837" t="s">
        <v>67</v>
      </c>
      <c r="J837" t="s">
        <v>150</v>
      </c>
      <c r="K837">
        <v>1</v>
      </c>
      <c r="L837">
        <v>48245</v>
      </c>
      <c r="M837">
        <v>20</v>
      </c>
      <c r="N837">
        <v>9649</v>
      </c>
      <c r="O837">
        <v>6947.28</v>
      </c>
      <c r="P837">
        <v>5</v>
      </c>
      <c r="Q837">
        <v>45548.28</v>
      </c>
      <c r="R837" t="s">
        <v>45</v>
      </c>
      <c r="S837" t="s">
        <v>34</v>
      </c>
      <c r="T837" t="s">
        <v>70</v>
      </c>
      <c r="U837" t="s">
        <v>56</v>
      </c>
      <c r="V837" t="s">
        <v>57</v>
      </c>
      <c r="W837">
        <v>6</v>
      </c>
      <c r="X837" t="s">
        <v>38</v>
      </c>
      <c r="Y837">
        <v>3</v>
      </c>
      <c r="Z837" t="s">
        <v>91</v>
      </c>
    </row>
    <row r="838" spans="1:26" x14ac:dyDescent="0.3">
      <c r="A838" t="s">
        <v>1467</v>
      </c>
      <c r="B838" s="2">
        <v>45968</v>
      </c>
      <c r="C838" t="s">
        <v>934</v>
      </c>
      <c r="D838" t="s">
        <v>66</v>
      </c>
      <c r="E838" t="s">
        <v>43</v>
      </c>
      <c r="F838">
        <v>27</v>
      </c>
      <c r="G838" t="s">
        <v>134</v>
      </c>
      <c r="H838" t="s">
        <v>31</v>
      </c>
      <c r="I838" t="s">
        <v>134</v>
      </c>
      <c r="J838" t="s">
        <v>69</v>
      </c>
      <c r="K838">
        <v>4</v>
      </c>
      <c r="L838">
        <v>47145</v>
      </c>
      <c r="M838">
        <v>20</v>
      </c>
      <c r="N838">
        <v>37716</v>
      </c>
      <c r="O838">
        <v>27155.52</v>
      </c>
      <c r="P838">
        <v>457</v>
      </c>
      <c r="Q838">
        <v>178476.52</v>
      </c>
      <c r="R838" t="s">
        <v>54</v>
      </c>
      <c r="S838" t="s">
        <v>63</v>
      </c>
      <c r="T838" t="s">
        <v>103</v>
      </c>
      <c r="U838" t="s">
        <v>103</v>
      </c>
      <c r="V838" t="s">
        <v>57</v>
      </c>
      <c r="W838">
        <v>1</v>
      </c>
      <c r="X838" t="s">
        <v>47</v>
      </c>
      <c r="Y838">
        <v>5</v>
      </c>
      <c r="Z838" t="s">
        <v>47</v>
      </c>
    </row>
    <row r="839" spans="1:26" x14ac:dyDescent="0.3">
      <c r="A839" t="s">
        <v>1468</v>
      </c>
      <c r="B839" s="2">
        <v>45982</v>
      </c>
      <c r="C839" t="s">
        <v>623</v>
      </c>
      <c r="D839" t="s">
        <v>66</v>
      </c>
      <c r="E839" t="s">
        <v>43</v>
      </c>
      <c r="F839">
        <v>56</v>
      </c>
      <c r="G839" t="s">
        <v>51</v>
      </c>
      <c r="H839" t="s">
        <v>52</v>
      </c>
      <c r="I839" t="s">
        <v>51</v>
      </c>
      <c r="J839" t="s">
        <v>125</v>
      </c>
      <c r="K839">
        <v>5</v>
      </c>
      <c r="L839">
        <v>25380</v>
      </c>
      <c r="M839">
        <v>0</v>
      </c>
      <c r="N839">
        <v>0</v>
      </c>
      <c r="O839">
        <v>22842</v>
      </c>
      <c r="P839">
        <v>309</v>
      </c>
      <c r="Q839">
        <v>150051</v>
      </c>
      <c r="R839" t="s">
        <v>45</v>
      </c>
      <c r="S839" t="s">
        <v>34</v>
      </c>
      <c r="T839" t="s">
        <v>46</v>
      </c>
      <c r="U839" t="s">
        <v>36</v>
      </c>
      <c r="V839" t="s">
        <v>37</v>
      </c>
      <c r="W839">
        <v>1</v>
      </c>
      <c r="X839" t="s">
        <v>47</v>
      </c>
      <c r="Y839">
        <v>2</v>
      </c>
      <c r="Z839" t="s">
        <v>58</v>
      </c>
    </row>
    <row r="840" spans="1:26" x14ac:dyDescent="0.3">
      <c r="A840" t="s">
        <v>1469</v>
      </c>
      <c r="B840" s="2">
        <v>45911</v>
      </c>
      <c r="C840" t="s">
        <v>965</v>
      </c>
      <c r="D840" t="s">
        <v>28</v>
      </c>
      <c r="E840" t="s">
        <v>29</v>
      </c>
      <c r="F840">
        <v>22</v>
      </c>
      <c r="G840" t="s">
        <v>134</v>
      </c>
      <c r="H840" t="s">
        <v>31</v>
      </c>
      <c r="I840" t="s">
        <v>134</v>
      </c>
      <c r="J840" t="s">
        <v>32</v>
      </c>
      <c r="K840">
        <v>1</v>
      </c>
      <c r="L840">
        <v>40566</v>
      </c>
      <c r="M840">
        <v>10</v>
      </c>
      <c r="N840">
        <v>4056.6</v>
      </c>
      <c r="O840">
        <v>6571.69</v>
      </c>
      <c r="P840">
        <v>112</v>
      </c>
      <c r="Q840">
        <v>43193.09</v>
      </c>
      <c r="R840" t="s">
        <v>45</v>
      </c>
      <c r="S840" t="s">
        <v>63</v>
      </c>
      <c r="T840" t="s">
        <v>55</v>
      </c>
      <c r="U840" t="s">
        <v>56</v>
      </c>
      <c r="V840" t="s">
        <v>57</v>
      </c>
      <c r="W840">
        <v>8</v>
      </c>
      <c r="X840" t="s">
        <v>47</v>
      </c>
      <c r="Y840">
        <v>2</v>
      </c>
      <c r="Z840" t="s">
        <v>47</v>
      </c>
    </row>
    <row r="841" spans="1:26" x14ac:dyDescent="0.3">
      <c r="A841" t="s">
        <v>1470</v>
      </c>
      <c r="B841" s="2">
        <v>45969</v>
      </c>
      <c r="C841" t="s">
        <v>414</v>
      </c>
      <c r="D841" t="s">
        <v>66</v>
      </c>
      <c r="E841" t="s">
        <v>43</v>
      </c>
      <c r="F841">
        <v>37</v>
      </c>
      <c r="G841" t="s">
        <v>30</v>
      </c>
      <c r="H841" t="s">
        <v>31</v>
      </c>
      <c r="I841" t="s">
        <v>30</v>
      </c>
      <c r="J841" t="s">
        <v>201</v>
      </c>
      <c r="K841">
        <v>1</v>
      </c>
      <c r="L841">
        <v>6815</v>
      </c>
      <c r="M841">
        <v>20</v>
      </c>
      <c r="N841">
        <v>1363</v>
      </c>
      <c r="O841">
        <v>981.36</v>
      </c>
      <c r="P841">
        <v>338</v>
      </c>
      <c r="Q841">
        <v>6771.36</v>
      </c>
      <c r="R841" t="s">
        <v>33</v>
      </c>
      <c r="S841" t="s">
        <v>34</v>
      </c>
      <c r="T841" t="s">
        <v>95</v>
      </c>
      <c r="U841" t="s">
        <v>96</v>
      </c>
      <c r="V841" t="s">
        <v>57</v>
      </c>
      <c r="W841">
        <v>8</v>
      </c>
      <c r="X841" t="s">
        <v>47</v>
      </c>
      <c r="Y841">
        <v>5</v>
      </c>
      <c r="Z841" t="s">
        <v>47</v>
      </c>
    </row>
    <row r="842" spans="1:26" x14ac:dyDescent="0.3">
      <c r="A842" t="s">
        <v>1471</v>
      </c>
      <c r="B842" s="2">
        <v>45931</v>
      </c>
      <c r="C842" t="s">
        <v>1472</v>
      </c>
      <c r="D842" t="s">
        <v>28</v>
      </c>
      <c r="E842" t="s">
        <v>29</v>
      </c>
      <c r="F842">
        <v>51</v>
      </c>
      <c r="G842" t="s">
        <v>30</v>
      </c>
      <c r="H842" t="s">
        <v>31</v>
      </c>
      <c r="I842" t="s">
        <v>30</v>
      </c>
      <c r="J842" t="s">
        <v>69</v>
      </c>
      <c r="K842">
        <v>3</v>
      </c>
      <c r="L842">
        <v>49678</v>
      </c>
      <c r="M842">
        <v>15</v>
      </c>
      <c r="N842">
        <v>22355.1</v>
      </c>
      <c r="O842">
        <v>22802.2</v>
      </c>
      <c r="P842">
        <v>277</v>
      </c>
      <c r="Q842">
        <v>149758.1</v>
      </c>
      <c r="R842" t="s">
        <v>45</v>
      </c>
      <c r="S842" t="s">
        <v>34</v>
      </c>
      <c r="T842" t="s">
        <v>55</v>
      </c>
      <c r="U842" t="s">
        <v>56</v>
      </c>
      <c r="V842" t="s">
        <v>57</v>
      </c>
      <c r="W842">
        <v>8</v>
      </c>
      <c r="X842" t="s">
        <v>38</v>
      </c>
      <c r="Y842">
        <v>5</v>
      </c>
      <c r="Z842" t="s">
        <v>47</v>
      </c>
    </row>
    <row r="843" spans="1:26" x14ac:dyDescent="0.3">
      <c r="A843" t="s">
        <v>1473</v>
      </c>
      <c r="B843" s="2">
        <v>45940</v>
      </c>
      <c r="C843" t="s">
        <v>1474</v>
      </c>
      <c r="D843" t="s">
        <v>108</v>
      </c>
      <c r="E843" t="s">
        <v>43</v>
      </c>
      <c r="F843">
        <v>46</v>
      </c>
      <c r="G843" t="s">
        <v>139</v>
      </c>
      <c r="H843" t="s">
        <v>31</v>
      </c>
      <c r="I843" t="s">
        <v>139</v>
      </c>
      <c r="J843" t="s">
        <v>62</v>
      </c>
      <c r="K843">
        <v>4</v>
      </c>
      <c r="L843">
        <v>21247</v>
      </c>
      <c r="M843">
        <v>5</v>
      </c>
      <c r="N843">
        <v>4249.3999999999996</v>
      </c>
      <c r="O843">
        <v>14532.95</v>
      </c>
      <c r="P843">
        <v>439</v>
      </c>
      <c r="Q843">
        <v>95710.55</v>
      </c>
      <c r="R843" t="s">
        <v>83</v>
      </c>
      <c r="S843" t="s">
        <v>63</v>
      </c>
      <c r="T843" t="s">
        <v>70</v>
      </c>
      <c r="U843" t="s">
        <v>56</v>
      </c>
      <c r="V843" t="s">
        <v>57</v>
      </c>
      <c r="W843">
        <v>5</v>
      </c>
      <c r="X843" t="s">
        <v>38</v>
      </c>
      <c r="Y843">
        <v>2</v>
      </c>
      <c r="Z843" t="s">
        <v>47</v>
      </c>
    </row>
    <row r="844" spans="1:26" x14ac:dyDescent="0.3">
      <c r="A844" t="s">
        <v>1475</v>
      </c>
      <c r="B844" s="2">
        <v>45897</v>
      </c>
      <c r="C844" t="s">
        <v>1366</v>
      </c>
      <c r="D844" t="s">
        <v>111</v>
      </c>
      <c r="E844" t="s">
        <v>43</v>
      </c>
      <c r="F844">
        <v>31</v>
      </c>
      <c r="G844" t="s">
        <v>51</v>
      </c>
      <c r="H844" t="s">
        <v>52</v>
      </c>
      <c r="I844" t="s">
        <v>51</v>
      </c>
      <c r="J844" t="s">
        <v>112</v>
      </c>
      <c r="K844">
        <v>2</v>
      </c>
      <c r="L844">
        <v>10921</v>
      </c>
      <c r="M844">
        <v>5</v>
      </c>
      <c r="N844">
        <v>1092.0999999999999</v>
      </c>
      <c r="O844">
        <v>3734.98</v>
      </c>
      <c r="P844">
        <v>395</v>
      </c>
      <c r="Q844">
        <v>24879.88</v>
      </c>
      <c r="R844" t="s">
        <v>83</v>
      </c>
      <c r="S844" t="s">
        <v>34</v>
      </c>
      <c r="T844" t="s">
        <v>70</v>
      </c>
      <c r="U844" t="s">
        <v>56</v>
      </c>
      <c r="V844" t="s">
        <v>57</v>
      </c>
      <c r="W844">
        <v>6</v>
      </c>
      <c r="X844" t="s">
        <v>38</v>
      </c>
      <c r="Y844">
        <v>2</v>
      </c>
      <c r="Z844" t="s">
        <v>58</v>
      </c>
    </row>
    <row r="845" spans="1:26" x14ac:dyDescent="0.3">
      <c r="A845" t="s">
        <v>1476</v>
      </c>
      <c r="B845" s="2">
        <v>45879</v>
      </c>
      <c r="C845" t="s">
        <v>989</v>
      </c>
      <c r="D845" t="s">
        <v>50</v>
      </c>
      <c r="E845" t="s">
        <v>43</v>
      </c>
      <c r="F845">
        <v>20</v>
      </c>
      <c r="G845" t="s">
        <v>67</v>
      </c>
      <c r="H845" t="s">
        <v>68</v>
      </c>
      <c r="I845" t="s">
        <v>67</v>
      </c>
      <c r="J845" t="s">
        <v>32</v>
      </c>
      <c r="K845">
        <v>2</v>
      </c>
      <c r="L845">
        <v>41264</v>
      </c>
      <c r="M845">
        <v>5</v>
      </c>
      <c r="N845">
        <v>4126.3999999999996</v>
      </c>
      <c r="O845">
        <v>14112.29</v>
      </c>
      <c r="P845">
        <v>7</v>
      </c>
      <c r="Q845">
        <v>92520.89</v>
      </c>
      <c r="R845" t="s">
        <v>54</v>
      </c>
      <c r="S845" t="s">
        <v>34</v>
      </c>
      <c r="T845" t="s">
        <v>103</v>
      </c>
      <c r="U845" t="s">
        <v>103</v>
      </c>
      <c r="V845" t="s">
        <v>57</v>
      </c>
      <c r="W845">
        <v>6</v>
      </c>
      <c r="X845" t="s">
        <v>47</v>
      </c>
      <c r="Y845">
        <v>5</v>
      </c>
      <c r="Z845" t="s">
        <v>91</v>
      </c>
    </row>
    <row r="846" spans="1:26" x14ac:dyDescent="0.3">
      <c r="A846" t="s">
        <v>1477</v>
      </c>
      <c r="B846" s="2">
        <v>46006</v>
      </c>
      <c r="C846" t="s">
        <v>1478</v>
      </c>
      <c r="D846" t="s">
        <v>108</v>
      </c>
      <c r="E846" t="s">
        <v>43</v>
      </c>
      <c r="F846">
        <v>37</v>
      </c>
      <c r="G846" t="s">
        <v>139</v>
      </c>
      <c r="H846" t="s">
        <v>31</v>
      </c>
      <c r="I846" t="s">
        <v>139</v>
      </c>
      <c r="J846" t="s">
        <v>112</v>
      </c>
      <c r="K846">
        <v>5</v>
      </c>
      <c r="L846">
        <v>15722</v>
      </c>
      <c r="M846">
        <v>20</v>
      </c>
      <c r="N846">
        <v>15722</v>
      </c>
      <c r="O846">
        <v>11319.84</v>
      </c>
      <c r="P846">
        <v>333</v>
      </c>
      <c r="Q846">
        <v>74540.84</v>
      </c>
      <c r="R846" t="s">
        <v>83</v>
      </c>
      <c r="S846" t="s">
        <v>34</v>
      </c>
      <c r="T846" t="s">
        <v>84</v>
      </c>
      <c r="U846" t="s">
        <v>85</v>
      </c>
      <c r="V846" t="s">
        <v>86</v>
      </c>
      <c r="W846">
        <v>7</v>
      </c>
      <c r="X846" t="s">
        <v>38</v>
      </c>
      <c r="Y846">
        <v>3</v>
      </c>
      <c r="Z846" t="s">
        <v>39</v>
      </c>
    </row>
    <row r="847" spans="1:26" x14ac:dyDescent="0.3">
      <c r="A847" t="s">
        <v>1479</v>
      </c>
      <c r="B847" s="2">
        <v>45819</v>
      </c>
      <c r="C847" t="s">
        <v>1480</v>
      </c>
      <c r="D847" t="s">
        <v>73</v>
      </c>
      <c r="E847" t="s">
        <v>29</v>
      </c>
      <c r="F847">
        <v>26</v>
      </c>
      <c r="G847" t="s">
        <v>30</v>
      </c>
      <c r="H847" t="s">
        <v>31</v>
      </c>
      <c r="I847" t="s">
        <v>30</v>
      </c>
      <c r="J847" t="s">
        <v>201</v>
      </c>
      <c r="K847">
        <v>4</v>
      </c>
      <c r="L847">
        <v>48345</v>
      </c>
      <c r="M847">
        <v>5</v>
      </c>
      <c r="N847">
        <v>9669</v>
      </c>
      <c r="O847">
        <v>33067.980000000003</v>
      </c>
      <c r="P847">
        <v>107</v>
      </c>
      <c r="Q847">
        <v>216885.98</v>
      </c>
      <c r="R847" t="s">
        <v>45</v>
      </c>
      <c r="S847" t="s">
        <v>63</v>
      </c>
      <c r="T847" t="s">
        <v>35</v>
      </c>
      <c r="U847" t="s">
        <v>36</v>
      </c>
      <c r="V847" t="s">
        <v>37</v>
      </c>
      <c r="W847">
        <v>9</v>
      </c>
      <c r="X847" t="s">
        <v>38</v>
      </c>
      <c r="Y847">
        <v>3</v>
      </c>
      <c r="Z847" t="s">
        <v>47</v>
      </c>
    </row>
    <row r="848" spans="1:26" x14ac:dyDescent="0.3">
      <c r="A848" t="s">
        <v>1481</v>
      </c>
      <c r="B848" s="2">
        <v>45891</v>
      </c>
      <c r="C848" t="s">
        <v>467</v>
      </c>
      <c r="D848" t="s">
        <v>80</v>
      </c>
      <c r="E848" t="s">
        <v>43</v>
      </c>
      <c r="F848">
        <v>59</v>
      </c>
      <c r="G848" t="s">
        <v>74</v>
      </c>
      <c r="H848" t="s">
        <v>31</v>
      </c>
      <c r="I848" t="s">
        <v>74</v>
      </c>
      <c r="J848" t="s">
        <v>201</v>
      </c>
      <c r="K848">
        <v>2</v>
      </c>
      <c r="L848">
        <v>32961</v>
      </c>
      <c r="M848">
        <v>0</v>
      </c>
      <c r="N848">
        <v>0</v>
      </c>
      <c r="O848">
        <v>11865.96</v>
      </c>
      <c r="P848">
        <v>103</v>
      </c>
      <c r="Q848">
        <v>77890.960000000006</v>
      </c>
      <c r="R848" t="s">
        <v>83</v>
      </c>
      <c r="S848" t="s">
        <v>34</v>
      </c>
      <c r="T848" t="s">
        <v>103</v>
      </c>
      <c r="U848" t="s">
        <v>103</v>
      </c>
      <c r="V848" t="s">
        <v>57</v>
      </c>
      <c r="W848">
        <v>8</v>
      </c>
      <c r="X848" t="s">
        <v>38</v>
      </c>
      <c r="Y848">
        <v>1</v>
      </c>
      <c r="Z848" t="s">
        <v>47</v>
      </c>
    </row>
    <row r="849" spans="1:26" x14ac:dyDescent="0.3">
      <c r="A849" t="s">
        <v>1482</v>
      </c>
      <c r="B849" s="2">
        <v>45965</v>
      </c>
      <c r="C849" t="s">
        <v>1483</v>
      </c>
      <c r="D849" t="s">
        <v>50</v>
      </c>
      <c r="E849" t="s">
        <v>43</v>
      </c>
      <c r="F849">
        <v>36</v>
      </c>
      <c r="G849" t="s">
        <v>99</v>
      </c>
      <c r="H849" t="s">
        <v>52</v>
      </c>
      <c r="I849" t="s">
        <v>99</v>
      </c>
      <c r="J849" t="s">
        <v>32</v>
      </c>
      <c r="K849">
        <v>3</v>
      </c>
      <c r="L849">
        <v>20711</v>
      </c>
      <c r="M849">
        <v>20</v>
      </c>
      <c r="N849">
        <v>12426.6</v>
      </c>
      <c r="O849">
        <v>8947.15</v>
      </c>
      <c r="P849">
        <v>216</v>
      </c>
      <c r="Q849">
        <v>58869.55</v>
      </c>
      <c r="R849" t="s">
        <v>33</v>
      </c>
      <c r="S849" t="s">
        <v>63</v>
      </c>
      <c r="T849" t="s">
        <v>35</v>
      </c>
      <c r="U849" t="s">
        <v>36</v>
      </c>
      <c r="V849" t="s">
        <v>37</v>
      </c>
      <c r="W849">
        <v>5</v>
      </c>
      <c r="X849" t="s">
        <v>47</v>
      </c>
      <c r="Y849">
        <v>5</v>
      </c>
      <c r="Z849" t="s">
        <v>91</v>
      </c>
    </row>
    <row r="850" spans="1:26" x14ac:dyDescent="0.3">
      <c r="A850" t="s">
        <v>1484</v>
      </c>
      <c r="B850" s="2">
        <v>45965</v>
      </c>
      <c r="C850" t="s">
        <v>1485</v>
      </c>
      <c r="D850" t="s">
        <v>61</v>
      </c>
      <c r="E850" t="s">
        <v>29</v>
      </c>
      <c r="F850">
        <v>49</v>
      </c>
      <c r="G850" t="s">
        <v>134</v>
      </c>
      <c r="H850" t="s">
        <v>31</v>
      </c>
      <c r="I850" t="s">
        <v>134</v>
      </c>
      <c r="J850" t="s">
        <v>62</v>
      </c>
      <c r="K850">
        <v>5</v>
      </c>
      <c r="L850">
        <v>19707</v>
      </c>
      <c r="M850">
        <v>10</v>
      </c>
      <c r="N850">
        <v>9853.5</v>
      </c>
      <c r="O850">
        <v>15962.67</v>
      </c>
      <c r="P850">
        <v>346</v>
      </c>
      <c r="Q850">
        <v>104990.17</v>
      </c>
      <c r="R850" t="s">
        <v>83</v>
      </c>
      <c r="S850" t="s">
        <v>63</v>
      </c>
      <c r="T850" t="s">
        <v>76</v>
      </c>
      <c r="U850" t="s">
        <v>77</v>
      </c>
      <c r="V850" t="s">
        <v>57</v>
      </c>
      <c r="W850">
        <v>4</v>
      </c>
      <c r="X850" t="s">
        <v>47</v>
      </c>
      <c r="Y850">
        <v>1</v>
      </c>
      <c r="Z850" t="s">
        <v>47</v>
      </c>
    </row>
    <row r="851" spans="1:26" x14ac:dyDescent="0.3">
      <c r="A851" t="s">
        <v>1486</v>
      </c>
      <c r="B851" s="2">
        <v>46029</v>
      </c>
      <c r="C851" t="s">
        <v>321</v>
      </c>
      <c r="D851" t="s">
        <v>73</v>
      </c>
      <c r="E851" t="s">
        <v>43</v>
      </c>
      <c r="F851">
        <v>45</v>
      </c>
      <c r="G851" t="s">
        <v>67</v>
      </c>
      <c r="H851" t="s">
        <v>68</v>
      </c>
      <c r="I851" t="s">
        <v>67</v>
      </c>
      <c r="J851" t="s">
        <v>201</v>
      </c>
      <c r="K851">
        <v>1</v>
      </c>
      <c r="L851">
        <v>37289</v>
      </c>
      <c r="M851">
        <v>20</v>
      </c>
      <c r="N851">
        <v>7457.8</v>
      </c>
      <c r="O851">
        <v>5369.62</v>
      </c>
      <c r="P851">
        <v>297</v>
      </c>
      <c r="Q851">
        <v>35497.82</v>
      </c>
      <c r="R851" t="s">
        <v>45</v>
      </c>
      <c r="S851" t="s">
        <v>63</v>
      </c>
      <c r="T851" t="s">
        <v>84</v>
      </c>
      <c r="U851" t="s">
        <v>85</v>
      </c>
      <c r="V851" t="s">
        <v>86</v>
      </c>
      <c r="W851">
        <v>6</v>
      </c>
      <c r="X851" t="s">
        <v>38</v>
      </c>
      <c r="Y851">
        <v>2</v>
      </c>
      <c r="Z851" t="s">
        <v>39</v>
      </c>
    </row>
    <row r="852" spans="1:26" x14ac:dyDescent="0.3">
      <c r="A852" t="s">
        <v>1487</v>
      </c>
      <c r="B852" s="2">
        <v>46066</v>
      </c>
      <c r="C852" t="s">
        <v>760</v>
      </c>
      <c r="D852" t="s">
        <v>28</v>
      </c>
      <c r="E852" t="s">
        <v>29</v>
      </c>
      <c r="F852">
        <v>53</v>
      </c>
      <c r="G852" t="s">
        <v>67</v>
      </c>
      <c r="H852" t="s">
        <v>68</v>
      </c>
      <c r="I852" t="s">
        <v>67</v>
      </c>
      <c r="J852" t="s">
        <v>201</v>
      </c>
      <c r="K852">
        <v>5</v>
      </c>
      <c r="L852">
        <v>35009</v>
      </c>
      <c r="M852">
        <v>0</v>
      </c>
      <c r="N852">
        <v>0</v>
      </c>
      <c r="O852">
        <v>31508.1</v>
      </c>
      <c r="P852">
        <v>316</v>
      </c>
      <c r="Q852">
        <v>206869.1</v>
      </c>
      <c r="R852" t="s">
        <v>45</v>
      </c>
      <c r="S852" t="s">
        <v>34</v>
      </c>
      <c r="T852" t="s">
        <v>46</v>
      </c>
      <c r="U852" t="s">
        <v>36</v>
      </c>
      <c r="V852" t="s">
        <v>37</v>
      </c>
      <c r="W852">
        <v>1</v>
      </c>
      <c r="X852" t="s">
        <v>47</v>
      </c>
      <c r="Y852">
        <v>3</v>
      </c>
      <c r="Z852" t="s">
        <v>58</v>
      </c>
    </row>
    <row r="853" spans="1:26" x14ac:dyDescent="0.3">
      <c r="A853" t="s">
        <v>1488</v>
      </c>
      <c r="B853" s="2">
        <v>45894</v>
      </c>
      <c r="C853" t="s">
        <v>1489</v>
      </c>
      <c r="D853" t="s">
        <v>80</v>
      </c>
      <c r="E853" t="s">
        <v>29</v>
      </c>
      <c r="F853">
        <v>30</v>
      </c>
      <c r="G853" t="s">
        <v>134</v>
      </c>
      <c r="H853" t="s">
        <v>31</v>
      </c>
      <c r="I853" t="s">
        <v>134</v>
      </c>
      <c r="J853" t="s">
        <v>150</v>
      </c>
      <c r="K853">
        <v>3</v>
      </c>
      <c r="L853">
        <v>26210</v>
      </c>
      <c r="M853">
        <v>20</v>
      </c>
      <c r="N853">
        <v>15726</v>
      </c>
      <c r="O853">
        <v>11322.72</v>
      </c>
      <c r="P853">
        <v>459</v>
      </c>
      <c r="Q853">
        <v>74685.72</v>
      </c>
      <c r="R853" t="s">
        <v>83</v>
      </c>
      <c r="S853" t="s">
        <v>34</v>
      </c>
      <c r="T853" t="s">
        <v>35</v>
      </c>
      <c r="U853" t="s">
        <v>36</v>
      </c>
      <c r="V853" t="s">
        <v>37</v>
      </c>
      <c r="W853">
        <v>2</v>
      </c>
      <c r="X853" t="s">
        <v>38</v>
      </c>
      <c r="Y853">
        <v>1</v>
      </c>
      <c r="Z853" t="s">
        <v>47</v>
      </c>
    </row>
    <row r="854" spans="1:26" x14ac:dyDescent="0.3">
      <c r="A854" t="s">
        <v>1490</v>
      </c>
      <c r="B854" s="2">
        <v>45877</v>
      </c>
      <c r="C854" t="s">
        <v>1185</v>
      </c>
      <c r="D854" t="s">
        <v>66</v>
      </c>
      <c r="E854" t="s">
        <v>29</v>
      </c>
      <c r="F854">
        <v>49</v>
      </c>
      <c r="G854" t="s">
        <v>51</v>
      </c>
      <c r="H854" t="s">
        <v>52</v>
      </c>
      <c r="I854" t="s">
        <v>51</v>
      </c>
      <c r="J854" t="s">
        <v>32</v>
      </c>
      <c r="K854">
        <v>4</v>
      </c>
      <c r="L854">
        <v>13804</v>
      </c>
      <c r="M854">
        <v>5</v>
      </c>
      <c r="N854">
        <v>2760.8</v>
      </c>
      <c r="O854">
        <v>9441.94</v>
      </c>
      <c r="P854">
        <v>349</v>
      </c>
      <c r="Q854">
        <v>62246.14</v>
      </c>
      <c r="R854" t="s">
        <v>33</v>
      </c>
      <c r="S854" t="s">
        <v>34</v>
      </c>
      <c r="T854" t="s">
        <v>70</v>
      </c>
      <c r="U854" t="s">
        <v>56</v>
      </c>
      <c r="V854" t="s">
        <v>57</v>
      </c>
      <c r="W854">
        <v>7</v>
      </c>
      <c r="X854" t="s">
        <v>47</v>
      </c>
      <c r="Y854">
        <v>5</v>
      </c>
      <c r="Z854" t="s">
        <v>47</v>
      </c>
    </row>
    <row r="855" spans="1:26" x14ac:dyDescent="0.3">
      <c r="A855" t="s">
        <v>1491</v>
      </c>
      <c r="B855" s="2">
        <v>45958</v>
      </c>
      <c r="C855" t="s">
        <v>412</v>
      </c>
      <c r="D855" t="s">
        <v>89</v>
      </c>
      <c r="E855" t="s">
        <v>43</v>
      </c>
      <c r="F855">
        <v>59</v>
      </c>
      <c r="G855" t="s">
        <v>44</v>
      </c>
      <c r="H855" t="s">
        <v>31</v>
      </c>
      <c r="I855" t="s">
        <v>44</v>
      </c>
      <c r="J855" t="s">
        <v>112</v>
      </c>
      <c r="K855">
        <v>2</v>
      </c>
      <c r="L855">
        <v>20640</v>
      </c>
      <c r="M855">
        <v>0</v>
      </c>
      <c r="N855">
        <v>0</v>
      </c>
      <c r="O855">
        <v>7430.4</v>
      </c>
      <c r="P855">
        <v>97</v>
      </c>
      <c r="Q855">
        <v>48807.4</v>
      </c>
      <c r="R855" t="s">
        <v>45</v>
      </c>
      <c r="S855" t="s">
        <v>34</v>
      </c>
      <c r="T855" t="s">
        <v>35</v>
      </c>
      <c r="U855" t="s">
        <v>36</v>
      </c>
      <c r="V855" t="s">
        <v>37</v>
      </c>
      <c r="W855">
        <v>6</v>
      </c>
      <c r="X855" t="s">
        <v>47</v>
      </c>
      <c r="Y855">
        <v>1</v>
      </c>
      <c r="Z855" t="s">
        <v>47</v>
      </c>
    </row>
    <row r="856" spans="1:26" x14ac:dyDescent="0.3">
      <c r="A856" t="s">
        <v>1492</v>
      </c>
      <c r="B856" s="2">
        <v>46085</v>
      </c>
      <c r="C856" t="s">
        <v>1493</v>
      </c>
      <c r="D856" t="s">
        <v>28</v>
      </c>
      <c r="E856" t="s">
        <v>43</v>
      </c>
      <c r="F856">
        <v>47</v>
      </c>
      <c r="G856" t="s">
        <v>67</v>
      </c>
      <c r="H856" t="s">
        <v>68</v>
      </c>
      <c r="I856" t="s">
        <v>67</v>
      </c>
      <c r="J856" t="s">
        <v>32</v>
      </c>
      <c r="K856">
        <v>4</v>
      </c>
      <c r="L856">
        <v>32637</v>
      </c>
      <c r="M856">
        <v>15</v>
      </c>
      <c r="N856">
        <v>19582.2</v>
      </c>
      <c r="O856">
        <v>19973.84</v>
      </c>
      <c r="P856">
        <v>162</v>
      </c>
      <c r="Q856">
        <v>131101.64000000001</v>
      </c>
      <c r="R856" t="s">
        <v>45</v>
      </c>
      <c r="S856" t="s">
        <v>63</v>
      </c>
      <c r="T856" t="s">
        <v>70</v>
      </c>
      <c r="U856" t="s">
        <v>56</v>
      </c>
      <c r="V856" t="s">
        <v>57</v>
      </c>
      <c r="W856">
        <v>3</v>
      </c>
      <c r="X856" t="s">
        <v>38</v>
      </c>
      <c r="Y856">
        <v>4</v>
      </c>
      <c r="Z856" t="s">
        <v>91</v>
      </c>
    </row>
    <row r="857" spans="1:26" x14ac:dyDescent="0.3">
      <c r="A857" t="s">
        <v>1494</v>
      </c>
      <c r="B857" s="2">
        <v>46105</v>
      </c>
      <c r="C857" t="s">
        <v>1495</v>
      </c>
      <c r="D857" t="s">
        <v>108</v>
      </c>
      <c r="E857" t="s">
        <v>29</v>
      </c>
      <c r="F857">
        <v>18</v>
      </c>
      <c r="G857" t="s">
        <v>67</v>
      </c>
      <c r="H857" t="s">
        <v>68</v>
      </c>
      <c r="I857" t="s">
        <v>67</v>
      </c>
      <c r="J857" t="s">
        <v>75</v>
      </c>
      <c r="K857">
        <v>5</v>
      </c>
      <c r="L857">
        <v>30196</v>
      </c>
      <c r="M857">
        <v>5</v>
      </c>
      <c r="N857">
        <v>7549</v>
      </c>
      <c r="O857">
        <v>25817.58</v>
      </c>
      <c r="P857">
        <v>472</v>
      </c>
      <c r="Q857">
        <v>169720.58</v>
      </c>
      <c r="R857" t="s">
        <v>54</v>
      </c>
      <c r="S857" t="s">
        <v>63</v>
      </c>
      <c r="T857" t="s">
        <v>70</v>
      </c>
      <c r="U857" t="s">
        <v>56</v>
      </c>
      <c r="V857" t="s">
        <v>57</v>
      </c>
      <c r="W857">
        <v>6</v>
      </c>
      <c r="X857" t="s">
        <v>38</v>
      </c>
      <c r="Y857">
        <v>1</v>
      </c>
      <c r="Z857" t="s">
        <v>47</v>
      </c>
    </row>
    <row r="858" spans="1:26" x14ac:dyDescent="0.3">
      <c r="A858" t="s">
        <v>1496</v>
      </c>
      <c r="B858" s="2">
        <v>45844</v>
      </c>
      <c r="C858" t="s">
        <v>1497</v>
      </c>
      <c r="D858" t="s">
        <v>108</v>
      </c>
      <c r="E858" t="s">
        <v>43</v>
      </c>
      <c r="F858">
        <v>21</v>
      </c>
      <c r="G858" t="s">
        <v>94</v>
      </c>
      <c r="H858" t="s">
        <v>31</v>
      </c>
      <c r="I858" t="s">
        <v>94</v>
      </c>
      <c r="J858" t="s">
        <v>150</v>
      </c>
      <c r="K858">
        <v>2</v>
      </c>
      <c r="L858">
        <v>22407</v>
      </c>
      <c r="M858">
        <v>5</v>
      </c>
      <c r="N858">
        <v>2240.6999999999998</v>
      </c>
      <c r="O858">
        <v>7663.19</v>
      </c>
      <c r="P858">
        <v>46</v>
      </c>
      <c r="Q858">
        <v>50282.49</v>
      </c>
      <c r="R858" t="s">
        <v>54</v>
      </c>
      <c r="S858" t="s">
        <v>34</v>
      </c>
      <c r="T858" t="s">
        <v>95</v>
      </c>
      <c r="U858" t="s">
        <v>96</v>
      </c>
      <c r="V858" t="s">
        <v>57</v>
      </c>
      <c r="W858">
        <v>4</v>
      </c>
      <c r="X858" t="s">
        <v>38</v>
      </c>
      <c r="Y858">
        <v>1</v>
      </c>
      <c r="Z858" t="s">
        <v>47</v>
      </c>
    </row>
    <row r="859" spans="1:26" x14ac:dyDescent="0.3">
      <c r="A859" t="s">
        <v>1498</v>
      </c>
      <c r="B859" s="2">
        <v>45767</v>
      </c>
      <c r="C859" t="s">
        <v>1499</v>
      </c>
      <c r="D859" t="s">
        <v>28</v>
      </c>
      <c r="E859" t="s">
        <v>43</v>
      </c>
      <c r="F859">
        <v>25</v>
      </c>
      <c r="G859" t="s">
        <v>134</v>
      </c>
      <c r="H859" t="s">
        <v>31</v>
      </c>
      <c r="I859" t="s">
        <v>134</v>
      </c>
      <c r="J859" t="s">
        <v>125</v>
      </c>
      <c r="K859">
        <v>4</v>
      </c>
      <c r="L859">
        <v>21850</v>
      </c>
      <c r="M859">
        <v>15</v>
      </c>
      <c r="N859">
        <v>13110</v>
      </c>
      <c r="O859">
        <v>13372.2</v>
      </c>
      <c r="P859">
        <v>303</v>
      </c>
      <c r="Q859">
        <v>87965.2</v>
      </c>
      <c r="R859" t="s">
        <v>45</v>
      </c>
      <c r="S859" t="s">
        <v>34</v>
      </c>
      <c r="T859" t="s">
        <v>95</v>
      </c>
      <c r="U859" t="s">
        <v>96</v>
      </c>
      <c r="V859" t="s">
        <v>57</v>
      </c>
      <c r="W859">
        <v>9</v>
      </c>
      <c r="X859" t="s">
        <v>47</v>
      </c>
      <c r="Y859">
        <v>3</v>
      </c>
      <c r="Z859" t="s">
        <v>91</v>
      </c>
    </row>
    <row r="860" spans="1:26" x14ac:dyDescent="0.3">
      <c r="A860" t="s">
        <v>1500</v>
      </c>
      <c r="B860" s="2">
        <v>45927</v>
      </c>
      <c r="C860" t="s">
        <v>1501</v>
      </c>
      <c r="D860" t="s">
        <v>111</v>
      </c>
      <c r="E860" t="s">
        <v>29</v>
      </c>
      <c r="F860">
        <v>31</v>
      </c>
      <c r="G860" t="s">
        <v>90</v>
      </c>
      <c r="H860" t="s">
        <v>31</v>
      </c>
      <c r="I860" t="s">
        <v>90</v>
      </c>
      <c r="J860" t="s">
        <v>69</v>
      </c>
      <c r="K860">
        <v>1</v>
      </c>
      <c r="L860">
        <v>24965</v>
      </c>
      <c r="M860">
        <v>20</v>
      </c>
      <c r="N860">
        <v>4993</v>
      </c>
      <c r="O860">
        <v>3594.96</v>
      </c>
      <c r="P860">
        <v>431</v>
      </c>
      <c r="Q860">
        <v>23997.96</v>
      </c>
      <c r="R860" t="s">
        <v>33</v>
      </c>
      <c r="S860" t="s">
        <v>34</v>
      </c>
      <c r="T860" t="s">
        <v>70</v>
      </c>
      <c r="U860" t="s">
        <v>56</v>
      </c>
      <c r="V860" t="s">
        <v>57</v>
      </c>
      <c r="W860">
        <v>1</v>
      </c>
      <c r="X860" t="s">
        <v>47</v>
      </c>
      <c r="Y860">
        <v>1</v>
      </c>
      <c r="Z860" t="s">
        <v>39</v>
      </c>
    </row>
    <row r="861" spans="1:26" x14ac:dyDescent="0.3">
      <c r="A861" t="s">
        <v>1502</v>
      </c>
      <c r="B861" s="2">
        <v>45993</v>
      </c>
      <c r="C861" t="s">
        <v>553</v>
      </c>
      <c r="D861" t="s">
        <v>73</v>
      </c>
      <c r="E861" t="s">
        <v>43</v>
      </c>
      <c r="F861">
        <v>24</v>
      </c>
      <c r="G861" t="s">
        <v>134</v>
      </c>
      <c r="H861" t="s">
        <v>31</v>
      </c>
      <c r="I861" t="s">
        <v>134</v>
      </c>
      <c r="J861" t="s">
        <v>150</v>
      </c>
      <c r="K861">
        <v>2</v>
      </c>
      <c r="L861">
        <v>44956</v>
      </c>
      <c r="M861">
        <v>15</v>
      </c>
      <c r="N861">
        <v>13486.8</v>
      </c>
      <c r="O861">
        <v>13756.54</v>
      </c>
      <c r="P861">
        <v>136</v>
      </c>
      <c r="Q861">
        <v>90317.74</v>
      </c>
      <c r="R861" t="s">
        <v>54</v>
      </c>
      <c r="S861" t="s">
        <v>63</v>
      </c>
      <c r="T861" t="s">
        <v>35</v>
      </c>
      <c r="U861" t="s">
        <v>36</v>
      </c>
      <c r="V861" t="s">
        <v>37</v>
      </c>
      <c r="W861">
        <v>1</v>
      </c>
      <c r="X861" t="s">
        <v>38</v>
      </c>
      <c r="Y861">
        <v>2</v>
      </c>
      <c r="Z861" t="s">
        <v>39</v>
      </c>
    </row>
    <row r="862" spans="1:26" x14ac:dyDescent="0.3">
      <c r="A862" t="s">
        <v>1503</v>
      </c>
      <c r="B862" s="2">
        <v>45792</v>
      </c>
      <c r="C862" t="s">
        <v>1504</v>
      </c>
      <c r="D862" t="s">
        <v>111</v>
      </c>
      <c r="E862" t="s">
        <v>29</v>
      </c>
      <c r="F862">
        <v>57</v>
      </c>
      <c r="G862" t="s">
        <v>90</v>
      </c>
      <c r="H862" t="s">
        <v>31</v>
      </c>
      <c r="I862" t="s">
        <v>90</v>
      </c>
      <c r="J862" t="s">
        <v>32</v>
      </c>
      <c r="K862">
        <v>3</v>
      </c>
      <c r="L862">
        <v>42360</v>
      </c>
      <c r="M862">
        <v>15</v>
      </c>
      <c r="N862">
        <v>19062</v>
      </c>
      <c r="O862">
        <v>19443.240000000002</v>
      </c>
      <c r="P862">
        <v>46</v>
      </c>
      <c r="Q862">
        <v>127507.24</v>
      </c>
      <c r="R862" t="s">
        <v>45</v>
      </c>
      <c r="S862" t="s">
        <v>34</v>
      </c>
      <c r="T862" t="s">
        <v>70</v>
      </c>
      <c r="U862" t="s">
        <v>56</v>
      </c>
      <c r="V862" t="s">
        <v>57</v>
      </c>
      <c r="W862">
        <v>6</v>
      </c>
      <c r="X862" t="s">
        <v>47</v>
      </c>
      <c r="Y862">
        <v>1</v>
      </c>
      <c r="Z862" t="s">
        <v>91</v>
      </c>
    </row>
    <row r="863" spans="1:26" x14ac:dyDescent="0.3">
      <c r="A863" t="s">
        <v>1505</v>
      </c>
      <c r="B863" s="2">
        <v>46065</v>
      </c>
      <c r="C863" t="s">
        <v>1077</v>
      </c>
      <c r="D863" t="s">
        <v>61</v>
      </c>
      <c r="E863" t="s">
        <v>43</v>
      </c>
      <c r="F863">
        <v>39</v>
      </c>
      <c r="G863" t="s">
        <v>99</v>
      </c>
      <c r="H863" t="s">
        <v>52</v>
      </c>
      <c r="I863" t="s">
        <v>99</v>
      </c>
      <c r="J863" t="s">
        <v>62</v>
      </c>
      <c r="K863">
        <v>2</v>
      </c>
      <c r="L863">
        <v>26834</v>
      </c>
      <c r="M863">
        <v>20</v>
      </c>
      <c r="N863">
        <v>10733.6</v>
      </c>
      <c r="O863">
        <v>7728.19</v>
      </c>
      <c r="P863">
        <v>488</v>
      </c>
      <c r="Q863">
        <v>51150.59</v>
      </c>
      <c r="R863" t="s">
        <v>54</v>
      </c>
      <c r="S863" t="s">
        <v>34</v>
      </c>
      <c r="T863" t="s">
        <v>35</v>
      </c>
      <c r="U863" t="s">
        <v>36</v>
      </c>
      <c r="V863" t="s">
        <v>37</v>
      </c>
      <c r="W863">
        <v>8</v>
      </c>
      <c r="X863" t="s">
        <v>47</v>
      </c>
      <c r="Y863">
        <v>4</v>
      </c>
      <c r="Z863" t="s">
        <v>91</v>
      </c>
    </row>
    <row r="864" spans="1:26" x14ac:dyDescent="0.3">
      <c r="A864" t="s">
        <v>1506</v>
      </c>
      <c r="B864" s="2">
        <v>45801</v>
      </c>
      <c r="C864" t="s">
        <v>375</v>
      </c>
      <c r="D864" t="s">
        <v>111</v>
      </c>
      <c r="E864" t="s">
        <v>43</v>
      </c>
      <c r="F864">
        <v>52</v>
      </c>
      <c r="G864" t="s">
        <v>44</v>
      </c>
      <c r="H864" t="s">
        <v>31</v>
      </c>
      <c r="I864" t="s">
        <v>44</v>
      </c>
      <c r="J864" t="s">
        <v>32</v>
      </c>
      <c r="K864">
        <v>4</v>
      </c>
      <c r="L864">
        <v>43417</v>
      </c>
      <c r="M864">
        <v>20</v>
      </c>
      <c r="N864">
        <v>34733.599999999999</v>
      </c>
      <c r="O864">
        <v>25008.19</v>
      </c>
      <c r="P864">
        <v>360</v>
      </c>
      <c r="Q864">
        <v>164302.59</v>
      </c>
      <c r="R864" t="s">
        <v>33</v>
      </c>
      <c r="S864" t="s">
        <v>63</v>
      </c>
      <c r="T864" t="s">
        <v>35</v>
      </c>
      <c r="U864" t="s">
        <v>36</v>
      </c>
      <c r="V864" t="s">
        <v>37</v>
      </c>
      <c r="W864">
        <v>5</v>
      </c>
      <c r="X864" t="s">
        <v>38</v>
      </c>
      <c r="Y864">
        <v>1</v>
      </c>
      <c r="Z864" t="s">
        <v>91</v>
      </c>
    </row>
    <row r="865" spans="1:26" x14ac:dyDescent="0.3">
      <c r="A865" t="s">
        <v>1507</v>
      </c>
      <c r="B865" s="2">
        <v>46078</v>
      </c>
      <c r="C865" t="s">
        <v>1508</v>
      </c>
      <c r="D865" t="s">
        <v>108</v>
      </c>
      <c r="E865" t="s">
        <v>29</v>
      </c>
      <c r="F865">
        <v>33</v>
      </c>
      <c r="G865" t="s">
        <v>67</v>
      </c>
      <c r="H865" t="s">
        <v>68</v>
      </c>
      <c r="I865" t="s">
        <v>67</v>
      </c>
      <c r="J865" t="s">
        <v>75</v>
      </c>
      <c r="K865">
        <v>5</v>
      </c>
      <c r="L865">
        <v>36728</v>
      </c>
      <c r="M865">
        <v>10</v>
      </c>
      <c r="N865">
        <v>18364</v>
      </c>
      <c r="O865">
        <v>29749.68</v>
      </c>
      <c r="P865">
        <v>119</v>
      </c>
      <c r="Q865">
        <v>195144.68</v>
      </c>
      <c r="R865" t="s">
        <v>54</v>
      </c>
      <c r="S865" t="s">
        <v>63</v>
      </c>
      <c r="T865" t="s">
        <v>103</v>
      </c>
      <c r="U865" t="s">
        <v>103</v>
      </c>
      <c r="V865" t="s">
        <v>57</v>
      </c>
      <c r="W865">
        <v>1</v>
      </c>
      <c r="X865" t="s">
        <v>47</v>
      </c>
      <c r="Y865">
        <v>4</v>
      </c>
      <c r="Z865" t="s">
        <v>39</v>
      </c>
    </row>
    <row r="866" spans="1:26" x14ac:dyDescent="0.3">
      <c r="A866" t="s">
        <v>1509</v>
      </c>
      <c r="B866" s="2">
        <v>45792</v>
      </c>
      <c r="C866" t="s">
        <v>1291</v>
      </c>
      <c r="D866" t="s">
        <v>108</v>
      </c>
      <c r="E866" t="s">
        <v>29</v>
      </c>
      <c r="F866">
        <v>25</v>
      </c>
      <c r="G866" t="s">
        <v>94</v>
      </c>
      <c r="H866" t="s">
        <v>31</v>
      </c>
      <c r="I866" t="s">
        <v>94</v>
      </c>
      <c r="J866" t="s">
        <v>125</v>
      </c>
      <c r="K866">
        <v>1</v>
      </c>
      <c r="L866">
        <v>41533</v>
      </c>
      <c r="M866">
        <v>0</v>
      </c>
      <c r="N866">
        <v>0</v>
      </c>
      <c r="O866">
        <v>7475.94</v>
      </c>
      <c r="P866">
        <v>229</v>
      </c>
      <c r="Q866">
        <v>49237.94</v>
      </c>
      <c r="R866" t="s">
        <v>83</v>
      </c>
      <c r="S866" t="s">
        <v>34</v>
      </c>
      <c r="T866" t="s">
        <v>46</v>
      </c>
      <c r="U866" t="s">
        <v>36</v>
      </c>
      <c r="V866" t="s">
        <v>37</v>
      </c>
      <c r="W866">
        <v>2</v>
      </c>
      <c r="X866" t="s">
        <v>47</v>
      </c>
      <c r="Y866">
        <v>5</v>
      </c>
      <c r="Z866" t="s">
        <v>91</v>
      </c>
    </row>
    <row r="867" spans="1:26" x14ac:dyDescent="0.3">
      <c r="A867" t="s">
        <v>1510</v>
      </c>
      <c r="B867" s="2">
        <v>46116</v>
      </c>
      <c r="C867" t="s">
        <v>1511</v>
      </c>
      <c r="D867" t="s">
        <v>28</v>
      </c>
      <c r="E867" t="s">
        <v>29</v>
      </c>
      <c r="F867">
        <v>55</v>
      </c>
      <c r="G867" t="s">
        <v>90</v>
      </c>
      <c r="H867" t="s">
        <v>31</v>
      </c>
      <c r="I867" t="s">
        <v>90</v>
      </c>
      <c r="J867" t="s">
        <v>112</v>
      </c>
      <c r="K867">
        <v>5</v>
      </c>
      <c r="L867">
        <v>30419</v>
      </c>
      <c r="M867">
        <v>10</v>
      </c>
      <c r="N867">
        <v>15209.5</v>
      </c>
      <c r="O867">
        <v>24639.39</v>
      </c>
      <c r="P867">
        <v>45</v>
      </c>
      <c r="Q867">
        <v>161569.89000000001</v>
      </c>
      <c r="R867" t="s">
        <v>45</v>
      </c>
      <c r="S867" t="s">
        <v>34</v>
      </c>
      <c r="T867" t="s">
        <v>46</v>
      </c>
      <c r="U867" t="s">
        <v>36</v>
      </c>
      <c r="V867" t="s">
        <v>37</v>
      </c>
      <c r="W867">
        <v>3</v>
      </c>
      <c r="X867" t="s">
        <v>38</v>
      </c>
      <c r="Y867">
        <v>4</v>
      </c>
      <c r="Z867" t="s">
        <v>91</v>
      </c>
    </row>
    <row r="868" spans="1:26" x14ac:dyDescent="0.3">
      <c r="A868" t="s">
        <v>1512</v>
      </c>
      <c r="B868" s="2">
        <v>45774</v>
      </c>
      <c r="C868" t="s">
        <v>1513</v>
      </c>
      <c r="D868" t="s">
        <v>73</v>
      </c>
      <c r="E868" t="s">
        <v>43</v>
      </c>
      <c r="F868">
        <v>24</v>
      </c>
      <c r="G868" t="s">
        <v>74</v>
      </c>
      <c r="H868" t="s">
        <v>31</v>
      </c>
      <c r="I868" t="s">
        <v>74</v>
      </c>
      <c r="J868" t="s">
        <v>102</v>
      </c>
      <c r="K868">
        <v>3</v>
      </c>
      <c r="L868">
        <v>41505</v>
      </c>
      <c r="M868">
        <v>20</v>
      </c>
      <c r="N868">
        <v>24903</v>
      </c>
      <c r="O868">
        <v>17930.16</v>
      </c>
      <c r="P868">
        <v>297</v>
      </c>
      <c r="Q868">
        <v>117839.16</v>
      </c>
      <c r="R868" t="s">
        <v>33</v>
      </c>
      <c r="S868" t="s">
        <v>63</v>
      </c>
      <c r="T868" t="s">
        <v>35</v>
      </c>
      <c r="U868" t="s">
        <v>36</v>
      </c>
      <c r="V868" t="s">
        <v>37</v>
      </c>
      <c r="W868">
        <v>1</v>
      </c>
      <c r="X868" t="s">
        <v>38</v>
      </c>
      <c r="Y868">
        <v>3</v>
      </c>
      <c r="Z868" t="s">
        <v>39</v>
      </c>
    </row>
    <row r="869" spans="1:26" x14ac:dyDescent="0.3">
      <c r="A869" t="s">
        <v>1514</v>
      </c>
      <c r="B869" s="2">
        <v>45759</v>
      </c>
      <c r="C869" t="s">
        <v>1515</v>
      </c>
      <c r="D869" t="s">
        <v>42</v>
      </c>
      <c r="E869" t="s">
        <v>29</v>
      </c>
      <c r="F869">
        <v>49</v>
      </c>
      <c r="G869" t="s">
        <v>51</v>
      </c>
      <c r="H869" t="s">
        <v>52</v>
      </c>
      <c r="I869" t="s">
        <v>51</v>
      </c>
      <c r="J869" t="s">
        <v>32</v>
      </c>
      <c r="K869">
        <v>3</v>
      </c>
      <c r="L869">
        <v>5310</v>
      </c>
      <c r="M869">
        <v>10</v>
      </c>
      <c r="N869">
        <v>1593</v>
      </c>
      <c r="O869">
        <v>2580.66</v>
      </c>
      <c r="P869">
        <v>400</v>
      </c>
      <c r="Q869">
        <v>17317.66</v>
      </c>
      <c r="R869" t="s">
        <v>33</v>
      </c>
      <c r="S869" t="s">
        <v>63</v>
      </c>
      <c r="T869" t="s">
        <v>103</v>
      </c>
      <c r="U869" t="s">
        <v>103</v>
      </c>
      <c r="V869" t="s">
        <v>57</v>
      </c>
      <c r="W869">
        <v>6</v>
      </c>
      <c r="X869" t="s">
        <v>38</v>
      </c>
      <c r="Y869">
        <v>5</v>
      </c>
      <c r="Z869" t="s">
        <v>47</v>
      </c>
    </row>
    <row r="870" spans="1:26" x14ac:dyDescent="0.3">
      <c r="A870" t="s">
        <v>1516</v>
      </c>
      <c r="B870" s="2">
        <v>46012</v>
      </c>
      <c r="C870" t="s">
        <v>239</v>
      </c>
      <c r="D870" t="s">
        <v>108</v>
      </c>
      <c r="E870" t="s">
        <v>43</v>
      </c>
      <c r="F870">
        <v>32</v>
      </c>
      <c r="G870" t="s">
        <v>134</v>
      </c>
      <c r="H870" t="s">
        <v>31</v>
      </c>
      <c r="I870" t="s">
        <v>134</v>
      </c>
      <c r="J870" t="s">
        <v>150</v>
      </c>
      <c r="K870">
        <v>4</v>
      </c>
      <c r="L870">
        <v>14528</v>
      </c>
      <c r="M870">
        <v>20</v>
      </c>
      <c r="N870">
        <v>11622.4</v>
      </c>
      <c r="O870">
        <v>8368.1299999999992</v>
      </c>
      <c r="P870">
        <v>121</v>
      </c>
      <c r="Q870">
        <v>54978.73</v>
      </c>
      <c r="R870" t="s">
        <v>45</v>
      </c>
      <c r="S870" t="s">
        <v>34</v>
      </c>
      <c r="T870" t="s">
        <v>55</v>
      </c>
      <c r="U870" t="s">
        <v>56</v>
      </c>
      <c r="V870" t="s">
        <v>57</v>
      </c>
      <c r="W870">
        <v>7</v>
      </c>
      <c r="X870" t="s">
        <v>38</v>
      </c>
      <c r="Y870">
        <v>5</v>
      </c>
      <c r="Z870" t="s">
        <v>58</v>
      </c>
    </row>
    <row r="871" spans="1:26" x14ac:dyDescent="0.3">
      <c r="A871" t="s">
        <v>1517</v>
      </c>
      <c r="B871" s="2">
        <v>45890</v>
      </c>
      <c r="C871" t="s">
        <v>1518</v>
      </c>
      <c r="D871" t="s">
        <v>61</v>
      </c>
      <c r="E871" t="s">
        <v>43</v>
      </c>
      <c r="F871">
        <v>34</v>
      </c>
      <c r="G871" t="s">
        <v>99</v>
      </c>
      <c r="H871" t="s">
        <v>52</v>
      </c>
      <c r="I871" t="s">
        <v>99</v>
      </c>
      <c r="J871" t="s">
        <v>150</v>
      </c>
      <c r="K871">
        <v>4</v>
      </c>
      <c r="L871">
        <v>29992</v>
      </c>
      <c r="M871">
        <v>5</v>
      </c>
      <c r="N871">
        <v>5998.4</v>
      </c>
      <c r="O871">
        <v>20514.53</v>
      </c>
      <c r="P871">
        <v>338</v>
      </c>
      <c r="Q871">
        <v>134822.13</v>
      </c>
      <c r="R871" t="s">
        <v>83</v>
      </c>
      <c r="S871" t="s">
        <v>63</v>
      </c>
      <c r="T871" t="s">
        <v>70</v>
      </c>
      <c r="U871" t="s">
        <v>56</v>
      </c>
      <c r="V871" t="s">
        <v>57</v>
      </c>
      <c r="W871">
        <v>4</v>
      </c>
      <c r="X871" t="s">
        <v>47</v>
      </c>
      <c r="Y871">
        <v>2</v>
      </c>
      <c r="Z871" t="s">
        <v>58</v>
      </c>
    </row>
    <row r="872" spans="1:26" x14ac:dyDescent="0.3">
      <c r="A872" t="s">
        <v>1519</v>
      </c>
      <c r="B872" s="2">
        <v>46009</v>
      </c>
      <c r="C872" t="s">
        <v>445</v>
      </c>
      <c r="D872" t="s">
        <v>50</v>
      </c>
      <c r="E872" t="s">
        <v>29</v>
      </c>
      <c r="F872">
        <v>28</v>
      </c>
      <c r="G872" t="s">
        <v>44</v>
      </c>
      <c r="H872" t="s">
        <v>31</v>
      </c>
      <c r="I872" t="s">
        <v>44</v>
      </c>
      <c r="J872" t="s">
        <v>150</v>
      </c>
      <c r="K872">
        <v>4</v>
      </c>
      <c r="L872">
        <v>29117</v>
      </c>
      <c r="M872">
        <v>15</v>
      </c>
      <c r="N872">
        <v>17470.2</v>
      </c>
      <c r="O872">
        <v>17819.599999999999</v>
      </c>
      <c r="P872">
        <v>300</v>
      </c>
      <c r="Q872">
        <v>117117.4</v>
      </c>
      <c r="R872" t="s">
        <v>45</v>
      </c>
      <c r="S872" t="s">
        <v>34</v>
      </c>
      <c r="T872" t="s">
        <v>46</v>
      </c>
      <c r="U872" t="s">
        <v>36</v>
      </c>
      <c r="V872" t="s">
        <v>37</v>
      </c>
      <c r="W872">
        <v>9</v>
      </c>
      <c r="X872" t="s">
        <v>38</v>
      </c>
      <c r="Y872">
        <v>5</v>
      </c>
      <c r="Z872" t="s">
        <v>58</v>
      </c>
    </row>
    <row r="873" spans="1:26" x14ac:dyDescent="0.3">
      <c r="A873" t="s">
        <v>1520</v>
      </c>
      <c r="B873" s="2">
        <v>45983</v>
      </c>
      <c r="C873" t="s">
        <v>1521</v>
      </c>
      <c r="D873" t="s">
        <v>28</v>
      </c>
      <c r="E873" t="s">
        <v>29</v>
      </c>
      <c r="F873">
        <v>32</v>
      </c>
      <c r="G873" t="s">
        <v>44</v>
      </c>
      <c r="H873" t="s">
        <v>31</v>
      </c>
      <c r="I873" t="s">
        <v>44</v>
      </c>
      <c r="J873" t="s">
        <v>32</v>
      </c>
      <c r="K873">
        <v>1</v>
      </c>
      <c r="L873">
        <v>6441</v>
      </c>
      <c r="M873">
        <v>20</v>
      </c>
      <c r="N873">
        <v>1288.2</v>
      </c>
      <c r="O873">
        <v>927.5</v>
      </c>
      <c r="P873">
        <v>124</v>
      </c>
      <c r="Q873">
        <v>6204.3</v>
      </c>
      <c r="R873" t="s">
        <v>45</v>
      </c>
      <c r="S873" t="s">
        <v>34</v>
      </c>
      <c r="T873" t="s">
        <v>76</v>
      </c>
      <c r="U873" t="s">
        <v>77</v>
      </c>
      <c r="V873" t="s">
        <v>57</v>
      </c>
      <c r="W873">
        <v>7</v>
      </c>
      <c r="X873" t="s">
        <v>38</v>
      </c>
      <c r="Y873">
        <v>3</v>
      </c>
      <c r="Z873" t="s">
        <v>91</v>
      </c>
    </row>
    <row r="874" spans="1:26" x14ac:dyDescent="0.3">
      <c r="A874" t="s">
        <v>1522</v>
      </c>
      <c r="B874" s="2">
        <v>45844</v>
      </c>
      <c r="C874" t="s">
        <v>1124</v>
      </c>
      <c r="D874" t="s">
        <v>66</v>
      </c>
      <c r="E874" t="s">
        <v>29</v>
      </c>
      <c r="F874">
        <v>25</v>
      </c>
      <c r="G874" t="s">
        <v>67</v>
      </c>
      <c r="H874" t="s">
        <v>68</v>
      </c>
      <c r="I874" t="s">
        <v>67</v>
      </c>
      <c r="J874" t="s">
        <v>112</v>
      </c>
      <c r="K874">
        <v>3</v>
      </c>
      <c r="L874">
        <v>23228</v>
      </c>
      <c r="M874">
        <v>15</v>
      </c>
      <c r="N874">
        <v>10452.6</v>
      </c>
      <c r="O874">
        <v>10661.65</v>
      </c>
      <c r="P874">
        <v>74</v>
      </c>
      <c r="Q874">
        <v>69967.05</v>
      </c>
      <c r="R874" t="s">
        <v>54</v>
      </c>
      <c r="S874" t="s">
        <v>63</v>
      </c>
      <c r="T874" t="s">
        <v>84</v>
      </c>
      <c r="U874" t="s">
        <v>85</v>
      </c>
      <c r="V874" t="s">
        <v>86</v>
      </c>
      <c r="W874">
        <v>4</v>
      </c>
      <c r="X874" t="s">
        <v>47</v>
      </c>
      <c r="Y874">
        <v>2</v>
      </c>
      <c r="Z874" t="s">
        <v>47</v>
      </c>
    </row>
    <row r="875" spans="1:26" x14ac:dyDescent="0.3">
      <c r="A875" t="s">
        <v>1523</v>
      </c>
      <c r="B875" s="2">
        <v>46090</v>
      </c>
      <c r="C875" t="s">
        <v>515</v>
      </c>
      <c r="D875" t="s">
        <v>89</v>
      </c>
      <c r="E875" t="s">
        <v>29</v>
      </c>
      <c r="F875">
        <v>53</v>
      </c>
      <c r="G875" t="s">
        <v>30</v>
      </c>
      <c r="H875" t="s">
        <v>31</v>
      </c>
      <c r="I875" t="s">
        <v>30</v>
      </c>
      <c r="J875" t="s">
        <v>62</v>
      </c>
      <c r="K875">
        <v>5</v>
      </c>
      <c r="L875">
        <v>13705</v>
      </c>
      <c r="M875">
        <v>20</v>
      </c>
      <c r="N875">
        <v>13705</v>
      </c>
      <c r="O875">
        <v>9867.6</v>
      </c>
      <c r="P875">
        <v>26</v>
      </c>
      <c r="Q875">
        <v>64713.599999999999</v>
      </c>
      <c r="R875" t="s">
        <v>33</v>
      </c>
      <c r="S875" t="s">
        <v>34</v>
      </c>
      <c r="T875" t="s">
        <v>76</v>
      </c>
      <c r="U875" t="s">
        <v>77</v>
      </c>
      <c r="V875" t="s">
        <v>57</v>
      </c>
      <c r="W875">
        <v>4</v>
      </c>
      <c r="X875" t="s">
        <v>47</v>
      </c>
      <c r="Y875">
        <v>3</v>
      </c>
      <c r="Z875" t="s">
        <v>91</v>
      </c>
    </row>
    <row r="876" spans="1:26" x14ac:dyDescent="0.3">
      <c r="A876" t="s">
        <v>1524</v>
      </c>
      <c r="B876" s="2">
        <v>46055</v>
      </c>
      <c r="C876" t="s">
        <v>669</v>
      </c>
      <c r="D876" t="s">
        <v>42</v>
      </c>
      <c r="E876" t="s">
        <v>29</v>
      </c>
      <c r="F876">
        <v>38</v>
      </c>
      <c r="G876" t="s">
        <v>67</v>
      </c>
      <c r="H876" t="s">
        <v>68</v>
      </c>
      <c r="I876" t="s">
        <v>67</v>
      </c>
      <c r="J876" t="s">
        <v>62</v>
      </c>
      <c r="K876">
        <v>2</v>
      </c>
      <c r="L876">
        <v>48561</v>
      </c>
      <c r="M876">
        <v>20</v>
      </c>
      <c r="N876">
        <v>19424.400000000001</v>
      </c>
      <c r="O876">
        <v>13985.57</v>
      </c>
      <c r="P876">
        <v>179</v>
      </c>
      <c r="Q876">
        <v>91862.17</v>
      </c>
      <c r="R876" t="s">
        <v>45</v>
      </c>
      <c r="S876" t="s">
        <v>34</v>
      </c>
      <c r="T876" t="s">
        <v>84</v>
      </c>
      <c r="U876" t="s">
        <v>85</v>
      </c>
      <c r="V876" t="s">
        <v>86</v>
      </c>
      <c r="W876">
        <v>1</v>
      </c>
      <c r="X876" t="s">
        <v>47</v>
      </c>
      <c r="Y876">
        <v>2</v>
      </c>
      <c r="Z876" t="s">
        <v>58</v>
      </c>
    </row>
    <row r="877" spans="1:26" x14ac:dyDescent="0.3">
      <c r="A877" t="s">
        <v>1525</v>
      </c>
      <c r="B877" s="2">
        <v>45839</v>
      </c>
      <c r="C877" t="s">
        <v>1526</v>
      </c>
      <c r="D877" t="s">
        <v>108</v>
      </c>
      <c r="E877" t="s">
        <v>43</v>
      </c>
      <c r="F877">
        <v>28</v>
      </c>
      <c r="G877" t="s">
        <v>51</v>
      </c>
      <c r="H877" t="s">
        <v>52</v>
      </c>
      <c r="I877" t="s">
        <v>51</v>
      </c>
      <c r="J877" t="s">
        <v>125</v>
      </c>
      <c r="K877">
        <v>2</v>
      </c>
      <c r="L877">
        <v>17048</v>
      </c>
      <c r="M877">
        <v>10</v>
      </c>
      <c r="N877">
        <v>3409.6</v>
      </c>
      <c r="O877">
        <v>5523.55</v>
      </c>
      <c r="P877">
        <v>126</v>
      </c>
      <c r="Q877">
        <v>36335.949999999997</v>
      </c>
      <c r="R877" t="s">
        <v>33</v>
      </c>
      <c r="S877" t="s">
        <v>63</v>
      </c>
      <c r="T877" t="s">
        <v>76</v>
      </c>
      <c r="U877" t="s">
        <v>77</v>
      </c>
      <c r="V877" t="s">
        <v>57</v>
      </c>
      <c r="W877">
        <v>6</v>
      </c>
      <c r="X877" t="s">
        <v>38</v>
      </c>
      <c r="Y877">
        <v>2</v>
      </c>
      <c r="Z877" t="s">
        <v>39</v>
      </c>
    </row>
    <row r="878" spans="1:26" x14ac:dyDescent="0.3">
      <c r="A878" t="s">
        <v>1527</v>
      </c>
      <c r="B878" s="2">
        <v>46092</v>
      </c>
      <c r="C878" t="s">
        <v>1528</v>
      </c>
      <c r="D878" t="s">
        <v>61</v>
      </c>
      <c r="E878" t="s">
        <v>29</v>
      </c>
      <c r="F878">
        <v>55</v>
      </c>
      <c r="G878" t="s">
        <v>44</v>
      </c>
      <c r="H878" t="s">
        <v>31</v>
      </c>
      <c r="I878" t="s">
        <v>44</v>
      </c>
      <c r="J878" t="s">
        <v>125</v>
      </c>
      <c r="K878">
        <v>2</v>
      </c>
      <c r="L878">
        <v>46981</v>
      </c>
      <c r="M878">
        <v>0</v>
      </c>
      <c r="N878">
        <v>0</v>
      </c>
      <c r="O878">
        <v>16913.16</v>
      </c>
      <c r="P878">
        <v>252</v>
      </c>
      <c r="Q878">
        <v>111127.16</v>
      </c>
      <c r="R878" t="s">
        <v>83</v>
      </c>
      <c r="S878" t="s">
        <v>34</v>
      </c>
      <c r="T878" t="s">
        <v>35</v>
      </c>
      <c r="U878" t="s">
        <v>36</v>
      </c>
      <c r="V878" t="s">
        <v>37</v>
      </c>
      <c r="W878">
        <v>4</v>
      </c>
      <c r="X878" t="s">
        <v>47</v>
      </c>
      <c r="Y878">
        <v>1</v>
      </c>
      <c r="Z878" t="s">
        <v>39</v>
      </c>
    </row>
    <row r="879" spans="1:26" x14ac:dyDescent="0.3">
      <c r="A879" t="s">
        <v>1529</v>
      </c>
      <c r="B879" s="2">
        <v>45892</v>
      </c>
      <c r="C879" t="s">
        <v>160</v>
      </c>
      <c r="D879" t="s">
        <v>73</v>
      </c>
      <c r="E879" t="s">
        <v>29</v>
      </c>
      <c r="F879">
        <v>59</v>
      </c>
      <c r="G879" t="s">
        <v>74</v>
      </c>
      <c r="H879" t="s">
        <v>31</v>
      </c>
      <c r="I879" t="s">
        <v>74</v>
      </c>
      <c r="J879" t="s">
        <v>125</v>
      </c>
      <c r="K879">
        <v>3</v>
      </c>
      <c r="L879">
        <v>42665</v>
      </c>
      <c r="M879">
        <v>10</v>
      </c>
      <c r="N879">
        <v>12799.5</v>
      </c>
      <c r="O879">
        <v>20735.189999999999</v>
      </c>
      <c r="P879">
        <v>452</v>
      </c>
      <c r="Q879">
        <v>136382.69</v>
      </c>
      <c r="R879" t="s">
        <v>33</v>
      </c>
      <c r="S879" t="s">
        <v>63</v>
      </c>
      <c r="T879" t="s">
        <v>103</v>
      </c>
      <c r="U879" t="s">
        <v>103</v>
      </c>
      <c r="V879" t="s">
        <v>57</v>
      </c>
      <c r="W879">
        <v>1</v>
      </c>
      <c r="X879" t="s">
        <v>38</v>
      </c>
      <c r="Y879">
        <v>3</v>
      </c>
      <c r="Z879" t="s">
        <v>58</v>
      </c>
    </row>
    <row r="880" spans="1:26" x14ac:dyDescent="0.3">
      <c r="A880" t="s">
        <v>1530</v>
      </c>
      <c r="B880" s="2">
        <v>46045</v>
      </c>
      <c r="C880" t="s">
        <v>1531</v>
      </c>
      <c r="D880" t="s">
        <v>73</v>
      </c>
      <c r="E880" t="s">
        <v>29</v>
      </c>
      <c r="F880">
        <v>42</v>
      </c>
      <c r="G880" t="s">
        <v>74</v>
      </c>
      <c r="H880" t="s">
        <v>31</v>
      </c>
      <c r="I880" t="s">
        <v>74</v>
      </c>
      <c r="J880" t="s">
        <v>150</v>
      </c>
      <c r="K880">
        <v>3</v>
      </c>
      <c r="L880">
        <v>33362</v>
      </c>
      <c r="M880">
        <v>0</v>
      </c>
      <c r="N880">
        <v>0</v>
      </c>
      <c r="O880">
        <v>18015.48</v>
      </c>
      <c r="P880">
        <v>429</v>
      </c>
      <c r="Q880">
        <v>118530.48</v>
      </c>
      <c r="R880" t="s">
        <v>33</v>
      </c>
      <c r="S880" t="s">
        <v>63</v>
      </c>
      <c r="T880" t="s">
        <v>95</v>
      </c>
      <c r="U880" t="s">
        <v>96</v>
      </c>
      <c r="V880" t="s">
        <v>57</v>
      </c>
      <c r="W880">
        <v>1</v>
      </c>
      <c r="X880" t="s">
        <v>38</v>
      </c>
      <c r="Y880">
        <v>2</v>
      </c>
      <c r="Z880" t="s">
        <v>47</v>
      </c>
    </row>
    <row r="881" spans="1:26" x14ac:dyDescent="0.3">
      <c r="A881" t="s">
        <v>1532</v>
      </c>
      <c r="B881" s="2">
        <v>45893</v>
      </c>
      <c r="C881" t="s">
        <v>477</v>
      </c>
      <c r="D881" t="s">
        <v>111</v>
      </c>
      <c r="E881" t="s">
        <v>29</v>
      </c>
      <c r="F881">
        <v>45</v>
      </c>
      <c r="G881" t="s">
        <v>134</v>
      </c>
      <c r="H881" t="s">
        <v>31</v>
      </c>
      <c r="I881" t="s">
        <v>134</v>
      </c>
      <c r="J881" t="s">
        <v>75</v>
      </c>
      <c r="K881">
        <v>1</v>
      </c>
      <c r="L881">
        <v>4860</v>
      </c>
      <c r="M881">
        <v>10</v>
      </c>
      <c r="N881">
        <v>486</v>
      </c>
      <c r="O881">
        <v>787.32</v>
      </c>
      <c r="P881">
        <v>245</v>
      </c>
      <c r="Q881">
        <v>5406.32</v>
      </c>
      <c r="R881" t="s">
        <v>33</v>
      </c>
      <c r="S881" t="s">
        <v>63</v>
      </c>
      <c r="T881" t="s">
        <v>103</v>
      </c>
      <c r="U881" t="s">
        <v>103</v>
      </c>
      <c r="V881" t="s">
        <v>57</v>
      </c>
      <c r="W881">
        <v>9</v>
      </c>
      <c r="X881" t="s">
        <v>47</v>
      </c>
      <c r="Y881">
        <v>5</v>
      </c>
      <c r="Z881" t="s">
        <v>58</v>
      </c>
    </row>
    <row r="882" spans="1:26" x14ac:dyDescent="0.3">
      <c r="A882" t="s">
        <v>1533</v>
      </c>
      <c r="B882" s="2">
        <v>45791</v>
      </c>
      <c r="C882" t="s">
        <v>225</v>
      </c>
      <c r="D882" t="s">
        <v>28</v>
      </c>
      <c r="E882" t="s">
        <v>43</v>
      </c>
      <c r="F882">
        <v>34</v>
      </c>
      <c r="G882" t="s">
        <v>30</v>
      </c>
      <c r="H882" t="s">
        <v>31</v>
      </c>
      <c r="I882" t="s">
        <v>30</v>
      </c>
      <c r="J882" t="s">
        <v>201</v>
      </c>
      <c r="K882">
        <v>3</v>
      </c>
      <c r="L882">
        <v>39078</v>
      </c>
      <c r="M882">
        <v>15</v>
      </c>
      <c r="N882">
        <v>17585.099999999999</v>
      </c>
      <c r="O882">
        <v>17936.8</v>
      </c>
      <c r="P882">
        <v>64</v>
      </c>
      <c r="Q882">
        <v>117649.7</v>
      </c>
      <c r="R882" t="s">
        <v>54</v>
      </c>
      <c r="S882" t="s">
        <v>63</v>
      </c>
      <c r="T882" t="s">
        <v>46</v>
      </c>
      <c r="U882" t="s">
        <v>36</v>
      </c>
      <c r="V882" t="s">
        <v>37</v>
      </c>
      <c r="W882">
        <v>7</v>
      </c>
      <c r="X882" t="s">
        <v>38</v>
      </c>
      <c r="Y882">
        <v>1</v>
      </c>
      <c r="Z882" t="s">
        <v>91</v>
      </c>
    </row>
    <row r="883" spans="1:26" x14ac:dyDescent="0.3">
      <c r="A883" t="s">
        <v>1534</v>
      </c>
      <c r="B883" s="2">
        <v>46105</v>
      </c>
      <c r="C883" t="s">
        <v>810</v>
      </c>
      <c r="D883" t="s">
        <v>42</v>
      </c>
      <c r="E883" t="s">
        <v>43</v>
      </c>
      <c r="F883">
        <v>47</v>
      </c>
      <c r="G883" t="s">
        <v>99</v>
      </c>
      <c r="H883" t="s">
        <v>52</v>
      </c>
      <c r="I883" t="s">
        <v>99</v>
      </c>
      <c r="J883" t="s">
        <v>53</v>
      </c>
      <c r="K883">
        <v>5</v>
      </c>
      <c r="L883">
        <v>5258</v>
      </c>
      <c r="M883">
        <v>15</v>
      </c>
      <c r="N883">
        <v>3943.5</v>
      </c>
      <c r="O883">
        <v>4022.37</v>
      </c>
      <c r="P883">
        <v>359</v>
      </c>
      <c r="Q883">
        <v>26727.87</v>
      </c>
      <c r="R883" t="s">
        <v>33</v>
      </c>
      <c r="S883" t="s">
        <v>63</v>
      </c>
      <c r="T883" t="s">
        <v>70</v>
      </c>
      <c r="U883" t="s">
        <v>56</v>
      </c>
      <c r="V883" t="s">
        <v>57</v>
      </c>
      <c r="W883">
        <v>10</v>
      </c>
      <c r="X883" t="s">
        <v>38</v>
      </c>
      <c r="Y883">
        <v>2</v>
      </c>
      <c r="Z883" t="s">
        <v>58</v>
      </c>
    </row>
    <row r="884" spans="1:26" x14ac:dyDescent="0.3">
      <c r="A884" t="s">
        <v>1535</v>
      </c>
      <c r="B884" s="2">
        <v>45782</v>
      </c>
      <c r="C884" t="s">
        <v>1536</v>
      </c>
      <c r="D884" t="s">
        <v>61</v>
      </c>
      <c r="E884" t="s">
        <v>29</v>
      </c>
      <c r="F884">
        <v>31</v>
      </c>
      <c r="G884" t="s">
        <v>44</v>
      </c>
      <c r="H884" t="s">
        <v>31</v>
      </c>
      <c r="I884" t="s">
        <v>44</v>
      </c>
      <c r="J884" t="s">
        <v>32</v>
      </c>
      <c r="K884">
        <v>5</v>
      </c>
      <c r="L884">
        <v>13845</v>
      </c>
      <c r="M884">
        <v>15</v>
      </c>
      <c r="N884">
        <v>10383.75</v>
      </c>
      <c r="O884">
        <v>10591.42</v>
      </c>
      <c r="P884">
        <v>169</v>
      </c>
      <c r="Q884">
        <v>69601.679999999993</v>
      </c>
      <c r="R884" t="s">
        <v>54</v>
      </c>
      <c r="S884" t="s">
        <v>63</v>
      </c>
      <c r="T884" t="s">
        <v>46</v>
      </c>
      <c r="U884" t="s">
        <v>36</v>
      </c>
      <c r="V884" t="s">
        <v>37</v>
      </c>
      <c r="W884">
        <v>10</v>
      </c>
      <c r="X884" t="s">
        <v>38</v>
      </c>
      <c r="Y884">
        <v>5</v>
      </c>
      <c r="Z884" t="s">
        <v>47</v>
      </c>
    </row>
    <row r="885" spans="1:26" x14ac:dyDescent="0.3">
      <c r="A885" t="s">
        <v>1537</v>
      </c>
      <c r="B885" s="2">
        <v>46034</v>
      </c>
      <c r="C885" t="s">
        <v>1538</v>
      </c>
      <c r="D885" t="s">
        <v>89</v>
      </c>
      <c r="E885" t="s">
        <v>29</v>
      </c>
      <c r="F885">
        <v>19</v>
      </c>
      <c r="G885" t="s">
        <v>30</v>
      </c>
      <c r="H885" t="s">
        <v>31</v>
      </c>
      <c r="I885" t="s">
        <v>30</v>
      </c>
      <c r="J885" t="s">
        <v>112</v>
      </c>
      <c r="K885">
        <v>3</v>
      </c>
      <c r="L885">
        <v>39216</v>
      </c>
      <c r="M885">
        <v>20</v>
      </c>
      <c r="N885">
        <v>23529.599999999999</v>
      </c>
      <c r="O885">
        <v>16941.310000000001</v>
      </c>
      <c r="P885">
        <v>13</v>
      </c>
      <c r="Q885">
        <v>111072.71</v>
      </c>
      <c r="R885" t="s">
        <v>33</v>
      </c>
      <c r="S885" t="s">
        <v>63</v>
      </c>
      <c r="T885" t="s">
        <v>103</v>
      </c>
      <c r="U885" t="s">
        <v>103</v>
      </c>
      <c r="V885" t="s">
        <v>57</v>
      </c>
      <c r="W885">
        <v>1</v>
      </c>
      <c r="X885" t="s">
        <v>47</v>
      </c>
      <c r="Y885">
        <v>4</v>
      </c>
      <c r="Z885" t="s">
        <v>39</v>
      </c>
    </row>
    <row r="886" spans="1:26" x14ac:dyDescent="0.3">
      <c r="A886" t="s">
        <v>1539</v>
      </c>
      <c r="B886" s="2">
        <v>46101</v>
      </c>
      <c r="C886" t="s">
        <v>1540</v>
      </c>
      <c r="D886" t="s">
        <v>42</v>
      </c>
      <c r="E886" t="s">
        <v>43</v>
      </c>
      <c r="F886">
        <v>40</v>
      </c>
      <c r="G886" t="s">
        <v>51</v>
      </c>
      <c r="H886" t="s">
        <v>52</v>
      </c>
      <c r="I886" t="s">
        <v>51</v>
      </c>
      <c r="J886" t="s">
        <v>69</v>
      </c>
      <c r="K886">
        <v>5</v>
      </c>
      <c r="L886">
        <v>21764</v>
      </c>
      <c r="M886">
        <v>20</v>
      </c>
      <c r="N886">
        <v>21764</v>
      </c>
      <c r="O886">
        <v>15670.08</v>
      </c>
      <c r="P886">
        <v>260</v>
      </c>
      <c r="Q886">
        <v>102986.08</v>
      </c>
      <c r="R886" t="s">
        <v>54</v>
      </c>
      <c r="S886" t="s">
        <v>34</v>
      </c>
      <c r="T886" t="s">
        <v>70</v>
      </c>
      <c r="U886" t="s">
        <v>56</v>
      </c>
      <c r="V886" t="s">
        <v>57</v>
      </c>
      <c r="W886">
        <v>2</v>
      </c>
      <c r="X886" t="s">
        <v>47</v>
      </c>
      <c r="Y886">
        <v>4</v>
      </c>
      <c r="Z886" t="s">
        <v>39</v>
      </c>
    </row>
    <row r="887" spans="1:26" x14ac:dyDescent="0.3">
      <c r="A887" t="s">
        <v>1541</v>
      </c>
      <c r="B887" s="2">
        <v>45765</v>
      </c>
      <c r="C887" t="s">
        <v>576</v>
      </c>
      <c r="D887" t="s">
        <v>61</v>
      </c>
      <c r="E887" t="s">
        <v>29</v>
      </c>
      <c r="F887">
        <v>21</v>
      </c>
      <c r="G887" t="s">
        <v>139</v>
      </c>
      <c r="H887" t="s">
        <v>31</v>
      </c>
      <c r="I887" t="s">
        <v>139</v>
      </c>
      <c r="J887" t="s">
        <v>62</v>
      </c>
      <c r="K887">
        <v>1</v>
      </c>
      <c r="L887">
        <v>35662</v>
      </c>
      <c r="M887">
        <v>20</v>
      </c>
      <c r="N887">
        <v>7132.4</v>
      </c>
      <c r="O887">
        <v>5135.33</v>
      </c>
      <c r="P887">
        <v>390</v>
      </c>
      <c r="Q887">
        <v>34054.93</v>
      </c>
      <c r="R887" t="s">
        <v>33</v>
      </c>
      <c r="S887" t="s">
        <v>63</v>
      </c>
      <c r="T887" t="s">
        <v>95</v>
      </c>
      <c r="U887" t="s">
        <v>96</v>
      </c>
      <c r="V887" t="s">
        <v>57</v>
      </c>
      <c r="W887">
        <v>5</v>
      </c>
      <c r="X887" t="s">
        <v>47</v>
      </c>
      <c r="Y887">
        <v>3</v>
      </c>
      <c r="Z887" t="s">
        <v>47</v>
      </c>
    </row>
    <row r="888" spans="1:26" x14ac:dyDescent="0.3">
      <c r="A888" t="s">
        <v>1542</v>
      </c>
      <c r="B888" s="2">
        <v>46079</v>
      </c>
      <c r="C888" t="s">
        <v>1543</v>
      </c>
      <c r="D888" t="s">
        <v>108</v>
      </c>
      <c r="E888" t="s">
        <v>29</v>
      </c>
      <c r="F888">
        <v>26</v>
      </c>
      <c r="G888" t="s">
        <v>139</v>
      </c>
      <c r="H888" t="s">
        <v>31</v>
      </c>
      <c r="I888" t="s">
        <v>139</v>
      </c>
      <c r="J888" t="s">
        <v>125</v>
      </c>
      <c r="K888">
        <v>2</v>
      </c>
      <c r="L888">
        <v>32832</v>
      </c>
      <c r="M888">
        <v>10</v>
      </c>
      <c r="N888">
        <v>6566.4</v>
      </c>
      <c r="O888">
        <v>10637.57</v>
      </c>
      <c r="P888">
        <v>492</v>
      </c>
      <c r="Q888">
        <v>70227.17</v>
      </c>
      <c r="R888" t="s">
        <v>45</v>
      </c>
      <c r="S888" t="s">
        <v>63</v>
      </c>
      <c r="T888" t="s">
        <v>103</v>
      </c>
      <c r="U888" t="s">
        <v>103</v>
      </c>
      <c r="V888" t="s">
        <v>57</v>
      </c>
      <c r="W888">
        <v>3</v>
      </c>
      <c r="X888" t="s">
        <v>47</v>
      </c>
      <c r="Y888">
        <v>4</v>
      </c>
      <c r="Z888" t="s">
        <v>39</v>
      </c>
    </row>
    <row r="889" spans="1:26" x14ac:dyDescent="0.3">
      <c r="A889" t="s">
        <v>1544</v>
      </c>
      <c r="B889" s="2">
        <v>46043</v>
      </c>
      <c r="C889" t="s">
        <v>921</v>
      </c>
      <c r="D889" t="s">
        <v>108</v>
      </c>
      <c r="E889" t="s">
        <v>43</v>
      </c>
      <c r="F889">
        <v>51</v>
      </c>
      <c r="G889" t="s">
        <v>139</v>
      </c>
      <c r="H889" t="s">
        <v>31</v>
      </c>
      <c r="I889" t="s">
        <v>139</v>
      </c>
      <c r="J889" t="s">
        <v>62</v>
      </c>
      <c r="K889">
        <v>5</v>
      </c>
      <c r="L889">
        <v>42505</v>
      </c>
      <c r="M889">
        <v>15</v>
      </c>
      <c r="N889">
        <v>31878.75</v>
      </c>
      <c r="O889">
        <v>32516.32</v>
      </c>
      <c r="P889">
        <v>414</v>
      </c>
      <c r="Q889">
        <v>213576.58</v>
      </c>
      <c r="R889" t="s">
        <v>45</v>
      </c>
      <c r="S889" t="s">
        <v>34</v>
      </c>
      <c r="T889" t="s">
        <v>35</v>
      </c>
      <c r="U889" t="s">
        <v>36</v>
      </c>
      <c r="V889" t="s">
        <v>37</v>
      </c>
      <c r="W889">
        <v>7</v>
      </c>
      <c r="X889" t="s">
        <v>38</v>
      </c>
      <c r="Y889">
        <v>2</v>
      </c>
      <c r="Z889" t="s">
        <v>47</v>
      </c>
    </row>
    <row r="890" spans="1:26" x14ac:dyDescent="0.3">
      <c r="A890" t="s">
        <v>1545</v>
      </c>
      <c r="B890" s="2">
        <v>45814</v>
      </c>
      <c r="C890" t="s">
        <v>1087</v>
      </c>
      <c r="D890" t="s">
        <v>42</v>
      </c>
      <c r="E890" t="s">
        <v>29</v>
      </c>
      <c r="F890">
        <v>60</v>
      </c>
      <c r="G890" t="s">
        <v>30</v>
      </c>
      <c r="H890" t="s">
        <v>31</v>
      </c>
      <c r="I890" t="s">
        <v>30</v>
      </c>
      <c r="J890" t="s">
        <v>102</v>
      </c>
      <c r="K890">
        <v>4</v>
      </c>
      <c r="L890">
        <v>42685</v>
      </c>
      <c r="M890">
        <v>20</v>
      </c>
      <c r="N890">
        <v>34148</v>
      </c>
      <c r="O890">
        <v>24586.560000000001</v>
      </c>
      <c r="P890">
        <v>281</v>
      </c>
      <c r="Q890">
        <v>161459.56</v>
      </c>
      <c r="R890" t="s">
        <v>54</v>
      </c>
      <c r="S890" t="s">
        <v>34</v>
      </c>
      <c r="T890" t="s">
        <v>70</v>
      </c>
      <c r="U890" t="s">
        <v>56</v>
      </c>
      <c r="V890" t="s">
        <v>57</v>
      </c>
      <c r="W890">
        <v>4</v>
      </c>
      <c r="X890" t="s">
        <v>47</v>
      </c>
      <c r="Y890">
        <v>4</v>
      </c>
      <c r="Z890" t="s">
        <v>39</v>
      </c>
    </row>
    <row r="891" spans="1:26" x14ac:dyDescent="0.3">
      <c r="A891" t="s">
        <v>1546</v>
      </c>
      <c r="B891" s="2">
        <v>45969</v>
      </c>
      <c r="C891" t="s">
        <v>1547</v>
      </c>
      <c r="D891" t="s">
        <v>28</v>
      </c>
      <c r="E891" t="s">
        <v>29</v>
      </c>
      <c r="F891">
        <v>42</v>
      </c>
      <c r="G891" t="s">
        <v>94</v>
      </c>
      <c r="H891" t="s">
        <v>31</v>
      </c>
      <c r="I891" t="s">
        <v>94</v>
      </c>
      <c r="J891" t="s">
        <v>150</v>
      </c>
      <c r="K891">
        <v>4</v>
      </c>
      <c r="L891">
        <v>38588</v>
      </c>
      <c r="M891">
        <v>5</v>
      </c>
      <c r="N891">
        <v>7717.6</v>
      </c>
      <c r="O891">
        <v>26394.19</v>
      </c>
      <c r="P891">
        <v>304</v>
      </c>
      <c r="Q891">
        <v>173332.59</v>
      </c>
      <c r="R891" t="s">
        <v>45</v>
      </c>
      <c r="S891" t="s">
        <v>34</v>
      </c>
      <c r="T891" t="s">
        <v>76</v>
      </c>
      <c r="U891" t="s">
        <v>77</v>
      </c>
      <c r="V891" t="s">
        <v>57</v>
      </c>
      <c r="W891">
        <v>10</v>
      </c>
      <c r="X891" t="s">
        <v>47</v>
      </c>
      <c r="Y891">
        <v>3</v>
      </c>
      <c r="Z891" t="s">
        <v>58</v>
      </c>
    </row>
    <row r="892" spans="1:26" x14ac:dyDescent="0.3">
      <c r="A892" t="s">
        <v>1548</v>
      </c>
      <c r="B892" s="2">
        <v>45888</v>
      </c>
      <c r="C892" t="s">
        <v>141</v>
      </c>
      <c r="D892" t="s">
        <v>61</v>
      </c>
      <c r="E892" t="s">
        <v>43</v>
      </c>
      <c r="F892">
        <v>27</v>
      </c>
      <c r="G892" t="s">
        <v>44</v>
      </c>
      <c r="H892" t="s">
        <v>31</v>
      </c>
      <c r="I892" t="s">
        <v>44</v>
      </c>
      <c r="J892" t="s">
        <v>62</v>
      </c>
      <c r="K892">
        <v>4</v>
      </c>
      <c r="L892">
        <v>13547</v>
      </c>
      <c r="M892">
        <v>15</v>
      </c>
      <c r="N892">
        <v>8128.2</v>
      </c>
      <c r="O892">
        <v>8290.76</v>
      </c>
      <c r="P892">
        <v>303</v>
      </c>
      <c r="Q892">
        <v>54653.56</v>
      </c>
      <c r="R892" t="s">
        <v>33</v>
      </c>
      <c r="S892" t="s">
        <v>34</v>
      </c>
      <c r="T892" t="s">
        <v>103</v>
      </c>
      <c r="U892" t="s">
        <v>103</v>
      </c>
      <c r="V892" t="s">
        <v>57</v>
      </c>
      <c r="W892">
        <v>3</v>
      </c>
      <c r="X892" t="s">
        <v>47</v>
      </c>
      <c r="Y892">
        <v>4</v>
      </c>
      <c r="Z892" t="s">
        <v>39</v>
      </c>
    </row>
    <row r="893" spans="1:26" x14ac:dyDescent="0.3">
      <c r="A893" t="s">
        <v>1549</v>
      </c>
      <c r="B893" s="2">
        <v>45886</v>
      </c>
      <c r="C893" t="s">
        <v>806</v>
      </c>
      <c r="D893" t="s">
        <v>28</v>
      </c>
      <c r="E893" t="s">
        <v>43</v>
      </c>
      <c r="F893">
        <v>53</v>
      </c>
      <c r="G893" t="s">
        <v>99</v>
      </c>
      <c r="H893" t="s">
        <v>52</v>
      </c>
      <c r="I893" t="s">
        <v>99</v>
      </c>
      <c r="J893" t="s">
        <v>62</v>
      </c>
      <c r="K893">
        <v>3</v>
      </c>
      <c r="L893">
        <v>21239</v>
      </c>
      <c r="M893">
        <v>0</v>
      </c>
      <c r="N893">
        <v>0</v>
      </c>
      <c r="O893">
        <v>11469.06</v>
      </c>
      <c r="P893">
        <v>442</v>
      </c>
      <c r="Q893">
        <v>75628.06</v>
      </c>
      <c r="R893" t="s">
        <v>45</v>
      </c>
      <c r="S893" t="s">
        <v>34</v>
      </c>
      <c r="T893" t="s">
        <v>76</v>
      </c>
      <c r="U893" t="s">
        <v>77</v>
      </c>
      <c r="V893" t="s">
        <v>57</v>
      </c>
      <c r="W893">
        <v>2</v>
      </c>
      <c r="X893" t="s">
        <v>47</v>
      </c>
      <c r="Y893">
        <v>3</v>
      </c>
      <c r="Z893" t="s">
        <v>91</v>
      </c>
    </row>
    <row r="894" spans="1:26" x14ac:dyDescent="0.3">
      <c r="A894" t="s">
        <v>1550</v>
      </c>
      <c r="B894" s="2">
        <v>45794</v>
      </c>
      <c r="C894" t="s">
        <v>484</v>
      </c>
      <c r="D894" t="s">
        <v>111</v>
      </c>
      <c r="E894" t="s">
        <v>43</v>
      </c>
      <c r="F894">
        <v>31</v>
      </c>
      <c r="G894" t="s">
        <v>44</v>
      </c>
      <c r="H894" t="s">
        <v>31</v>
      </c>
      <c r="I894" t="s">
        <v>44</v>
      </c>
      <c r="J894" t="s">
        <v>53</v>
      </c>
      <c r="K894">
        <v>5</v>
      </c>
      <c r="L894">
        <v>29270</v>
      </c>
      <c r="M894">
        <v>5</v>
      </c>
      <c r="N894">
        <v>7317.5</v>
      </c>
      <c r="O894">
        <v>25025.85</v>
      </c>
      <c r="P894">
        <v>96</v>
      </c>
      <c r="Q894">
        <v>164154.35</v>
      </c>
      <c r="R894" t="s">
        <v>33</v>
      </c>
      <c r="S894" t="s">
        <v>34</v>
      </c>
      <c r="T894" t="s">
        <v>55</v>
      </c>
      <c r="U894" t="s">
        <v>56</v>
      </c>
      <c r="V894" t="s">
        <v>57</v>
      </c>
      <c r="W894">
        <v>3</v>
      </c>
      <c r="X894" t="s">
        <v>47</v>
      </c>
      <c r="Y894">
        <v>5</v>
      </c>
      <c r="Z894" t="s">
        <v>58</v>
      </c>
    </row>
    <row r="895" spans="1:26" x14ac:dyDescent="0.3">
      <c r="A895" t="s">
        <v>1551</v>
      </c>
      <c r="B895" s="2">
        <v>46089</v>
      </c>
      <c r="C895" t="s">
        <v>231</v>
      </c>
      <c r="D895" t="s">
        <v>42</v>
      </c>
      <c r="E895" t="s">
        <v>29</v>
      </c>
      <c r="F895">
        <v>50</v>
      </c>
      <c r="G895" t="s">
        <v>134</v>
      </c>
      <c r="H895" t="s">
        <v>31</v>
      </c>
      <c r="I895" t="s">
        <v>134</v>
      </c>
      <c r="J895" t="s">
        <v>112</v>
      </c>
      <c r="K895">
        <v>2</v>
      </c>
      <c r="L895">
        <v>21419</v>
      </c>
      <c r="M895">
        <v>5</v>
      </c>
      <c r="N895">
        <v>2141.9</v>
      </c>
      <c r="O895">
        <v>7325.3</v>
      </c>
      <c r="P895">
        <v>117</v>
      </c>
      <c r="Q895">
        <v>48138.400000000001</v>
      </c>
      <c r="R895" t="s">
        <v>45</v>
      </c>
      <c r="S895" t="s">
        <v>34</v>
      </c>
      <c r="T895" t="s">
        <v>70</v>
      </c>
      <c r="U895" t="s">
        <v>56</v>
      </c>
      <c r="V895" t="s">
        <v>57</v>
      </c>
      <c r="W895">
        <v>4</v>
      </c>
      <c r="X895" t="s">
        <v>38</v>
      </c>
      <c r="Y895">
        <v>5</v>
      </c>
      <c r="Z895" t="s">
        <v>58</v>
      </c>
    </row>
    <row r="896" spans="1:26" x14ac:dyDescent="0.3">
      <c r="A896" t="s">
        <v>1552</v>
      </c>
      <c r="B896" s="2">
        <v>46025</v>
      </c>
      <c r="C896" t="s">
        <v>1553</v>
      </c>
      <c r="D896" t="s">
        <v>28</v>
      </c>
      <c r="E896" t="s">
        <v>43</v>
      </c>
      <c r="F896">
        <v>32</v>
      </c>
      <c r="G896" t="s">
        <v>51</v>
      </c>
      <c r="H896" t="s">
        <v>52</v>
      </c>
      <c r="I896" t="s">
        <v>51</v>
      </c>
      <c r="J896" t="s">
        <v>75</v>
      </c>
      <c r="K896">
        <v>1</v>
      </c>
      <c r="L896">
        <v>49049</v>
      </c>
      <c r="M896">
        <v>0</v>
      </c>
      <c r="N896">
        <v>0</v>
      </c>
      <c r="O896">
        <v>8828.82</v>
      </c>
      <c r="P896">
        <v>224</v>
      </c>
      <c r="Q896">
        <v>58101.82</v>
      </c>
      <c r="R896" t="s">
        <v>45</v>
      </c>
      <c r="S896" t="s">
        <v>63</v>
      </c>
      <c r="T896" t="s">
        <v>55</v>
      </c>
      <c r="U896" t="s">
        <v>56</v>
      </c>
      <c r="V896" t="s">
        <v>57</v>
      </c>
      <c r="W896">
        <v>5</v>
      </c>
      <c r="X896" t="s">
        <v>47</v>
      </c>
      <c r="Y896">
        <v>1</v>
      </c>
      <c r="Z896" t="s">
        <v>39</v>
      </c>
    </row>
    <row r="897" spans="1:26" x14ac:dyDescent="0.3">
      <c r="A897" t="s">
        <v>1554</v>
      </c>
      <c r="B897" s="2">
        <v>46011</v>
      </c>
      <c r="C897" t="s">
        <v>447</v>
      </c>
      <c r="D897" t="s">
        <v>108</v>
      </c>
      <c r="E897" t="s">
        <v>43</v>
      </c>
      <c r="F897">
        <v>19</v>
      </c>
      <c r="G897" t="s">
        <v>90</v>
      </c>
      <c r="H897" t="s">
        <v>31</v>
      </c>
      <c r="I897" t="s">
        <v>90</v>
      </c>
      <c r="J897" t="s">
        <v>102</v>
      </c>
      <c r="K897">
        <v>3</v>
      </c>
      <c r="L897">
        <v>49307</v>
      </c>
      <c r="M897">
        <v>5</v>
      </c>
      <c r="N897">
        <v>7396.05</v>
      </c>
      <c r="O897">
        <v>25294.49</v>
      </c>
      <c r="P897">
        <v>113</v>
      </c>
      <c r="Q897">
        <v>165932.44</v>
      </c>
      <c r="R897" t="s">
        <v>54</v>
      </c>
      <c r="S897" t="s">
        <v>34</v>
      </c>
      <c r="T897" t="s">
        <v>76</v>
      </c>
      <c r="U897" t="s">
        <v>77</v>
      </c>
      <c r="V897" t="s">
        <v>57</v>
      </c>
      <c r="W897">
        <v>8</v>
      </c>
      <c r="X897" t="s">
        <v>38</v>
      </c>
      <c r="Y897">
        <v>3</v>
      </c>
      <c r="Z897" t="s">
        <v>39</v>
      </c>
    </row>
    <row r="898" spans="1:26" x14ac:dyDescent="0.3">
      <c r="A898" t="s">
        <v>1555</v>
      </c>
      <c r="B898" s="2">
        <v>45864</v>
      </c>
      <c r="C898" t="s">
        <v>1032</v>
      </c>
      <c r="D898" t="s">
        <v>42</v>
      </c>
      <c r="E898" t="s">
        <v>43</v>
      </c>
      <c r="F898">
        <v>50</v>
      </c>
      <c r="G898" t="s">
        <v>30</v>
      </c>
      <c r="H898" t="s">
        <v>31</v>
      </c>
      <c r="I898" t="s">
        <v>30</v>
      </c>
      <c r="J898" t="s">
        <v>53</v>
      </c>
      <c r="K898">
        <v>1</v>
      </c>
      <c r="L898">
        <v>16899</v>
      </c>
      <c r="M898">
        <v>15</v>
      </c>
      <c r="N898">
        <v>2534.85</v>
      </c>
      <c r="O898">
        <v>2585.5500000000002</v>
      </c>
      <c r="P898">
        <v>2</v>
      </c>
      <c r="Q898">
        <v>16951.7</v>
      </c>
      <c r="R898" t="s">
        <v>54</v>
      </c>
      <c r="S898" t="s">
        <v>34</v>
      </c>
      <c r="T898" t="s">
        <v>70</v>
      </c>
      <c r="U898" t="s">
        <v>56</v>
      </c>
      <c r="V898" t="s">
        <v>57</v>
      </c>
      <c r="W898">
        <v>10</v>
      </c>
      <c r="X898" t="s">
        <v>38</v>
      </c>
      <c r="Y898">
        <v>4</v>
      </c>
      <c r="Z898" t="s">
        <v>39</v>
      </c>
    </row>
    <row r="899" spans="1:26" x14ac:dyDescent="0.3">
      <c r="A899" t="s">
        <v>1556</v>
      </c>
      <c r="B899" s="2">
        <v>45842</v>
      </c>
      <c r="C899" t="s">
        <v>49</v>
      </c>
      <c r="D899" t="s">
        <v>61</v>
      </c>
      <c r="E899" t="s">
        <v>43</v>
      </c>
      <c r="F899">
        <v>30</v>
      </c>
      <c r="G899" t="s">
        <v>99</v>
      </c>
      <c r="H899" t="s">
        <v>52</v>
      </c>
      <c r="I899" t="s">
        <v>99</v>
      </c>
      <c r="J899" t="s">
        <v>62</v>
      </c>
      <c r="K899">
        <v>3</v>
      </c>
      <c r="L899">
        <v>48086</v>
      </c>
      <c r="M899">
        <v>5</v>
      </c>
      <c r="N899">
        <v>7212.9</v>
      </c>
      <c r="O899">
        <v>24668.12</v>
      </c>
      <c r="P899">
        <v>82</v>
      </c>
      <c r="Q899">
        <v>161795.22</v>
      </c>
      <c r="R899" t="s">
        <v>83</v>
      </c>
      <c r="S899" t="s">
        <v>63</v>
      </c>
      <c r="T899" t="s">
        <v>46</v>
      </c>
      <c r="U899" t="s">
        <v>36</v>
      </c>
      <c r="V899" t="s">
        <v>37</v>
      </c>
      <c r="W899">
        <v>6</v>
      </c>
      <c r="X899" t="s">
        <v>47</v>
      </c>
      <c r="Y899">
        <v>1</v>
      </c>
      <c r="Z899" t="s">
        <v>91</v>
      </c>
    </row>
    <row r="900" spans="1:26" x14ac:dyDescent="0.3">
      <c r="A900" t="s">
        <v>1557</v>
      </c>
      <c r="B900" s="2">
        <v>45859</v>
      </c>
      <c r="C900" t="s">
        <v>899</v>
      </c>
      <c r="D900" t="s">
        <v>80</v>
      </c>
      <c r="E900" t="s">
        <v>43</v>
      </c>
      <c r="F900">
        <v>59</v>
      </c>
      <c r="G900" t="s">
        <v>94</v>
      </c>
      <c r="H900" t="s">
        <v>31</v>
      </c>
      <c r="I900" t="s">
        <v>94</v>
      </c>
      <c r="J900" t="s">
        <v>112</v>
      </c>
      <c r="K900">
        <v>2</v>
      </c>
      <c r="L900">
        <v>39784</v>
      </c>
      <c r="M900">
        <v>10</v>
      </c>
      <c r="N900">
        <v>7956.8</v>
      </c>
      <c r="O900">
        <v>12890.02</v>
      </c>
      <c r="P900">
        <v>184</v>
      </c>
      <c r="Q900">
        <v>84685.22</v>
      </c>
      <c r="R900" t="s">
        <v>45</v>
      </c>
      <c r="S900" t="s">
        <v>63</v>
      </c>
      <c r="T900" t="s">
        <v>46</v>
      </c>
      <c r="U900" t="s">
        <v>36</v>
      </c>
      <c r="V900" t="s">
        <v>37</v>
      </c>
      <c r="W900">
        <v>6</v>
      </c>
      <c r="X900" t="s">
        <v>38</v>
      </c>
      <c r="Y900">
        <v>3</v>
      </c>
      <c r="Z900" t="s">
        <v>91</v>
      </c>
    </row>
    <row r="901" spans="1:26" x14ac:dyDescent="0.3">
      <c r="A901" t="s">
        <v>1558</v>
      </c>
      <c r="B901" s="2">
        <v>45791</v>
      </c>
      <c r="C901" t="s">
        <v>1559</v>
      </c>
      <c r="D901" t="s">
        <v>42</v>
      </c>
      <c r="E901" t="s">
        <v>29</v>
      </c>
      <c r="F901">
        <v>58</v>
      </c>
      <c r="G901" t="s">
        <v>134</v>
      </c>
      <c r="H901" t="s">
        <v>31</v>
      </c>
      <c r="I901" t="s">
        <v>134</v>
      </c>
      <c r="J901" t="s">
        <v>125</v>
      </c>
      <c r="K901">
        <v>1</v>
      </c>
      <c r="L901">
        <v>17849</v>
      </c>
      <c r="M901">
        <v>15</v>
      </c>
      <c r="N901">
        <v>2677.35</v>
      </c>
      <c r="O901">
        <v>2730.9</v>
      </c>
      <c r="P901">
        <v>268</v>
      </c>
      <c r="Q901">
        <v>18170.55</v>
      </c>
      <c r="R901" t="s">
        <v>83</v>
      </c>
      <c r="S901" t="s">
        <v>63</v>
      </c>
      <c r="T901" t="s">
        <v>46</v>
      </c>
      <c r="U901" t="s">
        <v>36</v>
      </c>
      <c r="V901" t="s">
        <v>37</v>
      </c>
      <c r="W901">
        <v>3</v>
      </c>
      <c r="X901" t="s">
        <v>38</v>
      </c>
      <c r="Y901">
        <v>4</v>
      </c>
      <c r="Z901" t="s">
        <v>91</v>
      </c>
    </row>
    <row r="902" spans="1:26" x14ac:dyDescent="0.3">
      <c r="A902" t="s">
        <v>1560</v>
      </c>
      <c r="B902" s="2">
        <v>46037</v>
      </c>
      <c r="C902" t="s">
        <v>363</v>
      </c>
      <c r="D902" t="s">
        <v>42</v>
      </c>
      <c r="E902" t="s">
        <v>29</v>
      </c>
      <c r="F902">
        <v>18</v>
      </c>
      <c r="G902" t="s">
        <v>51</v>
      </c>
      <c r="H902" t="s">
        <v>52</v>
      </c>
      <c r="I902" t="s">
        <v>51</v>
      </c>
      <c r="J902" t="s">
        <v>102</v>
      </c>
      <c r="K902">
        <v>4</v>
      </c>
      <c r="L902">
        <v>22659</v>
      </c>
      <c r="M902">
        <v>15</v>
      </c>
      <c r="N902">
        <v>13595.4</v>
      </c>
      <c r="O902">
        <v>13867.31</v>
      </c>
      <c r="P902">
        <v>374</v>
      </c>
      <c r="Q902">
        <v>91281.91</v>
      </c>
      <c r="R902" t="s">
        <v>33</v>
      </c>
      <c r="S902" t="s">
        <v>34</v>
      </c>
      <c r="T902" t="s">
        <v>55</v>
      </c>
      <c r="U902" t="s">
        <v>56</v>
      </c>
      <c r="V902" t="s">
        <v>57</v>
      </c>
      <c r="W902">
        <v>6</v>
      </c>
      <c r="X902" t="s">
        <v>47</v>
      </c>
      <c r="Y902">
        <v>5</v>
      </c>
      <c r="Z902" t="s">
        <v>91</v>
      </c>
    </row>
    <row r="903" spans="1:26" x14ac:dyDescent="0.3">
      <c r="A903" t="s">
        <v>1561</v>
      </c>
      <c r="B903" s="2">
        <v>46010</v>
      </c>
      <c r="C903" t="s">
        <v>686</v>
      </c>
      <c r="D903" t="s">
        <v>80</v>
      </c>
      <c r="E903" t="s">
        <v>29</v>
      </c>
      <c r="F903">
        <v>32</v>
      </c>
      <c r="G903" t="s">
        <v>90</v>
      </c>
      <c r="H903" t="s">
        <v>31</v>
      </c>
      <c r="I903" t="s">
        <v>90</v>
      </c>
      <c r="J903" t="s">
        <v>32</v>
      </c>
      <c r="K903">
        <v>4</v>
      </c>
      <c r="L903">
        <v>34273</v>
      </c>
      <c r="M903">
        <v>0</v>
      </c>
      <c r="N903">
        <v>0</v>
      </c>
      <c r="O903">
        <v>24676.560000000001</v>
      </c>
      <c r="P903">
        <v>420</v>
      </c>
      <c r="Q903">
        <v>162188.56</v>
      </c>
      <c r="R903" t="s">
        <v>83</v>
      </c>
      <c r="S903" t="s">
        <v>63</v>
      </c>
      <c r="T903" t="s">
        <v>84</v>
      </c>
      <c r="U903" t="s">
        <v>85</v>
      </c>
      <c r="V903" t="s">
        <v>86</v>
      </c>
      <c r="W903">
        <v>10</v>
      </c>
      <c r="X903" t="s">
        <v>47</v>
      </c>
      <c r="Y903">
        <v>2</v>
      </c>
      <c r="Z903" t="s">
        <v>47</v>
      </c>
    </row>
    <row r="904" spans="1:26" x14ac:dyDescent="0.3">
      <c r="A904" t="s">
        <v>1562</v>
      </c>
      <c r="B904" s="2">
        <v>46044</v>
      </c>
      <c r="C904" t="s">
        <v>1155</v>
      </c>
      <c r="D904" t="s">
        <v>111</v>
      </c>
      <c r="E904" t="s">
        <v>43</v>
      </c>
      <c r="F904">
        <v>26</v>
      </c>
      <c r="G904" t="s">
        <v>51</v>
      </c>
      <c r="H904" t="s">
        <v>52</v>
      </c>
      <c r="I904" t="s">
        <v>51</v>
      </c>
      <c r="J904" t="s">
        <v>32</v>
      </c>
      <c r="K904">
        <v>1</v>
      </c>
      <c r="L904">
        <v>5894</v>
      </c>
      <c r="M904">
        <v>20</v>
      </c>
      <c r="N904">
        <v>1178.8</v>
      </c>
      <c r="O904">
        <v>848.74</v>
      </c>
      <c r="P904">
        <v>203</v>
      </c>
      <c r="Q904">
        <v>5766.94</v>
      </c>
      <c r="R904" t="s">
        <v>54</v>
      </c>
      <c r="S904" t="s">
        <v>63</v>
      </c>
      <c r="T904" t="s">
        <v>103</v>
      </c>
      <c r="U904" t="s">
        <v>103</v>
      </c>
      <c r="V904" t="s">
        <v>57</v>
      </c>
      <c r="W904">
        <v>10</v>
      </c>
      <c r="X904" t="s">
        <v>38</v>
      </c>
      <c r="Y904">
        <v>2</v>
      </c>
      <c r="Z904" t="s">
        <v>39</v>
      </c>
    </row>
    <row r="905" spans="1:26" x14ac:dyDescent="0.3">
      <c r="A905" t="s">
        <v>1563</v>
      </c>
      <c r="B905" s="2">
        <v>46105</v>
      </c>
      <c r="C905" t="s">
        <v>1564</v>
      </c>
      <c r="D905" t="s">
        <v>80</v>
      </c>
      <c r="E905" t="s">
        <v>43</v>
      </c>
      <c r="F905">
        <v>53</v>
      </c>
      <c r="G905" t="s">
        <v>44</v>
      </c>
      <c r="H905" t="s">
        <v>31</v>
      </c>
      <c r="I905" t="s">
        <v>44</v>
      </c>
      <c r="J905" t="s">
        <v>53</v>
      </c>
      <c r="K905">
        <v>5</v>
      </c>
      <c r="L905">
        <v>31840</v>
      </c>
      <c r="M905">
        <v>20</v>
      </c>
      <c r="N905">
        <v>31840</v>
      </c>
      <c r="O905">
        <v>22924.799999999999</v>
      </c>
      <c r="P905">
        <v>434</v>
      </c>
      <c r="Q905">
        <v>150718.79999999999</v>
      </c>
      <c r="R905" t="s">
        <v>54</v>
      </c>
      <c r="S905" t="s">
        <v>34</v>
      </c>
      <c r="T905" t="s">
        <v>76</v>
      </c>
      <c r="U905" t="s">
        <v>77</v>
      </c>
      <c r="V905" t="s">
        <v>57</v>
      </c>
      <c r="W905">
        <v>7</v>
      </c>
      <c r="X905" t="s">
        <v>38</v>
      </c>
      <c r="Y905">
        <v>1</v>
      </c>
      <c r="Z905" t="s">
        <v>47</v>
      </c>
    </row>
    <row r="906" spans="1:26" x14ac:dyDescent="0.3">
      <c r="A906" t="s">
        <v>1565</v>
      </c>
      <c r="B906" s="2">
        <v>45961</v>
      </c>
      <c r="C906" t="s">
        <v>1566</v>
      </c>
      <c r="D906" t="s">
        <v>80</v>
      </c>
      <c r="E906" t="s">
        <v>43</v>
      </c>
      <c r="F906">
        <v>44</v>
      </c>
      <c r="G906" t="s">
        <v>67</v>
      </c>
      <c r="H906" t="s">
        <v>68</v>
      </c>
      <c r="I906" t="s">
        <v>67</v>
      </c>
      <c r="J906" t="s">
        <v>32</v>
      </c>
      <c r="K906">
        <v>1</v>
      </c>
      <c r="L906">
        <v>3751</v>
      </c>
      <c r="M906">
        <v>10</v>
      </c>
      <c r="N906">
        <v>375.1</v>
      </c>
      <c r="O906">
        <v>607.66</v>
      </c>
      <c r="P906">
        <v>21</v>
      </c>
      <c r="Q906">
        <v>4004.56</v>
      </c>
      <c r="R906" t="s">
        <v>54</v>
      </c>
      <c r="S906" t="s">
        <v>63</v>
      </c>
      <c r="T906" t="s">
        <v>95</v>
      </c>
      <c r="U906" t="s">
        <v>96</v>
      </c>
      <c r="V906" t="s">
        <v>57</v>
      </c>
      <c r="W906">
        <v>6</v>
      </c>
      <c r="X906" t="s">
        <v>47</v>
      </c>
      <c r="Y906">
        <v>5</v>
      </c>
      <c r="Z906" t="s">
        <v>39</v>
      </c>
    </row>
    <row r="907" spans="1:26" x14ac:dyDescent="0.3">
      <c r="A907" t="s">
        <v>1567</v>
      </c>
      <c r="B907" s="2">
        <v>45832</v>
      </c>
      <c r="C907" t="s">
        <v>1245</v>
      </c>
      <c r="D907" t="s">
        <v>42</v>
      </c>
      <c r="E907" t="s">
        <v>29</v>
      </c>
      <c r="F907">
        <v>43</v>
      </c>
      <c r="G907" t="s">
        <v>30</v>
      </c>
      <c r="H907" t="s">
        <v>31</v>
      </c>
      <c r="I907" t="s">
        <v>30</v>
      </c>
      <c r="J907" t="s">
        <v>62</v>
      </c>
      <c r="K907">
        <v>1</v>
      </c>
      <c r="L907">
        <v>9225</v>
      </c>
      <c r="M907">
        <v>5</v>
      </c>
      <c r="N907">
        <v>461.25</v>
      </c>
      <c r="O907">
        <v>1577.47</v>
      </c>
      <c r="P907">
        <v>455</v>
      </c>
      <c r="Q907">
        <v>10796.23</v>
      </c>
      <c r="R907" t="s">
        <v>33</v>
      </c>
      <c r="S907" t="s">
        <v>34</v>
      </c>
      <c r="T907" t="s">
        <v>95</v>
      </c>
      <c r="U907" t="s">
        <v>96</v>
      </c>
      <c r="V907" t="s">
        <v>57</v>
      </c>
      <c r="W907">
        <v>1</v>
      </c>
      <c r="X907" t="s">
        <v>47</v>
      </c>
      <c r="Y907">
        <v>3</v>
      </c>
      <c r="Z907" t="s">
        <v>91</v>
      </c>
    </row>
    <row r="908" spans="1:26" x14ac:dyDescent="0.3">
      <c r="A908" t="s">
        <v>1568</v>
      </c>
      <c r="B908" s="2">
        <v>45945</v>
      </c>
      <c r="C908" t="s">
        <v>1431</v>
      </c>
      <c r="D908" t="s">
        <v>111</v>
      </c>
      <c r="E908" t="s">
        <v>43</v>
      </c>
      <c r="F908">
        <v>44</v>
      </c>
      <c r="G908" t="s">
        <v>134</v>
      </c>
      <c r="H908" t="s">
        <v>31</v>
      </c>
      <c r="I908" t="s">
        <v>134</v>
      </c>
      <c r="J908" t="s">
        <v>102</v>
      </c>
      <c r="K908">
        <v>1</v>
      </c>
      <c r="L908">
        <v>6372</v>
      </c>
      <c r="M908">
        <v>0</v>
      </c>
      <c r="N908">
        <v>0</v>
      </c>
      <c r="O908">
        <v>1146.96</v>
      </c>
      <c r="P908">
        <v>422</v>
      </c>
      <c r="Q908">
        <v>7940.96</v>
      </c>
      <c r="R908" t="s">
        <v>54</v>
      </c>
      <c r="S908" t="s">
        <v>34</v>
      </c>
      <c r="T908" t="s">
        <v>46</v>
      </c>
      <c r="U908" t="s">
        <v>36</v>
      </c>
      <c r="V908" t="s">
        <v>37</v>
      </c>
      <c r="W908">
        <v>8</v>
      </c>
      <c r="X908" t="s">
        <v>38</v>
      </c>
      <c r="Y908">
        <v>1</v>
      </c>
      <c r="Z908" t="s">
        <v>91</v>
      </c>
    </row>
    <row r="909" spans="1:26" x14ac:dyDescent="0.3">
      <c r="A909" t="s">
        <v>1569</v>
      </c>
      <c r="B909" s="2">
        <v>45984</v>
      </c>
      <c r="C909" t="s">
        <v>1570</v>
      </c>
      <c r="D909" t="s">
        <v>73</v>
      </c>
      <c r="E909" t="s">
        <v>29</v>
      </c>
      <c r="F909">
        <v>24</v>
      </c>
      <c r="G909" t="s">
        <v>51</v>
      </c>
      <c r="H909" t="s">
        <v>52</v>
      </c>
      <c r="I909" t="s">
        <v>51</v>
      </c>
      <c r="J909" t="s">
        <v>32</v>
      </c>
      <c r="K909">
        <v>5</v>
      </c>
      <c r="L909">
        <v>49982</v>
      </c>
      <c r="M909">
        <v>10</v>
      </c>
      <c r="N909">
        <v>24991</v>
      </c>
      <c r="O909">
        <v>40485.42</v>
      </c>
      <c r="P909">
        <v>205</v>
      </c>
      <c r="Q909">
        <v>265609.42</v>
      </c>
      <c r="R909" t="s">
        <v>45</v>
      </c>
      <c r="S909" t="s">
        <v>63</v>
      </c>
      <c r="T909" t="s">
        <v>103</v>
      </c>
      <c r="U909" t="s">
        <v>103</v>
      </c>
      <c r="V909" t="s">
        <v>57</v>
      </c>
      <c r="W909">
        <v>1</v>
      </c>
      <c r="X909" t="s">
        <v>47</v>
      </c>
      <c r="Y909">
        <v>1</v>
      </c>
      <c r="Z909" t="s">
        <v>91</v>
      </c>
    </row>
    <row r="910" spans="1:26" x14ac:dyDescent="0.3">
      <c r="A910" t="s">
        <v>1571</v>
      </c>
      <c r="B910" s="2">
        <v>45789</v>
      </c>
      <c r="C910" t="s">
        <v>229</v>
      </c>
      <c r="D910" t="s">
        <v>28</v>
      </c>
      <c r="E910" t="s">
        <v>29</v>
      </c>
      <c r="F910">
        <v>44</v>
      </c>
      <c r="G910" t="s">
        <v>67</v>
      </c>
      <c r="H910" t="s">
        <v>68</v>
      </c>
      <c r="I910" t="s">
        <v>67</v>
      </c>
      <c r="J910" t="s">
        <v>32</v>
      </c>
      <c r="K910">
        <v>5</v>
      </c>
      <c r="L910">
        <v>35237</v>
      </c>
      <c r="M910">
        <v>10</v>
      </c>
      <c r="N910">
        <v>17618.5</v>
      </c>
      <c r="O910">
        <v>28541.97</v>
      </c>
      <c r="P910">
        <v>14</v>
      </c>
      <c r="Q910">
        <v>187122.47</v>
      </c>
      <c r="R910" t="s">
        <v>45</v>
      </c>
      <c r="S910" t="s">
        <v>63</v>
      </c>
      <c r="T910" t="s">
        <v>46</v>
      </c>
      <c r="U910" t="s">
        <v>36</v>
      </c>
      <c r="V910" t="s">
        <v>37</v>
      </c>
      <c r="W910">
        <v>1</v>
      </c>
      <c r="X910" t="s">
        <v>47</v>
      </c>
      <c r="Y910">
        <v>4</v>
      </c>
      <c r="Z910" t="s">
        <v>47</v>
      </c>
    </row>
    <row r="911" spans="1:26" x14ac:dyDescent="0.3">
      <c r="A911" t="s">
        <v>1572</v>
      </c>
      <c r="B911" s="2">
        <v>45772</v>
      </c>
      <c r="C911" t="s">
        <v>1497</v>
      </c>
      <c r="D911" t="s">
        <v>50</v>
      </c>
      <c r="E911" t="s">
        <v>43</v>
      </c>
      <c r="F911">
        <v>47</v>
      </c>
      <c r="G911" t="s">
        <v>51</v>
      </c>
      <c r="H911" t="s">
        <v>52</v>
      </c>
      <c r="I911" t="s">
        <v>51</v>
      </c>
      <c r="J911" t="s">
        <v>125</v>
      </c>
      <c r="K911">
        <v>4</v>
      </c>
      <c r="L911">
        <v>26654</v>
      </c>
      <c r="M911">
        <v>15</v>
      </c>
      <c r="N911">
        <v>15992.4</v>
      </c>
      <c r="O911">
        <v>16312.25</v>
      </c>
      <c r="P911">
        <v>222</v>
      </c>
      <c r="Q911">
        <v>107157.85</v>
      </c>
      <c r="R911" t="s">
        <v>33</v>
      </c>
      <c r="S911" t="s">
        <v>63</v>
      </c>
      <c r="T911" t="s">
        <v>35</v>
      </c>
      <c r="U911" t="s">
        <v>36</v>
      </c>
      <c r="V911" t="s">
        <v>37</v>
      </c>
      <c r="W911">
        <v>3</v>
      </c>
      <c r="X911" t="s">
        <v>38</v>
      </c>
      <c r="Y911">
        <v>2</v>
      </c>
      <c r="Z911" t="s">
        <v>39</v>
      </c>
    </row>
    <row r="912" spans="1:26" x14ac:dyDescent="0.3">
      <c r="A912" t="s">
        <v>1573</v>
      </c>
      <c r="B912" s="2">
        <v>45834</v>
      </c>
      <c r="C912" t="s">
        <v>209</v>
      </c>
      <c r="D912" t="s">
        <v>80</v>
      </c>
      <c r="E912" t="s">
        <v>29</v>
      </c>
      <c r="F912">
        <v>25</v>
      </c>
      <c r="G912" t="s">
        <v>134</v>
      </c>
      <c r="H912" t="s">
        <v>31</v>
      </c>
      <c r="I912" t="s">
        <v>134</v>
      </c>
      <c r="J912" t="s">
        <v>102</v>
      </c>
      <c r="K912">
        <v>3</v>
      </c>
      <c r="L912">
        <v>12886</v>
      </c>
      <c r="M912">
        <v>5</v>
      </c>
      <c r="N912">
        <v>1932.9</v>
      </c>
      <c r="O912">
        <v>6610.52</v>
      </c>
      <c r="P912">
        <v>485</v>
      </c>
      <c r="Q912">
        <v>43820.62</v>
      </c>
      <c r="R912" t="s">
        <v>83</v>
      </c>
      <c r="S912" t="s">
        <v>34</v>
      </c>
      <c r="T912" t="s">
        <v>55</v>
      </c>
      <c r="U912" t="s">
        <v>56</v>
      </c>
      <c r="V912" t="s">
        <v>57</v>
      </c>
      <c r="W912">
        <v>2</v>
      </c>
      <c r="X912" t="s">
        <v>47</v>
      </c>
      <c r="Y912">
        <v>3</v>
      </c>
      <c r="Z912" t="s">
        <v>58</v>
      </c>
    </row>
    <row r="913" spans="1:26" x14ac:dyDescent="0.3">
      <c r="A913" t="s">
        <v>1574</v>
      </c>
      <c r="B913" s="2">
        <v>45899</v>
      </c>
      <c r="C913" t="s">
        <v>488</v>
      </c>
      <c r="D913" t="s">
        <v>111</v>
      </c>
      <c r="E913" t="s">
        <v>43</v>
      </c>
      <c r="F913">
        <v>28</v>
      </c>
      <c r="G913" t="s">
        <v>51</v>
      </c>
      <c r="H913" t="s">
        <v>52</v>
      </c>
      <c r="I913" t="s">
        <v>51</v>
      </c>
      <c r="J913" t="s">
        <v>69</v>
      </c>
      <c r="K913">
        <v>4</v>
      </c>
      <c r="L913">
        <v>35630</v>
      </c>
      <c r="M913">
        <v>15</v>
      </c>
      <c r="N913">
        <v>21378</v>
      </c>
      <c r="O913">
        <v>21805.56</v>
      </c>
      <c r="P913">
        <v>107</v>
      </c>
      <c r="Q913">
        <v>143054.56</v>
      </c>
      <c r="R913" t="s">
        <v>45</v>
      </c>
      <c r="S913" t="s">
        <v>63</v>
      </c>
      <c r="T913" t="s">
        <v>35</v>
      </c>
      <c r="U913" t="s">
        <v>36</v>
      </c>
      <c r="V913" t="s">
        <v>37</v>
      </c>
      <c r="W913">
        <v>3</v>
      </c>
      <c r="X913" t="s">
        <v>38</v>
      </c>
      <c r="Y913">
        <v>1</v>
      </c>
      <c r="Z913" t="s">
        <v>47</v>
      </c>
    </row>
    <row r="914" spans="1:26" x14ac:dyDescent="0.3">
      <c r="A914" t="s">
        <v>1575</v>
      </c>
      <c r="B914" s="2">
        <v>45804</v>
      </c>
      <c r="C914" t="s">
        <v>1576</v>
      </c>
      <c r="D914" t="s">
        <v>42</v>
      </c>
      <c r="E914" t="s">
        <v>43</v>
      </c>
      <c r="F914">
        <v>59</v>
      </c>
      <c r="G914" t="s">
        <v>139</v>
      </c>
      <c r="H914" t="s">
        <v>31</v>
      </c>
      <c r="I914" t="s">
        <v>139</v>
      </c>
      <c r="J914" t="s">
        <v>150</v>
      </c>
      <c r="K914">
        <v>2</v>
      </c>
      <c r="L914">
        <v>36760</v>
      </c>
      <c r="M914">
        <v>20</v>
      </c>
      <c r="N914">
        <v>14704</v>
      </c>
      <c r="O914">
        <v>10586.88</v>
      </c>
      <c r="P914">
        <v>454</v>
      </c>
      <c r="Q914">
        <v>69856.88</v>
      </c>
      <c r="R914" t="s">
        <v>54</v>
      </c>
      <c r="S914" t="s">
        <v>34</v>
      </c>
      <c r="T914" t="s">
        <v>55</v>
      </c>
      <c r="U914" t="s">
        <v>56</v>
      </c>
      <c r="V914" t="s">
        <v>57</v>
      </c>
      <c r="W914">
        <v>8</v>
      </c>
      <c r="X914" t="s">
        <v>47</v>
      </c>
      <c r="Y914">
        <v>2</v>
      </c>
      <c r="Z914" t="s">
        <v>91</v>
      </c>
    </row>
    <row r="915" spans="1:26" x14ac:dyDescent="0.3">
      <c r="A915" t="s">
        <v>1577</v>
      </c>
      <c r="B915" s="2">
        <v>45803</v>
      </c>
      <c r="C915" t="s">
        <v>1245</v>
      </c>
      <c r="D915" t="s">
        <v>111</v>
      </c>
      <c r="E915" t="s">
        <v>43</v>
      </c>
      <c r="F915">
        <v>49</v>
      </c>
      <c r="G915" t="s">
        <v>134</v>
      </c>
      <c r="H915" t="s">
        <v>31</v>
      </c>
      <c r="I915" t="s">
        <v>134</v>
      </c>
      <c r="J915" t="s">
        <v>102</v>
      </c>
      <c r="K915">
        <v>1</v>
      </c>
      <c r="L915">
        <v>18286</v>
      </c>
      <c r="M915">
        <v>20</v>
      </c>
      <c r="N915">
        <v>3657.2</v>
      </c>
      <c r="O915">
        <v>2633.18</v>
      </c>
      <c r="P915">
        <v>99</v>
      </c>
      <c r="Q915">
        <v>17360.98</v>
      </c>
      <c r="R915" t="s">
        <v>54</v>
      </c>
      <c r="S915" t="s">
        <v>34</v>
      </c>
      <c r="T915" t="s">
        <v>70</v>
      </c>
      <c r="U915" t="s">
        <v>56</v>
      </c>
      <c r="V915" t="s">
        <v>57</v>
      </c>
      <c r="W915">
        <v>3</v>
      </c>
      <c r="X915" t="s">
        <v>47</v>
      </c>
      <c r="Y915">
        <v>3</v>
      </c>
      <c r="Z915" t="s">
        <v>47</v>
      </c>
    </row>
    <row r="916" spans="1:26" x14ac:dyDescent="0.3">
      <c r="A916" t="s">
        <v>1578</v>
      </c>
      <c r="B916" s="2">
        <v>45794</v>
      </c>
      <c r="C916" t="s">
        <v>1579</v>
      </c>
      <c r="D916" t="s">
        <v>89</v>
      </c>
      <c r="E916" t="s">
        <v>29</v>
      </c>
      <c r="F916">
        <v>52</v>
      </c>
      <c r="G916" t="s">
        <v>51</v>
      </c>
      <c r="H916" t="s">
        <v>52</v>
      </c>
      <c r="I916" t="s">
        <v>51</v>
      </c>
      <c r="J916" t="s">
        <v>32</v>
      </c>
      <c r="K916">
        <v>2</v>
      </c>
      <c r="L916">
        <v>25487</v>
      </c>
      <c r="M916">
        <v>20</v>
      </c>
      <c r="N916">
        <v>10194.799999999999</v>
      </c>
      <c r="O916">
        <v>7340.26</v>
      </c>
      <c r="P916">
        <v>126</v>
      </c>
      <c r="Q916">
        <v>48245.46</v>
      </c>
      <c r="R916" t="s">
        <v>33</v>
      </c>
      <c r="S916" t="s">
        <v>63</v>
      </c>
      <c r="T916" t="s">
        <v>103</v>
      </c>
      <c r="U916" t="s">
        <v>103</v>
      </c>
      <c r="V916" t="s">
        <v>57</v>
      </c>
      <c r="W916">
        <v>4</v>
      </c>
      <c r="X916" t="s">
        <v>47</v>
      </c>
      <c r="Y916">
        <v>5</v>
      </c>
      <c r="Z916" t="s">
        <v>47</v>
      </c>
    </row>
    <row r="917" spans="1:26" x14ac:dyDescent="0.3">
      <c r="A917" t="s">
        <v>1580</v>
      </c>
      <c r="B917" s="2">
        <v>45972</v>
      </c>
      <c r="C917" t="s">
        <v>1497</v>
      </c>
      <c r="D917" t="s">
        <v>111</v>
      </c>
      <c r="E917" t="s">
        <v>43</v>
      </c>
      <c r="F917">
        <v>51</v>
      </c>
      <c r="G917" t="s">
        <v>74</v>
      </c>
      <c r="H917" t="s">
        <v>31</v>
      </c>
      <c r="I917" t="s">
        <v>74</v>
      </c>
      <c r="J917" t="s">
        <v>69</v>
      </c>
      <c r="K917">
        <v>3</v>
      </c>
      <c r="L917">
        <v>3238</v>
      </c>
      <c r="M917">
        <v>0</v>
      </c>
      <c r="N917">
        <v>0</v>
      </c>
      <c r="O917">
        <v>1748.52</v>
      </c>
      <c r="P917">
        <v>121</v>
      </c>
      <c r="Q917">
        <v>11583.52</v>
      </c>
      <c r="R917" t="s">
        <v>54</v>
      </c>
      <c r="S917" t="s">
        <v>34</v>
      </c>
      <c r="T917" t="s">
        <v>103</v>
      </c>
      <c r="U917" t="s">
        <v>103</v>
      </c>
      <c r="V917" t="s">
        <v>57</v>
      </c>
      <c r="W917">
        <v>3</v>
      </c>
      <c r="X917" t="s">
        <v>38</v>
      </c>
      <c r="Y917">
        <v>3</v>
      </c>
      <c r="Z917" t="s">
        <v>91</v>
      </c>
    </row>
    <row r="918" spans="1:26" x14ac:dyDescent="0.3">
      <c r="A918" t="s">
        <v>1581</v>
      </c>
      <c r="B918" s="2">
        <v>45786</v>
      </c>
      <c r="C918" t="s">
        <v>1582</v>
      </c>
      <c r="D918" t="s">
        <v>28</v>
      </c>
      <c r="E918" t="s">
        <v>43</v>
      </c>
      <c r="F918">
        <v>59</v>
      </c>
      <c r="G918" t="s">
        <v>99</v>
      </c>
      <c r="H918" t="s">
        <v>52</v>
      </c>
      <c r="I918" t="s">
        <v>99</v>
      </c>
      <c r="J918" t="s">
        <v>150</v>
      </c>
      <c r="K918">
        <v>4</v>
      </c>
      <c r="L918">
        <v>9369</v>
      </c>
      <c r="M918">
        <v>5</v>
      </c>
      <c r="N918">
        <v>1873.8</v>
      </c>
      <c r="O918">
        <v>6408.4</v>
      </c>
      <c r="P918">
        <v>483</v>
      </c>
      <c r="Q918">
        <v>42493.599999999999</v>
      </c>
      <c r="R918" t="s">
        <v>33</v>
      </c>
      <c r="S918" t="s">
        <v>34</v>
      </c>
      <c r="T918" t="s">
        <v>84</v>
      </c>
      <c r="U918" t="s">
        <v>85</v>
      </c>
      <c r="V918" t="s">
        <v>86</v>
      </c>
      <c r="W918">
        <v>2</v>
      </c>
      <c r="X918" t="s">
        <v>38</v>
      </c>
      <c r="Y918">
        <v>2</v>
      </c>
      <c r="Z918" t="s">
        <v>58</v>
      </c>
    </row>
    <row r="919" spans="1:26" x14ac:dyDescent="0.3">
      <c r="A919" t="s">
        <v>1583</v>
      </c>
      <c r="B919" s="2">
        <v>46033</v>
      </c>
      <c r="C919" t="s">
        <v>1584</v>
      </c>
      <c r="D919" t="s">
        <v>73</v>
      </c>
      <c r="E919" t="s">
        <v>43</v>
      </c>
      <c r="F919">
        <v>20</v>
      </c>
      <c r="G919" t="s">
        <v>67</v>
      </c>
      <c r="H919" t="s">
        <v>68</v>
      </c>
      <c r="I919" t="s">
        <v>67</v>
      </c>
      <c r="J919" t="s">
        <v>53</v>
      </c>
      <c r="K919">
        <v>5</v>
      </c>
      <c r="L919">
        <v>7487</v>
      </c>
      <c r="M919">
        <v>20</v>
      </c>
      <c r="N919">
        <v>7487</v>
      </c>
      <c r="O919">
        <v>5390.64</v>
      </c>
      <c r="P919">
        <v>492</v>
      </c>
      <c r="Q919">
        <v>35830.639999999999</v>
      </c>
      <c r="R919" t="s">
        <v>83</v>
      </c>
      <c r="S919" t="s">
        <v>34</v>
      </c>
      <c r="T919" t="s">
        <v>55</v>
      </c>
      <c r="U919" t="s">
        <v>56</v>
      </c>
      <c r="V919" t="s">
        <v>57</v>
      </c>
      <c r="W919">
        <v>4</v>
      </c>
      <c r="X919" t="s">
        <v>38</v>
      </c>
      <c r="Y919">
        <v>4</v>
      </c>
      <c r="Z919" t="s">
        <v>47</v>
      </c>
    </row>
    <row r="920" spans="1:26" x14ac:dyDescent="0.3">
      <c r="A920" t="s">
        <v>1585</v>
      </c>
      <c r="B920" s="2">
        <v>45879</v>
      </c>
      <c r="C920" t="s">
        <v>386</v>
      </c>
      <c r="D920" t="s">
        <v>108</v>
      </c>
      <c r="E920" t="s">
        <v>29</v>
      </c>
      <c r="F920">
        <v>42</v>
      </c>
      <c r="G920" t="s">
        <v>90</v>
      </c>
      <c r="H920" t="s">
        <v>31</v>
      </c>
      <c r="I920" t="s">
        <v>90</v>
      </c>
      <c r="J920" t="s">
        <v>75</v>
      </c>
      <c r="K920">
        <v>5</v>
      </c>
      <c r="L920">
        <v>8615</v>
      </c>
      <c r="M920">
        <v>5</v>
      </c>
      <c r="N920">
        <v>2153.75</v>
      </c>
      <c r="O920">
        <v>7365.82</v>
      </c>
      <c r="P920">
        <v>143</v>
      </c>
      <c r="Q920">
        <v>48430.07</v>
      </c>
      <c r="R920" t="s">
        <v>54</v>
      </c>
      <c r="S920" t="s">
        <v>34</v>
      </c>
      <c r="T920" t="s">
        <v>35</v>
      </c>
      <c r="U920" t="s">
        <v>36</v>
      </c>
      <c r="V920" t="s">
        <v>37</v>
      </c>
      <c r="W920">
        <v>7</v>
      </c>
      <c r="X920" t="s">
        <v>38</v>
      </c>
      <c r="Y920">
        <v>5</v>
      </c>
      <c r="Z920" t="s">
        <v>39</v>
      </c>
    </row>
    <row r="921" spans="1:26" x14ac:dyDescent="0.3">
      <c r="A921" t="s">
        <v>1586</v>
      </c>
      <c r="B921" s="2">
        <v>45945</v>
      </c>
      <c r="C921" t="s">
        <v>359</v>
      </c>
      <c r="D921" t="s">
        <v>80</v>
      </c>
      <c r="E921" t="s">
        <v>29</v>
      </c>
      <c r="F921">
        <v>47</v>
      </c>
      <c r="G921" t="s">
        <v>30</v>
      </c>
      <c r="H921" t="s">
        <v>31</v>
      </c>
      <c r="I921" t="s">
        <v>30</v>
      </c>
      <c r="J921" t="s">
        <v>75</v>
      </c>
      <c r="K921">
        <v>1</v>
      </c>
      <c r="L921">
        <v>17074</v>
      </c>
      <c r="M921">
        <v>15</v>
      </c>
      <c r="N921">
        <v>2561.1</v>
      </c>
      <c r="O921">
        <v>2612.3200000000002</v>
      </c>
      <c r="P921">
        <v>197</v>
      </c>
      <c r="Q921">
        <v>17322.22</v>
      </c>
      <c r="R921" t="s">
        <v>83</v>
      </c>
      <c r="S921" t="s">
        <v>63</v>
      </c>
      <c r="T921" t="s">
        <v>103</v>
      </c>
      <c r="U921" t="s">
        <v>103</v>
      </c>
      <c r="V921" t="s">
        <v>57</v>
      </c>
      <c r="W921">
        <v>10</v>
      </c>
      <c r="X921" t="s">
        <v>47</v>
      </c>
      <c r="Y921">
        <v>2</v>
      </c>
      <c r="Z921" t="s">
        <v>39</v>
      </c>
    </row>
    <row r="922" spans="1:26" x14ac:dyDescent="0.3">
      <c r="A922" t="s">
        <v>1587</v>
      </c>
      <c r="B922" s="2">
        <v>45828</v>
      </c>
      <c r="C922" t="s">
        <v>307</v>
      </c>
      <c r="D922" t="s">
        <v>89</v>
      </c>
      <c r="E922" t="s">
        <v>29</v>
      </c>
      <c r="F922">
        <v>22</v>
      </c>
      <c r="G922" t="s">
        <v>94</v>
      </c>
      <c r="H922" t="s">
        <v>31</v>
      </c>
      <c r="I922" t="s">
        <v>94</v>
      </c>
      <c r="J922" t="s">
        <v>75</v>
      </c>
      <c r="K922">
        <v>5</v>
      </c>
      <c r="L922">
        <v>31555</v>
      </c>
      <c r="M922">
        <v>0</v>
      </c>
      <c r="N922">
        <v>0</v>
      </c>
      <c r="O922">
        <v>28399.5</v>
      </c>
      <c r="P922">
        <v>290</v>
      </c>
      <c r="Q922">
        <v>186464.5</v>
      </c>
      <c r="R922" t="s">
        <v>83</v>
      </c>
      <c r="S922" t="s">
        <v>34</v>
      </c>
      <c r="T922" t="s">
        <v>76</v>
      </c>
      <c r="U922" t="s">
        <v>77</v>
      </c>
      <c r="V922" t="s">
        <v>57</v>
      </c>
      <c r="W922">
        <v>5</v>
      </c>
      <c r="X922" t="s">
        <v>47</v>
      </c>
      <c r="Y922">
        <v>2</v>
      </c>
      <c r="Z922" t="s">
        <v>39</v>
      </c>
    </row>
    <row r="923" spans="1:26" x14ac:dyDescent="0.3">
      <c r="A923" t="s">
        <v>1588</v>
      </c>
      <c r="B923" s="2">
        <v>45965</v>
      </c>
      <c r="C923" t="s">
        <v>1589</v>
      </c>
      <c r="D923" t="s">
        <v>73</v>
      </c>
      <c r="E923" t="s">
        <v>43</v>
      </c>
      <c r="F923">
        <v>42</v>
      </c>
      <c r="G923" t="s">
        <v>90</v>
      </c>
      <c r="H923" t="s">
        <v>31</v>
      </c>
      <c r="I923" t="s">
        <v>90</v>
      </c>
      <c r="J923" t="s">
        <v>150</v>
      </c>
      <c r="K923">
        <v>2</v>
      </c>
      <c r="L923">
        <v>36468</v>
      </c>
      <c r="M923">
        <v>10</v>
      </c>
      <c r="N923">
        <v>7293.6</v>
      </c>
      <c r="O923">
        <v>11815.63</v>
      </c>
      <c r="P923">
        <v>106</v>
      </c>
      <c r="Q923">
        <v>77564.03</v>
      </c>
      <c r="R923" t="s">
        <v>33</v>
      </c>
      <c r="S923" t="s">
        <v>63</v>
      </c>
      <c r="T923" t="s">
        <v>95</v>
      </c>
      <c r="U923" t="s">
        <v>96</v>
      </c>
      <c r="V923" t="s">
        <v>57</v>
      </c>
      <c r="W923">
        <v>7</v>
      </c>
      <c r="X923" t="s">
        <v>38</v>
      </c>
      <c r="Y923">
        <v>1</v>
      </c>
      <c r="Z923" t="s">
        <v>39</v>
      </c>
    </row>
    <row r="924" spans="1:26" x14ac:dyDescent="0.3">
      <c r="A924" t="s">
        <v>1590</v>
      </c>
      <c r="B924" s="2">
        <v>46109</v>
      </c>
      <c r="C924" t="s">
        <v>1591</v>
      </c>
      <c r="D924" t="s">
        <v>42</v>
      </c>
      <c r="E924" t="s">
        <v>29</v>
      </c>
      <c r="F924">
        <v>19</v>
      </c>
      <c r="G924" t="s">
        <v>99</v>
      </c>
      <c r="H924" t="s">
        <v>52</v>
      </c>
      <c r="I924" t="s">
        <v>99</v>
      </c>
      <c r="J924" t="s">
        <v>125</v>
      </c>
      <c r="K924">
        <v>1</v>
      </c>
      <c r="L924">
        <v>17001</v>
      </c>
      <c r="M924">
        <v>20</v>
      </c>
      <c r="N924">
        <v>3400.2</v>
      </c>
      <c r="O924">
        <v>2448.14</v>
      </c>
      <c r="P924">
        <v>72</v>
      </c>
      <c r="Q924">
        <v>16120.94</v>
      </c>
      <c r="R924" t="s">
        <v>54</v>
      </c>
      <c r="S924" t="s">
        <v>34</v>
      </c>
      <c r="T924" t="s">
        <v>70</v>
      </c>
      <c r="U924" t="s">
        <v>56</v>
      </c>
      <c r="V924" t="s">
        <v>57</v>
      </c>
      <c r="W924">
        <v>3</v>
      </c>
      <c r="X924" t="s">
        <v>38</v>
      </c>
      <c r="Y924">
        <v>4</v>
      </c>
      <c r="Z924" t="s">
        <v>39</v>
      </c>
    </row>
    <row r="925" spans="1:26" x14ac:dyDescent="0.3">
      <c r="A925" t="s">
        <v>1592</v>
      </c>
      <c r="B925" s="2">
        <v>45823</v>
      </c>
      <c r="C925" t="s">
        <v>897</v>
      </c>
      <c r="D925" t="s">
        <v>66</v>
      </c>
      <c r="E925" t="s">
        <v>43</v>
      </c>
      <c r="F925">
        <v>24</v>
      </c>
      <c r="G925" t="s">
        <v>99</v>
      </c>
      <c r="H925" t="s">
        <v>52</v>
      </c>
      <c r="I925" t="s">
        <v>99</v>
      </c>
      <c r="J925" t="s">
        <v>62</v>
      </c>
      <c r="K925">
        <v>1</v>
      </c>
      <c r="L925">
        <v>2091</v>
      </c>
      <c r="M925">
        <v>10</v>
      </c>
      <c r="N925">
        <v>209.1</v>
      </c>
      <c r="O925">
        <v>338.74</v>
      </c>
      <c r="P925">
        <v>95</v>
      </c>
      <c r="Q925">
        <v>2315.64</v>
      </c>
      <c r="R925" t="s">
        <v>45</v>
      </c>
      <c r="S925" t="s">
        <v>63</v>
      </c>
      <c r="T925" t="s">
        <v>46</v>
      </c>
      <c r="U925" t="s">
        <v>36</v>
      </c>
      <c r="V925" t="s">
        <v>37</v>
      </c>
      <c r="W925">
        <v>4</v>
      </c>
      <c r="X925" t="s">
        <v>47</v>
      </c>
      <c r="Y925">
        <v>4</v>
      </c>
      <c r="Z925" t="s">
        <v>58</v>
      </c>
    </row>
    <row r="926" spans="1:26" x14ac:dyDescent="0.3">
      <c r="A926" t="s">
        <v>1593</v>
      </c>
      <c r="B926" s="2">
        <v>45767</v>
      </c>
      <c r="C926" t="s">
        <v>1521</v>
      </c>
      <c r="D926" t="s">
        <v>111</v>
      </c>
      <c r="E926" t="s">
        <v>29</v>
      </c>
      <c r="F926">
        <v>24</v>
      </c>
      <c r="G926" t="s">
        <v>74</v>
      </c>
      <c r="H926" t="s">
        <v>31</v>
      </c>
      <c r="I926" t="s">
        <v>74</v>
      </c>
      <c r="J926" t="s">
        <v>201</v>
      </c>
      <c r="K926">
        <v>5</v>
      </c>
      <c r="L926">
        <v>27061</v>
      </c>
      <c r="M926">
        <v>15</v>
      </c>
      <c r="N926">
        <v>20295.75</v>
      </c>
      <c r="O926">
        <v>20701.669999999998</v>
      </c>
      <c r="P926">
        <v>389</v>
      </c>
      <c r="Q926">
        <v>136099.92000000001</v>
      </c>
      <c r="R926" t="s">
        <v>54</v>
      </c>
      <c r="S926" t="s">
        <v>63</v>
      </c>
      <c r="T926" t="s">
        <v>76</v>
      </c>
      <c r="U926" t="s">
        <v>77</v>
      </c>
      <c r="V926" t="s">
        <v>57</v>
      </c>
      <c r="W926">
        <v>4</v>
      </c>
      <c r="X926" t="s">
        <v>38</v>
      </c>
      <c r="Y926">
        <v>2</v>
      </c>
      <c r="Z926" t="s">
        <v>58</v>
      </c>
    </row>
    <row r="927" spans="1:26" x14ac:dyDescent="0.3">
      <c r="A927" t="s">
        <v>1594</v>
      </c>
      <c r="B927" s="2">
        <v>46000</v>
      </c>
      <c r="C927" t="s">
        <v>1595</v>
      </c>
      <c r="D927" t="s">
        <v>61</v>
      </c>
      <c r="E927" t="s">
        <v>29</v>
      </c>
      <c r="F927">
        <v>35</v>
      </c>
      <c r="G927" t="s">
        <v>74</v>
      </c>
      <c r="H927" t="s">
        <v>31</v>
      </c>
      <c r="I927" t="s">
        <v>74</v>
      </c>
      <c r="J927" t="s">
        <v>102</v>
      </c>
      <c r="K927">
        <v>3</v>
      </c>
      <c r="L927">
        <v>9812</v>
      </c>
      <c r="M927">
        <v>20</v>
      </c>
      <c r="N927">
        <v>5887.2</v>
      </c>
      <c r="O927">
        <v>4238.78</v>
      </c>
      <c r="P927">
        <v>136</v>
      </c>
      <c r="Q927">
        <v>27923.58</v>
      </c>
      <c r="R927" t="s">
        <v>45</v>
      </c>
      <c r="S927" t="s">
        <v>34</v>
      </c>
      <c r="T927" t="s">
        <v>103</v>
      </c>
      <c r="U927" t="s">
        <v>103</v>
      </c>
      <c r="V927" t="s">
        <v>57</v>
      </c>
      <c r="W927">
        <v>5</v>
      </c>
      <c r="X927" t="s">
        <v>47</v>
      </c>
      <c r="Y927">
        <v>5</v>
      </c>
      <c r="Z927" t="s">
        <v>58</v>
      </c>
    </row>
    <row r="928" spans="1:26" x14ac:dyDescent="0.3">
      <c r="A928" t="s">
        <v>1596</v>
      </c>
      <c r="B928" s="2">
        <v>45907</v>
      </c>
      <c r="C928" t="s">
        <v>441</v>
      </c>
      <c r="D928" t="s">
        <v>50</v>
      </c>
      <c r="E928" t="s">
        <v>29</v>
      </c>
      <c r="F928">
        <v>48</v>
      </c>
      <c r="G928" t="s">
        <v>134</v>
      </c>
      <c r="H928" t="s">
        <v>31</v>
      </c>
      <c r="I928" t="s">
        <v>134</v>
      </c>
      <c r="J928" t="s">
        <v>53</v>
      </c>
      <c r="K928">
        <v>2</v>
      </c>
      <c r="L928">
        <v>42773</v>
      </c>
      <c r="M928">
        <v>0</v>
      </c>
      <c r="N928">
        <v>0</v>
      </c>
      <c r="O928">
        <v>15398.28</v>
      </c>
      <c r="P928">
        <v>254</v>
      </c>
      <c r="Q928">
        <v>101198.28</v>
      </c>
      <c r="R928" t="s">
        <v>45</v>
      </c>
      <c r="S928" t="s">
        <v>34</v>
      </c>
      <c r="T928" t="s">
        <v>46</v>
      </c>
      <c r="U928" t="s">
        <v>36</v>
      </c>
      <c r="V928" t="s">
        <v>37</v>
      </c>
      <c r="W928">
        <v>3</v>
      </c>
      <c r="X928" t="s">
        <v>47</v>
      </c>
      <c r="Y928">
        <v>2</v>
      </c>
      <c r="Z928" t="s">
        <v>58</v>
      </c>
    </row>
    <row r="929" spans="1:26" x14ac:dyDescent="0.3">
      <c r="A929" t="s">
        <v>1597</v>
      </c>
      <c r="B929" s="2">
        <v>46119</v>
      </c>
      <c r="C929" t="s">
        <v>141</v>
      </c>
      <c r="D929" t="s">
        <v>61</v>
      </c>
      <c r="E929" t="s">
        <v>43</v>
      </c>
      <c r="F929">
        <v>42</v>
      </c>
      <c r="G929" t="s">
        <v>90</v>
      </c>
      <c r="H929" t="s">
        <v>31</v>
      </c>
      <c r="I929" t="s">
        <v>90</v>
      </c>
      <c r="J929" t="s">
        <v>125</v>
      </c>
      <c r="K929">
        <v>1</v>
      </c>
      <c r="L929">
        <v>14852</v>
      </c>
      <c r="M929">
        <v>15</v>
      </c>
      <c r="N929">
        <v>2227.8000000000002</v>
      </c>
      <c r="O929">
        <v>2272.36</v>
      </c>
      <c r="P929">
        <v>109</v>
      </c>
      <c r="Q929">
        <v>15005.56</v>
      </c>
      <c r="R929" t="s">
        <v>83</v>
      </c>
      <c r="S929" t="s">
        <v>63</v>
      </c>
      <c r="T929" t="s">
        <v>103</v>
      </c>
      <c r="U929" t="s">
        <v>103</v>
      </c>
      <c r="V929" t="s">
        <v>57</v>
      </c>
      <c r="W929">
        <v>5</v>
      </c>
      <c r="X929" t="s">
        <v>38</v>
      </c>
      <c r="Y929">
        <v>5</v>
      </c>
      <c r="Z929" t="s">
        <v>47</v>
      </c>
    </row>
    <row r="930" spans="1:26" x14ac:dyDescent="0.3">
      <c r="A930" t="s">
        <v>1598</v>
      </c>
      <c r="B930" s="2">
        <v>45906</v>
      </c>
      <c r="C930" t="s">
        <v>848</v>
      </c>
      <c r="D930" t="s">
        <v>108</v>
      </c>
      <c r="E930" t="s">
        <v>43</v>
      </c>
      <c r="F930">
        <v>58</v>
      </c>
      <c r="G930" t="s">
        <v>139</v>
      </c>
      <c r="H930" t="s">
        <v>31</v>
      </c>
      <c r="I930" t="s">
        <v>139</v>
      </c>
      <c r="J930" t="s">
        <v>69</v>
      </c>
      <c r="K930">
        <v>3</v>
      </c>
      <c r="L930">
        <v>8496</v>
      </c>
      <c r="M930">
        <v>15</v>
      </c>
      <c r="N930">
        <v>3823.2</v>
      </c>
      <c r="O930">
        <v>3899.66</v>
      </c>
      <c r="P930">
        <v>138</v>
      </c>
      <c r="Q930">
        <v>25702.46</v>
      </c>
      <c r="R930" t="s">
        <v>33</v>
      </c>
      <c r="S930" t="s">
        <v>34</v>
      </c>
      <c r="T930" t="s">
        <v>103</v>
      </c>
      <c r="U930" t="s">
        <v>103</v>
      </c>
      <c r="V930" t="s">
        <v>57</v>
      </c>
      <c r="W930">
        <v>9</v>
      </c>
      <c r="X930" t="s">
        <v>38</v>
      </c>
      <c r="Y930">
        <v>3</v>
      </c>
      <c r="Z930" t="s">
        <v>91</v>
      </c>
    </row>
    <row r="931" spans="1:26" x14ac:dyDescent="0.3">
      <c r="A931" t="s">
        <v>1599</v>
      </c>
      <c r="B931" s="2">
        <v>45955</v>
      </c>
      <c r="C931" t="s">
        <v>1600</v>
      </c>
      <c r="D931" t="s">
        <v>108</v>
      </c>
      <c r="E931" t="s">
        <v>43</v>
      </c>
      <c r="F931">
        <v>49</v>
      </c>
      <c r="G931" t="s">
        <v>139</v>
      </c>
      <c r="H931" t="s">
        <v>31</v>
      </c>
      <c r="I931" t="s">
        <v>139</v>
      </c>
      <c r="J931" t="s">
        <v>62</v>
      </c>
      <c r="K931">
        <v>3</v>
      </c>
      <c r="L931">
        <v>8963</v>
      </c>
      <c r="M931">
        <v>20</v>
      </c>
      <c r="N931">
        <v>5377.8</v>
      </c>
      <c r="O931">
        <v>3872.02</v>
      </c>
      <c r="P931">
        <v>168</v>
      </c>
      <c r="Q931">
        <v>25551.22</v>
      </c>
      <c r="R931" t="s">
        <v>45</v>
      </c>
      <c r="S931" t="s">
        <v>34</v>
      </c>
      <c r="T931" t="s">
        <v>103</v>
      </c>
      <c r="U931" t="s">
        <v>103</v>
      </c>
      <c r="V931" t="s">
        <v>57</v>
      </c>
      <c r="W931">
        <v>8</v>
      </c>
      <c r="X931" t="s">
        <v>47</v>
      </c>
      <c r="Y931">
        <v>1</v>
      </c>
      <c r="Z931" t="s">
        <v>91</v>
      </c>
    </row>
    <row r="932" spans="1:26" x14ac:dyDescent="0.3">
      <c r="A932" t="s">
        <v>1601</v>
      </c>
      <c r="B932" s="2">
        <v>45949</v>
      </c>
      <c r="C932" t="s">
        <v>858</v>
      </c>
      <c r="D932" t="s">
        <v>73</v>
      </c>
      <c r="E932" t="s">
        <v>43</v>
      </c>
      <c r="F932">
        <v>41</v>
      </c>
      <c r="G932" t="s">
        <v>74</v>
      </c>
      <c r="H932" t="s">
        <v>31</v>
      </c>
      <c r="I932" t="s">
        <v>74</v>
      </c>
      <c r="J932" t="s">
        <v>69</v>
      </c>
      <c r="K932">
        <v>5</v>
      </c>
      <c r="L932">
        <v>13929</v>
      </c>
      <c r="M932">
        <v>0</v>
      </c>
      <c r="N932">
        <v>0</v>
      </c>
      <c r="O932">
        <v>12536.1</v>
      </c>
      <c r="P932">
        <v>429</v>
      </c>
      <c r="Q932">
        <v>82610.100000000006</v>
      </c>
      <c r="R932" t="s">
        <v>83</v>
      </c>
      <c r="S932" t="s">
        <v>34</v>
      </c>
      <c r="T932" t="s">
        <v>35</v>
      </c>
      <c r="U932" t="s">
        <v>36</v>
      </c>
      <c r="V932" t="s">
        <v>37</v>
      </c>
      <c r="W932">
        <v>1</v>
      </c>
      <c r="X932" t="s">
        <v>38</v>
      </c>
      <c r="Y932">
        <v>2</v>
      </c>
      <c r="Z932" t="s">
        <v>39</v>
      </c>
    </row>
    <row r="933" spans="1:26" x14ac:dyDescent="0.3">
      <c r="A933" t="s">
        <v>1602</v>
      </c>
      <c r="B933" s="2">
        <v>46092</v>
      </c>
      <c r="C933" t="s">
        <v>1431</v>
      </c>
      <c r="D933" t="s">
        <v>28</v>
      </c>
      <c r="E933" t="s">
        <v>43</v>
      </c>
      <c r="F933">
        <v>20</v>
      </c>
      <c r="G933" t="s">
        <v>94</v>
      </c>
      <c r="H933" t="s">
        <v>31</v>
      </c>
      <c r="I933" t="s">
        <v>94</v>
      </c>
      <c r="J933" t="s">
        <v>75</v>
      </c>
      <c r="K933">
        <v>3</v>
      </c>
      <c r="L933">
        <v>5257</v>
      </c>
      <c r="M933">
        <v>0</v>
      </c>
      <c r="N933">
        <v>0</v>
      </c>
      <c r="O933">
        <v>2838.78</v>
      </c>
      <c r="P933">
        <v>305</v>
      </c>
      <c r="Q933">
        <v>18914.78</v>
      </c>
      <c r="R933" t="s">
        <v>45</v>
      </c>
      <c r="S933" t="s">
        <v>63</v>
      </c>
      <c r="T933" t="s">
        <v>46</v>
      </c>
      <c r="U933" t="s">
        <v>36</v>
      </c>
      <c r="V933" t="s">
        <v>37</v>
      </c>
      <c r="W933">
        <v>8</v>
      </c>
      <c r="X933" t="s">
        <v>47</v>
      </c>
      <c r="Y933">
        <v>1</v>
      </c>
      <c r="Z933" t="s">
        <v>58</v>
      </c>
    </row>
    <row r="934" spans="1:26" x14ac:dyDescent="0.3">
      <c r="A934" t="s">
        <v>1603</v>
      </c>
      <c r="B934" s="2">
        <v>45994</v>
      </c>
      <c r="C934" t="s">
        <v>1453</v>
      </c>
      <c r="D934" t="s">
        <v>42</v>
      </c>
      <c r="E934" t="s">
        <v>29</v>
      </c>
      <c r="F934">
        <v>34</v>
      </c>
      <c r="G934" t="s">
        <v>67</v>
      </c>
      <c r="H934" t="s">
        <v>68</v>
      </c>
      <c r="I934" t="s">
        <v>67</v>
      </c>
      <c r="J934" t="s">
        <v>75</v>
      </c>
      <c r="K934">
        <v>5</v>
      </c>
      <c r="L934">
        <v>38726</v>
      </c>
      <c r="M934">
        <v>10</v>
      </c>
      <c r="N934">
        <v>19363</v>
      </c>
      <c r="O934">
        <v>31368.06</v>
      </c>
      <c r="P934">
        <v>69</v>
      </c>
      <c r="Q934">
        <v>205704.06</v>
      </c>
      <c r="R934" t="s">
        <v>45</v>
      </c>
      <c r="S934" t="s">
        <v>34</v>
      </c>
      <c r="T934" t="s">
        <v>84</v>
      </c>
      <c r="U934" t="s">
        <v>85</v>
      </c>
      <c r="V934" t="s">
        <v>86</v>
      </c>
      <c r="W934">
        <v>5</v>
      </c>
      <c r="X934" t="s">
        <v>38</v>
      </c>
      <c r="Y934">
        <v>3</v>
      </c>
      <c r="Z934" t="s">
        <v>91</v>
      </c>
    </row>
    <row r="935" spans="1:26" x14ac:dyDescent="0.3">
      <c r="A935" t="s">
        <v>1604</v>
      </c>
      <c r="B935" s="2">
        <v>45782</v>
      </c>
      <c r="C935" t="s">
        <v>1234</v>
      </c>
      <c r="D935" t="s">
        <v>28</v>
      </c>
      <c r="E935" t="s">
        <v>29</v>
      </c>
      <c r="F935">
        <v>37</v>
      </c>
      <c r="G935" t="s">
        <v>139</v>
      </c>
      <c r="H935" t="s">
        <v>31</v>
      </c>
      <c r="I935" t="s">
        <v>139</v>
      </c>
      <c r="J935" t="s">
        <v>69</v>
      </c>
      <c r="K935">
        <v>3</v>
      </c>
      <c r="L935">
        <v>36827</v>
      </c>
      <c r="M935">
        <v>20</v>
      </c>
      <c r="N935">
        <v>22096.2</v>
      </c>
      <c r="O935">
        <v>15909.26</v>
      </c>
      <c r="P935">
        <v>406</v>
      </c>
      <c r="Q935">
        <v>104700.06</v>
      </c>
      <c r="R935" t="s">
        <v>83</v>
      </c>
      <c r="S935" t="s">
        <v>63</v>
      </c>
      <c r="T935" t="s">
        <v>76</v>
      </c>
      <c r="U935" t="s">
        <v>77</v>
      </c>
      <c r="V935" t="s">
        <v>57</v>
      </c>
      <c r="W935">
        <v>2</v>
      </c>
      <c r="X935" t="s">
        <v>38</v>
      </c>
      <c r="Y935">
        <v>1</v>
      </c>
      <c r="Z935" t="s">
        <v>58</v>
      </c>
    </row>
    <row r="936" spans="1:26" x14ac:dyDescent="0.3">
      <c r="A936" t="s">
        <v>1605</v>
      </c>
      <c r="B936" s="2">
        <v>46095</v>
      </c>
      <c r="C936" t="s">
        <v>1267</v>
      </c>
      <c r="D936" t="s">
        <v>42</v>
      </c>
      <c r="E936" t="s">
        <v>43</v>
      </c>
      <c r="F936">
        <v>41</v>
      </c>
      <c r="G936" t="s">
        <v>74</v>
      </c>
      <c r="H936" t="s">
        <v>31</v>
      </c>
      <c r="I936" t="s">
        <v>74</v>
      </c>
      <c r="J936" t="s">
        <v>75</v>
      </c>
      <c r="K936">
        <v>5</v>
      </c>
      <c r="L936">
        <v>41450</v>
      </c>
      <c r="M936">
        <v>15</v>
      </c>
      <c r="N936">
        <v>31087.5</v>
      </c>
      <c r="O936">
        <v>31709.25</v>
      </c>
      <c r="P936">
        <v>432</v>
      </c>
      <c r="Q936">
        <v>208303.75</v>
      </c>
      <c r="R936" t="s">
        <v>83</v>
      </c>
      <c r="S936" t="s">
        <v>63</v>
      </c>
      <c r="T936" t="s">
        <v>95</v>
      </c>
      <c r="U936" t="s">
        <v>96</v>
      </c>
      <c r="V936" t="s">
        <v>57</v>
      </c>
      <c r="W936">
        <v>10</v>
      </c>
      <c r="X936" t="s">
        <v>47</v>
      </c>
      <c r="Y936">
        <v>3</v>
      </c>
      <c r="Z936" t="s">
        <v>91</v>
      </c>
    </row>
    <row r="937" spans="1:26" x14ac:dyDescent="0.3">
      <c r="A937" t="s">
        <v>1606</v>
      </c>
      <c r="B937" s="2">
        <v>45950</v>
      </c>
      <c r="C937" t="s">
        <v>1607</v>
      </c>
      <c r="D937" t="s">
        <v>108</v>
      </c>
      <c r="E937" t="s">
        <v>29</v>
      </c>
      <c r="F937">
        <v>49</v>
      </c>
      <c r="G937" t="s">
        <v>99</v>
      </c>
      <c r="H937" t="s">
        <v>52</v>
      </c>
      <c r="I937" t="s">
        <v>99</v>
      </c>
      <c r="J937" t="s">
        <v>53</v>
      </c>
      <c r="K937">
        <v>4</v>
      </c>
      <c r="L937">
        <v>26576</v>
      </c>
      <c r="M937">
        <v>5</v>
      </c>
      <c r="N937">
        <v>5315.2</v>
      </c>
      <c r="O937">
        <v>18177.98</v>
      </c>
      <c r="P937">
        <v>152</v>
      </c>
      <c r="Q937">
        <v>119318.78</v>
      </c>
      <c r="R937" t="s">
        <v>45</v>
      </c>
      <c r="S937" t="s">
        <v>63</v>
      </c>
      <c r="T937" t="s">
        <v>103</v>
      </c>
      <c r="U937" t="s">
        <v>103</v>
      </c>
      <c r="V937" t="s">
        <v>57</v>
      </c>
      <c r="W937">
        <v>9</v>
      </c>
      <c r="X937" t="s">
        <v>47</v>
      </c>
      <c r="Y937">
        <v>4</v>
      </c>
      <c r="Z937" t="s">
        <v>91</v>
      </c>
    </row>
    <row r="938" spans="1:26" x14ac:dyDescent="0.3">
      <c r="A938" t="s">
        <v>1608</v>
      </c>
      <c r="B938" s="2">
        <v>45800</v>
      </c>
      <c r="C938" t="s">
        <v>1110</v>
      </c>
      <c r="D938" t="s">
        <v>50</v>
      </c>
      <c r="E938" t="s">
        <v>43</v>
      </c>
      <c r="F938">
        <v>29</v>
      </c>
      <c r="G938" t="s">
        <v>30</v>
      </c>
      <c r="H938" t="s">
        <v>31</v>
      </c>
      <c r="I938" t="s">
        <v>30</v>
      </c>
      <c r="J938" t="s">
        <v>102</v>
      </c>
      <c r="K938">
        <v>1</v>
      </c>
      <c r="L938">
        <v>24845</v>
      </c>
      <c r="M938">
        <v>5</v>
      </c>
      <c r="N938">
        <v>1242.25</v>
      </c>
      <c r="O938">
        <v>4248.49</v>
      </c>
      <c r="P938">
        <v>17</v>
      </c>
      <c r="Q938">
        <v>27868.240000000002</v>
      </c>
      <c r="R938" t="s">
        <v>45</v>
      </c>
      <c r="S938" t="s">
        <v>34</v>
      </c>
      <c r="T938" t="s">
        <v>35</v>
      </c>
      <c r="U938" t="s">
        <v>36</v>
      </c>
      <c r="V938" t="s">
        <v>37</v>
      </c>
      <c r="W938">
        <v>9</v>
      </c>
      <c r="X938" t="s">
        <v>47</v>
      </c>
      <c r="Y938">
        <v>4</v>
      </c>
      <c r="Z938" t="s">
        <v>39</v>
      </c>
    </row>
    <row r="939" spans="1:26" x14ac:dyDescent="0.3">
      <c r="A939" t="s">
        <v>1609</v>
      </c>
      <c r="B939" s="2">
        <v>46115</v>
      </c>
      <c r="C939" t="s">
        <v>375</v>
      </c>
      <c r="D939" t="s">
        <v>111</v>
      </c>
      <c r="E939" t="s">
        <v>43</v>
      </c>
      <c r="F939">
        <v>55</v>
      </c>
      <c r="G939" t="s">
        <v>30</v>
      </c>
      <c r="H939" t="s">
        <v>31</v>
      </c>
      <c r="I939" t="s">
        <v>30</v>
      </c>
      <c r="J939" t="s">
        <v>53</v>
      </c>
      <c r="K939">
        <v>2</v>
      </c>
      <c r="L939">
        <v>49886</v>
      </c>
      <c r="M939">
        <v>15</v>
      </c>
      <c r="N939">
        <v>14965.8</v>
      </c>
      <c r="O939">
        <v>15265.12</v>
      </c>
      <c r="P939">
        <v>266</v>
      </c>
      <c r="Q939">
        <v>100337.32</v>
      </c>
      <c r="R939" t="s">
        <v>54</v>
      </c>
      <c r="S939" t="s">
        <v>34</v>
      </c>
      <c r="T939" t="s">
        <v>55</v>
      </c>
      <c r="U939" t="s">
        <v>56</v>
      </c>
      <c r="V939" t="s">
        <v>57</v>
      </c>
      <c r="W939">
        <v>1</v>
      </c>
      <c r="X939" t="s">
        <v>38</v>
      </c>
      <c r="Y939">
        <v>5</v>
      </c>
      <c r="Z939" t="s">
        <v>91</v>
      </c>
    </row>
    <row r="940" spans="1:26" x14ac:dyDescent="0.3">
      <c r="A940" t="s">
        <v>1610</v>
      </c>
      <c r="B940" s="2">
        <v>45946</v>
      </c>
      <c r="C940" t="s">
        <v>299</v>
      </c>
      <c r="D940" t="s">
        <v>108</v>
      </c>
      <c r="E940" t="s">
        <v>29</v>
      </c>
      <c r="F940">
        <v>52</v>
      </c>
      <c r="G940" t="s">
        <v>94</v>
      </c>
      <c r="H940" t="s">
        <v>31</v>
      </c>
      <c r="I940" t="s">
        <v>94</v>
      </c>
      <c r="J940" t="s">
        <v>32</v>
      </c>
      <c r="K940">
        <v>5</v>
      </c>
      <c r="L940">
        <v>31838</v>
      </c>
      <c r="M940">
        <v>15</v>
      </c>
      <c r="N940">
        <v>23878.5</v>
      </c>
      <c r="O940">
        <v>24356.07</v>
      </c>
      <c r="P940">
        <v>154</v>
      </c>
      <c r="Q940">
        <v>159821.57</v>
      </c>
      <c r="R940" t="s">
        <v>33</v>
      </c>
      <c r="S940" t="s">
        <v>34</v>
      </c>
      <c r="T940" t="s">
        <v>76</v>
      </c>
      <c r="U940" t="s">
        <v>77</v>
      </c>
      <c r="V940" t="s">
        <v>57</v>
      </c>
      <c r="W940">
        <v>4</v>
      </c>
      <c r="X940" t="s">
        <v>38</v>
      </c>
      <c r="Y940">
        <v>1</v>
      </c>
      <c r="Z940" t="s">
        <v>91</v>
      </c>
    </row>
    <row r="941" spans="1:26" x14ac:dyDescent="0.3">
      <c r="A941" t="s">
        <v>1611</v>
      </c>
      <c r="B941" s="2">
        <v>45829</v>
      </c>
      <c r="C941" t="s">
        <v>1612</v>
      </c>
      <c r="D941" t="s">
        <v>111</v>
      </c>
      <c r="E941" t="s">
        <v>29</v>
      </c>
      <c r="F941">
        <v>43</v>
      </c>
      <c r="G941" t="s">
        <v>51</v>
      </c>
      <c r="H941" t="s">
        <v>52</v>
      </c>
      <c r="I941" t="s">
        <v>51</v>
      </c>
      <c r="J941" t="s">
        <v>201</v>
      </c>
      <c r="K941">
        <v>5</v>
      </c>
      <c r="L941">
        <v>41624</v>
      </c>
      <c r="M941">
        <v>5</v>
      </c>
      <c r="N941">
        <v>10406</v>
      </c>
      <c r="O941">
        <v>35588.519999999997</v>
      </c>
      <c r="P941">
        <v>290</v>
      </c>
      <c r="Q941">
        <v>233592.52</v>
      </c>
      <c r="R941" t="s">
        <v>33</v>
      </c>
      <c r="S941" t="s">
        <v>34</v>
      </c>
      <c r="T941" t="s">
        <v>84</v>
      </c>
      <c r="U941" t="s">
        <v>85</v>
      </c>
      <c r="V941" t="s">
        <v>86</v>
      </c>
      <c r="W941">
        <v>3</v>
      </c>
      <c r="X941" t="s">
        <v>38</v>
      </c>
      <c r="Y941">
        <v>2</v>
      </c>
      <c r="Z941" t="s">
        <v>91</v>
      </c>
    </row>
    <row r="942" spans="1:26" x14ac:dyDescent="0.3">
      <c r="A942" t="s">
        <v>1613</v>
      </c>
      <c r="B942" s="2">
        <v>45943</v>
      </c>
      <c r="C942" t="s">
        <v>1614</v>
      </c>
      <c r="D942" t="s">
        <v>89</v>
      </c>
      <c r="E942" t="s">
        <v>29</v>
      </c>
      <c r="F942">
        <v>40</v>
      </c>
      <c r="G942" t="s">
        <v>51</v>
      </c>
      <c r="H942" t="s">
        <v>52</v>
      </c>
      <c r="I942" t="s">
        <v>51</v>
      </c>
      <c r="J942" t="s">
        <v>201</v>
      </c>
      <c r="K942">
        <v>5</v>
      </c>
      <c r="L942">
        <v>7734</v>
      </c>
      <c r="M942">
        <v>0</v>
      </c>
      <c r="N942">
        <v>0</v>
      </c>
      <c r="O942">
        <v>6960.6</v>
      </c>
      <c r="P942">
        <v>264</v>
      </c>
      <c r="Q942">
        <v>45894.6</v>
      </c>
      <c r="R942" t="s">
        <v>54</v>
      </c>
      <c r="S942" t="s">
        <v>63</v>
      </c>
      <c r="T942" t="s">
        <v>35</v>
      </c>
      <c r="U942" t="s">
        <v>36</v>
      </c>
      <c r="V942" t="s">
        <v>37</v>
      </c>
      <c r="W942">
        <v>5</v>
      </c>
      <c r="X942" t="s">
        <v>38</v>
      </c>
      <c r="Y942">
        <v>5</v>
      </c>
      <c r="Z942" t="s">
        <v>39</v>
      </c>
    </row>
    <row r="943" spans="1:26" x14ac:dyDescent="0.3">
      <c r="A943" t="s">
        <v>1615</v>
      </c>
      <c r="B943" s="2">
        <v>46001</v>
      </c>
      <c r="C943" t="s">
        <v>268</v>
      </c>
      <c r="D943" t="s">
        <v>61</v>
      </c>
      <c r="E943" t="s">
        <v>29</v>
      </c>
      <c r="F943">
        <v>46</v>
      </c>
      <c r="G943" t="s">
        <v>67</v>
      </c>
      <c r="H943" t="s">
        <v>68</v>
      </c>
      <c r="I943" t="s">
        <v>67</v>
      </c>
      <c r="J943" t="s">
        <v>201</v>
      </c>
      <c r="K943">
        <v>1</v>
      </c>
      <c r="L943">
        <v>13846</v>
      </c>
      <c r="M943">
        <v>5</v>
      </c>
      <c r="N943">
        <v>692.3</v>
      </c>
      <c r="O943">
        <v>2367.67</v>
      </c>
      <c r="P943">
        <v>300</v>
      </c>
      <c r="Q943">
        <v>15821.37</v>
      </c>
      <c r="R943" t="s">
        <v>54</v>
      </c>
      <c r="S943" t="s">
        <v>63</v>
      </c>
      <c r="T943" t="s">
        <v>55</v>
      </c>
      <c r="U943" t="s">
        <v>56</v>
      </c>
      <c r="V943" t="s">
        <v>57</v>
      </c>
      <c r="W943">
        <v>6</v>
      </c>
      <c r="X943" t="s">
        <v>47</v>
      </c>
      <c r="Y943">
        <v>5</v>
      </c>
      <c r="Z943" t="s">
        <v>58</v>
      </c>
    </row>
    <row r="944" spans="1:26" x14ac:dyDescent="0.3">
      <c r="A944" t="s">
        <v>1616</v>
      </c>
      <c r="B944" s="2">
        <v>46073</v>
      </c>
      <c r="C944" t="s">
        <v>713</v>
      </c>
      <c r="D944" t="s">
        <v>42</v>
      </c>
      <c r="E944" t="s">
        <v>43</v>
      </c>
      <c r="F944">
        <v>51</v>
      </c>
      <c r="G944" t="s">
        <v>67</v>
      </c>
      <c r="H944" t="s">
        <v>68</v>
      </c>
      <c r="I944" t="s">
        <v>67</v>
      </c>
      <c r="J944" t="s">
        <v>201</v>
      </c>
      <c r="K944">
        <v>3</v>
      </c>
      <c r="L944">
        <v>7577</v>
      </c>
      <c r="M944">
        <v>10</v>
      </c>
      <c r="N944">
        <v>2273.1</v>
      </c>
      <c r="O944">
        <v>3682.42</v>
      </c>
      <c r="P944">
        <v>242</v>
      </c>
      <c r="Q944">
        <v>24382.32</v>
      </c>
      <c r="R944" t="s">
        <v>33</v>
      </c>
      <c r="S944" t="s">
        <v>34</v>
      </c>
      <c r="T944" t="s">
        <v>70</v>
      </c>
      <c r="U944" t="s">
        <v>56</v>
      </c>
      <c r="V944" t="s">
        <v>57</v>
      </c>
      <c r="W944">
        <v>1</v>
      </c>
      <c r="X944" t="s">
        <v>38</v>
      </c>
      <c r="Y944">
        <v>2</v>
      </c>
      <c r="Z944" t="s">
        <v>47</v>
      </c>
    </row>
    <row r="945" spans="1:26" x14ac:dyDescent="0.3">
      <c r="A945" t="s">
        <v>1617</v>
      </c>
      <c r="B945" s="2">
        <v>46119</v>
      </c>
      <c r="C945" t="s">
        <v>1618</v>
      </c>
      <c r="D945" t="s">
        <v>61</v>
      </c>
      <c r="E945" t="s">
        <v>29</v>
      </c>
      <c r="F945">
        <v>20</v>
      </c>
      <c r="G945" t="s">
        <v>44</v>
      </c>
      <c r="H945" t="s">
        <v>31</v>
      </c>
      <c r="I945" t="s">
        <v>44</v>
      </c>
      <c r="J945" t="s">
        <v>53</v>
      </c>
      <c r="K945">
        <v>5</v>
      </c>
      <c r="L945">
        <v>32146</v>
      </c>
      <c r="M945">
        <v>10</v>
      </c>
      <c r="N945">
        <v>16073</v>
      </c>
      <c r="O945">
        <v>26038.26</v>
      </c>
      <c r="P945">
        <v>38</v>
      </c>
      <c r="Q945">
        <v>170733.26</v>
      </c>
      <c r="R945" t="s">
        <v>33</v>
      </c>
      <c r="S945" t="s">
        <v>63</v>
      </c>
      <c r="T945" t="s">
        <v>70</v>
      </c>
      <c r="U945" t="s">
        <v>56</v>
      </c>
      <c r="V945" t="s">
        <v>57</v>
      </c>
      <c r="W945">
        <v>3</v>
      </c>
      <c r="X945" t="s">
        <v>47</v>
      </c>
      <c r="Y945">
        <v>1</v>
      </c>
      <c r="Z945" t="s">
        <v>47</v>
      </c>
    </row>
    <row r="946" spans="1:26" x14ac:dyDescent="0.3">
      <c r="A946" t="s">
        <v>1619</v>
      </c>
      <c r="B946" s="2">
        <v>45976</v>
      </c>
      <c r="C946" t="s">
        <v>1187</v>
      </c>
      <c r="D946" t="s">
        <v>61</v>
      </c>
      <c r="E946" t="s">
        <v>29</v>
      </c>
      <c r="F946">
        <v>37</v>
      </c>
      <c r="G946" t="s">
        <v>134</v>
      </c>
      <c r="H946" t="s">
        <v>31</v>
      </c>
      <c r="I946" t="s">
        <v>134</v>
      </c>
      <c r="J946" t="s">
        <v>32</v>
      </c>
      <c r="K946">
        <v>2</v>
      </c>
      <c r="L946">
        <v>36331</v>
      </c>
      <c r="M946">
        <v>15</v>
      </c>
      <c r="N946">
        <v>10899.3</v>
      </c>
      <c r="O946">
        <v>11117.29</v>
      </c>
      <c r="P946">
        <v>386</v>
      </c>
      <c r="Q946">
        <v>73265.990000000005</v>
      </c>
      <c r="R946" t="s">
        <v>45</v>
      </c>
      <c r="S946" t="s">
        <v>34</v>
      </c>
      <c r="T946" t="s">
        <v>35</v>
      </c>
      <c r="U946" t="s">
        <v>36</v>
      </c>
      <c r="V946" t="s">
        <v>37</v>
      </c>
      <c r="W946">
        <v>3</v>
      </c>
      <c r="X946" t="s">
        <v>47</v>
      </c>
      <c r="Y946">
        <v>5</v>
      </c>
      <c r="Z946" t="s">
        <v>91</v>
      </c>
    </row>
    <row r="947" spans="1:26" x14ac:dyDescent="0.3">
      <c r="A947" t="s">
        <v>1620</v>
      </c>
      <c r="B947" s="2">
        <v>45970</v>
      </c>
      <c r="C947" t="s">
        <v>1621</v>
      </c>
      <c r="D947" t="s">
        <v>61</v>
      </c>
      <c r="E947" t="s">
        <v>43</v>
      </c>
      <c r="F947">
        <v>54</v>
      </c>
      <c r="G947" t="s">
        <v>67</v>
      </c>
      <c r="H947" t="s">
        <v>68</v>
      </c>
      <c r="I947" t="s">
        <v>67</v>
      </c>
      <c r="J947" t="s">
        <v>62</v>
      </c>
      <c r="K947">
        <v>3</v>
      </c>
      <c r="L947">
        <v>30863</v>
      </c>
      <c r="M947">
        <v>0</v>
      </c>
      <c r="N947">
        <v>0</v>
      </c>
      <c r="O947">
        <v>16666.02</v>
      </c>
      <c r="P947">
        <v>493</v>
      </c>
      <c r="Q947">
        <v>109748.02</v>
      </c>
      <c r="R947" t="s">
        <v>83</v>
      </c>
      <c r="S947" t="s">
        <v>63</v>
      </c>
      <c r="T947" t="s">
        <v>70</v>
      </c>
      <c r="U947" t="s">
        <v>56</v>
      </c>
      <c r="V947" t="s">
        <v>57</v>
      </c>
      <c r="W947">
        <v>10</v>
      </c>
      <c r="X947" t="s">
        <v>38</v>
      </c>
      <c r="Y947">
        <v>3</v>
      </c>
      <c r="Z947" t="s">
        <v>58</v>
      </c>
    </row>
    <row r="948" spans="1:26" x14ac:dyDescent="0.3">
      <c r="A948" t="s">
        <v>1622</v>
      </c>
      <c r="B948" s="2">
        <v>46095</v>
      </c>
      <c r="C948" t="s">
        <v>1265</v>
      </c>
      <c r="D948" t="s">
        <v>42</v>
      </c>
      <c r="E948" t="s">
        <v>43</v>
      </c>
      <c r="F948">
        <v>18</v>
      </c>
      <c r="G948" t="s">
        <v>134</v>
      </c>
      <c r="H948" t="s">
        <v>31</v>
      </c>
      <c r="I948" t="s">
        <v>134</v>
      </c>
      <c r="J948" t="s">
        <v>69</v>
      </c>
      <c r="K948">
        <v>1</v>
      </c>
      <c r="L948">
        <v>14652</v>
      </c>
      <c r="M948">
        <v>0</v>
      </c>
      <c r="N948">
        <v>0</v>
      </c>
      <c r="O948">
        <v>2637.36</v>
      </c>
      <c r="P948">
        <v>24</v>
      </c>
      <c r="Q948">
        <v>17313.36</v>
      </c>
      <c r="R948" t="s">
        <v>83</v>
      </c>
      <c r="S948" t="s">
        <v>63</v>
      </c>
      <c r="T948" t="s">
        <v>55</v>
      </c>
      <c r="U948" t="s">
        <v>56</v>
      </c>
      <c r="V948" t="s">
        <v>57</v>
      </c>
      <c r="W948">
        <v>4</v>
      </c>
      <c r="X948" t="s">
        <v>38</v>
      </c>
      <c r="Y948">
        <v>4</v>
      </c>
      <c r="Z948" t="s">
        <v>47</v>
      </c>
    </row>
    <row r="949" spans="1:26" x14ac:dyDescent="0.3">
      <c r="A949" t="s">
        <v>1623</v>
      </c>
      <c r="B949" s="2">
        <v>46118</v>
      </c>
      <c r="C949" t="s">
        <v>740</v>
      </c>
      <c r="D949" t="s">
        <v>80</v>
      </c>
      <c r="E949" t="s">
        <v>43</v>
      </c>
      <c r="F949">
        <v>21</v>
      </c>
      <c r="G949" t="s">
        <v>30</v>
      </c>
      <c r="H949" t="s">
        <v>31</v>
      </c>
      <c r="I949" t="s">
        <v>30</v>
      </c>
      <c r="J949" t="s">
        <v>201</v>
      </c>
      <c r="K949">
        <v>5</v>
      </c>
      <c r="L949">
        <v>1032</v>
      </c>
      <c r="M949">
        <v>10</v>
      </c>
      <c r="N949">
        <v>516</v>
      </c>
      <c r="O949">
        <v>835.92</v>
      </c>
      <c r="P949">
        <v>234</v>
      </c>
      <c r="Q949">
        <v>5713.92</v>
      </c>
      <c r="R949" t="s">
        <v>83</v>
      </c>
      <c r="S949" t="s">
        <v>34</v>
      </c>
      <c r="T949" t="s">
        <v>35</v>
      </c>
      <c r="U949" t="s">
        <v>36</v>
      </c>
      <c r="V949" t="s">
        <v>37</v>
      </c>
      <c r="W949">
        <v>4</v>
      </c>
      <c r="X949" t="s">
        <v>38</v>
      </c>
      <c r="Y949">
        <v>3</v>
      </c>
      <c r="Z949" t="s">
        <v>39</v>
      </c>
    </row>
    <row r="950" spans="1:26" x14ac:dyDescent="0.3">
      <c r="A950" t="s">
        <v>1624</v>
      </c>
      <c r="B950" s="2">
        <v>45766</v>
      </c>
      <c r="C950" t="s">
        <v>1625</v>
      </c>
      <c r="D950" t="s">
        <v>89</v>
      </c>
      <c r="E950" t="s">
        <v>29</v>
      </c>
      <c r="F950">
        <v>42</v>
      </c>
      <c r="G950" t="s">
        <v>90</v>
      </c>
      <c r="H950" t="s">
        <v>31</v>
      </c>
      <c r="I950" t="s">
        <v>90</v>
      </c>
      <c r="J950" t="s">
        <v>62</v>
      </c>
      <c r="K950">
        <v>5</v>
      </c>
      <c r="L950">
        <v>4697</v>
      </c>
      <c r="M950">
        <v>0</v>
      </c>
      <c r="N950">
        <v>0</v>
      </c>
      <c r="O950">
        <v>4227.3</v>
      </c>
      <c r="P950">
        <v>377</v>
      </c>
      <c r="Q950">
        <v>28089.3</v>
      </c>
      <c r="R950" t="s">
        <v>83</v>
      </c>
      <c r="S950" t="s">
        <v>63</v>
      </c>
      <c r="T950" t="s">
        <v>46</v>
      </c>
      <c r="U950" t="s">
        <v>36</v>
      </c>
      <c r="V950" t="s">
        <v>37</v>
      </c>
      <c r="W950">
        <v>7</v>
      </c>
      <c r="X950" t="s">
        <v>38</v>
      </c>
      <c r="Y950">
        <v>3</v>
      </c>
      <c r="Z950" t="s">
        <v>39</v>
      </c>
    </row>
    <row r="951" spans="1:26" x14ac:dyDescent="0.3">
      <c r="A951" t="s">
        <v>1626</v>
      </c>
      <c r="B951" s="2">
        <v>46079</v>
      </c>
      <c r="C951" t="s">
        <v>1627</v>
      </c>
      <c r="D951" t="s">
        <v>73</v>
      </c>
      <c r="E951" t="s">
        <v>43</v>
      </c>
      <c r="F951">
        <v>44</v>
      </c>
      <c r="G951" t="s">
        <v>139</v>
      </c>
      <c r="H951" t="s">
        <v>31</v>
      </c>
      <c r="I951" t="s">
        <v>139</v>
      </c>
      <c r="J951" t="s">
        <v>75</v>
      </c>
      <c r="K951">
        <v>1</v>
      </c>
      <c r="L951">
        <v>5912</v>
      </c>
      <c r="M951">
        <v>10</v>
      </c>
      <c r="N951">
        <v>591.20000000000005</v>
      </c>
      <c r="O951">
        <v>957.74</v>
      </c>
      <c r="P951">
        <v>45</v>
      </c>
      <c r="Q951">
        <v>6323.54</v>
      </c>
      <c r="R951" t="s">
        <v>33</v>
      </c>
      <c r="S951" t="s">
        <v>34</v>
      </c>
      <c r="T951" t="s">
        <v>35</v>
      </c>
      <c r="U951" t="s">
        <v>36</v>
      </c>
      <c r="V951" t="s">
        <v>37</v>
      </c>
      <c r="W951">
        <v>2</v>
      </c>
      <c r="X951" t="s">
        <v>47</v>
      </c>
      <c r="Y951">
        <v>2</v>
      </c>
      <c r="Z951" t="s">
        <v>39</v>
      </c>
    </row>
    <row r="952" spans="1:26" x14ac:dyDescent="0.3">
      <c r="A952" t="s">
        <v>1628</v>
      </c>
      <c r="B952" s="2">
        <v>45973</v>
      </c>
      <c r="C952" t="s">
        <v>1629</v>
      </c>
      <c r="D952" t="s">
        <v>80</v>
      </c>
      <c r="E952" t="s">
        <v>29</v>
      </c>
      <c r="F952">
        <v>39</v>
      </c>
      <c r="G952" t="s">
        <v>51</v>
      </c>
      <c r="H952" t="s">
        <v>52</v>
      </c>
      <c r="I952" t="s">
        <v>51</v>
      </c>
      <c r="J952" t="s">
        <v>53</v>
      </c>
      <c r="K952">
        <v>2</v>
      </c>
      <c r="L952">
        <v>43132</v>
      </c>
      <c r="M952">
        <v>0</v>
      </c>
      <c r="N952">
        <v>0</v>
      </c>
      <c r="O952">
        <v>15527.52</v>
      </c>
      <c r="P952">
        <v>296</v>
      </c>
      <c r="Q952">
        <v>102087.52</v>
      </c>
      <c r="R952" t="s">
        <v>45</v>
      </c>
      <c r="S952" t="s">
        <v>34</v>
      </c>
      <c r="T952" t="s">
        <v>55</v>
      </c>
      <c r="U952" t="s">
        <v>56</v>
      </c>
      <c r="V952" t="s">
        <v>57</v>
      </c>
      <c r="W952">
        <v>7</v>
      </c>
      <c r="X952" t="s">
        <v>47</v>
      </c>
      <c r="Y952">
        <v>1</v>
      </c>
      <c r="Z952" t="s">
        <v>39</v>
      </c>
    </row>
    <row r="953" spans="1:26" x14ac:dyDescent="0.3">
      <c r="A953" t="s">
        <v>1630</v>
      </c>
      <c r="B953" s="2">
        <v>45772</v>
      </c>
      <c r="C953" t="s">
        <v>1097</v>
      </c>
      <c r="D953" t="s">
        <v>66</v>
      </c>
      <c r="E953" t="s">
        <v>43</v>
      </c>
      <c r="F953">
        <v>23</v>
      </c>
      <c r="G953" t="s">
        <v>139</v>
      </c>
      <c r="H953" t="s">
        <v>31</v>
      </c>
      <c r="I953" t="s">
        <v>139</v>
      </c>
      <c r="J953" t="s">
        <v>69</v>
      </c>
      <c r="K953">
        <v>1</v>
      </c>
      <c r="L953">
        <v>47653</v>
      </c>
      <c r="M953">
        <v>5</v>
      </c>
      <c r="N953">
        <v>2382.65</v>
      </c>
      <c r="O953">
        <v>8148.66</v>
      </c>
      <c r="P953">
        <v>319</v>
      </c>
      <c r="Q953">
        <v>53738.01</v>
      </c>
      <c r="R953" t="s">
        <v>33</v>
      </c>
      <c r="S953" t="s">
        <v>34</v>
      </c>
      <c r="T953" t="s">
        <v>84</v>
      </c>
      <c r="U953" t="s">
        <v>85</v>
      </c>
      <c r="V953" t="s">
        <v>86</v>
      </c>
      <c r="W953">
        <v>9</v>
      </c>
      <c r="X953" t="s">
        <v>47</v>
      </c>
      <c r="Y953">
        <v>3</v>
      </c>
      <c r="Z953" t="s">
        <v>39</v>
      </c>
    </row>
    <row r="954" spans="1:26" x14ac:dyDescent="0.3">
      <c r="A954" t="s">
        <v>1631</v>
      </c>
      <c r="B954" s="2">
        <v>46063</v>
      </c>
      <c r="C954" t="s">
        <v>1426</v>
      </c>
      <c r="D954" t="s">
        <v>108</v>
      </c>
      <c r="E954" t="s">
        <v>43</v>
      </c>
      <c r="F954">
        <v>49</v>
      </c>
      <c r="G954" t="s">
        <v>139</v>
      </c>
      <c r="H954" t="s">
        <v>31</v>
      </c>
      <c r="I954" t="s">
        <v>139</v>
      </c>
      <c r="J954" t="s">
        <v>75</v>
      </c>
      <c r="K954">
        <v>5</v>
      </c>
      <c r="L954">
        <v>34519</v>
      </c>
      <c r="M954">
        <v>10</v>
      </c>
      <c r="N954">
        <v>17259.5</v>
      </c>
      <c r="O954">
        <v>27960.39</v>
      </c>
      <c r="P954">
        <v>202</v>
      </c>
      <c r="Q954">
        <v>183497.89</v>
      </c>
      <c r="R954" t="s">
        <v>33</v>
      </c>
      <c r="S954" t="s">
        <v>34</v>
      </c>
      <c r="T954" t="s">
        <v>46</v>
      </c>
      <c r="U954" t="s">
        <v>36</v>
      </c>
      <c r="V954" t="s">
        <v>37</v>
      </c>
      <c r="W954">
        <v>4</v>
      </c>
      <c r="X954" t="s">
        <v>38</v>
      </c>
      <c r="Y954">
        <v>1</v>
      </c>
      <c r="Z954" t="s">
        <v>58</v>
      </c>
    </row>
    <row r="955" spans="1:26" x14ac:dyDescent="0.3">
      <c r="A955" t="s">
        <v>1632</v>
      </c>
      <c r="B955" s="2">
        <v>45971</v>
      </c>
      <c r="C955" t="s">
        <v>1633</v>
      </c>
      <c r="D955" t="s">
        <v>80</v>
      </c>
      <c r="E955" t="s">
        <v>29</v>
      </c>
      <c r="F955">
        <v>23</v>
      </c>
      <c r="G955" t="s">
        <v>99</v>
      </c>
      <c r="H955" t="s">
        <v>52</v>
      </c>
      <c r="I955" t="s">
        <v>99</v>
      </c>
      <c r="J955" t="s">
        <v>150</v>
      </c>
      <c r="K955">
        <v>3</v>
      </c>
      <c r="L955">
        <v>39182</v>
      </c>
      <c r="M955">
        <v>15</v>
      </c>
      <c r="N955">
        <v>17631.900000000001</v>
      </c>
      <c r="O955">
        <v>17984.54</v>
      </c>
      <c r="P955">
        <v>76</v>
      </c>
      <c r="Q955">
        <v>117974.64</v>
      </c>
      <c r="R955" t="s">
        <v>54</v>
      </c>
      <c r="S955" t="s">
        <v>34</v>
      </c>
      <c r="T955" t="s">
        <v>76</v>
      </c>
      <c r="U955" t="s">
        <v>77</v>
      </c>
      <c r="V955" t="s">
        <v>57</v>
      </c>
      <c r="W955">
        <v>6</v>
      </c>
      <c r="X955" t="s">
        <v>38</v>
      </c>
      <c r="Y955">
        <v>5</v>
      </c>
      <c r="Z955" t="s">
        <v>39</v>
      </c>
    </row>
    <row r="956" spans="1:26" x14ac:dyDescent="0.3">
      <c r="A956" t="s">
        <v>1634</v>
      </c>
      <c r="B956" s="2">
        <v>45793</v>
      </c>
      <c r="C956" t="s">
        <v>1001</v>
      </c>
      <c r="D956" t="s">
        <v>50</v>
      </c>
      <c r="E956" t="s">
        <v>29</v>
      </c>
      <c r="F956">
        <v>51</v>
      </c>
      <c r="G956" t="s">
        <v>139</v>
      </c>
      <c r="H956" t="s">
        <v>31</v>
      </c>
      <c r="I956" t="s">
        <v>139</v>
      </c>
      <c r="J956" t="s">
        <v>32</v>
      </c>
      <c r="K956">
        <v>4</v>
      </c>
      <c r="L956">
        <v>34291</v>
      </c>
      <c r="M956">
        <v>20</v>
      </c>
      <c r="N956">
        <v>27432.799999999999</v>
      </c>
      <c r="O956">
        <v>19751.62</v>
      </c>
      <c r="P956">
        <v>458</v>
      </c>
      <c r="Q956">
        <v>129940.82</v>
      </c>
      <c r="R956" t="s">
        <v>83</v>
      </c>
      <c r="S956" t="s">
        <v>63</v>
      </c>
      <c r="T956" t="s">
        <v>35</v>
      </c>
      <c r="U956" t="s">
        <v>36</v>
      </c>
      <c r="V956" t="s">
        <v>37</v>
      </c>
      <c r="W956">
        <v>7</v>
      </c>
      <c r="X956" t="s">
        <v>47</v>
      </c>
      <c r="Y956">
        <v>4</v>
      </c>
      <c r="Z956" t="s">
        <v>39</v>
      </c>
    </row>
    <row r="957" spans="1:26" x14ac:dyDescent="0.3">
      <c r="A957" t="s">
        <v>1635</v>
      </c>
      <c r="B957" s="2">
        <v>45790</v>
      </c>
      <c r="C957" t="s">
        <v>509</v>
      </c>
      <c r="D957" t="s">
        <v>61</v>
      </c>
      <c r="E957" t="s">
        <v>43</v>
      </c>
      <c r="F957">
        <v>44</v>
      </c>
      <c r="G957" t="s">
        <v>99</v>
      </c>
      <c r="H957" t="s">
        <v>52</v>
      </c>
      <c r="I957" t="s">
        <v>99</v>
      </c>
      <c r="J957" t="s">
        <v>62</v>
      </c>
      <c r="K957">
        <v>4</v>
      </c>
      <c r="L957">
        <v>30226</v>
      </c>
      <c r="M957">
        <v>0</v>
      </c>
      <c r="N957">
        <v>0</v>
      </c>
      <c r="O957">
        <v>21762.720000000001</v>
      </c>
      <c r="P957">
        <v>174</v>
      </c>
      <c r="Q957">
        <v>142840.72</v>
      </c>
      <c r="R957" t="s">
        <v>33</v>
      </c>
      <c r="S957" t="s">
        <v>63</v>
      </c>
      <c r="T957" t="s">
        <v>76</v>
      </c>
      <c r="U957" t="s">
        <v>77</v>
      </c>
      <c r="V957" t="s">
        <v>57</v>
      </c>
      <c r="W957">
        <v>7</v>
      </c>
      <c r="X957" t="s">
        <v>38</v>
      </c>
      <c r="Y957">
        <v>3</v>
      </c>
      <c r="Z957" t="s">
        <v>47</v>
      </c>
    </row>
    <row r="958" spans="1:26" x14ac:dyDescent="0.3">
      <c r="A958" t="s">
        <v>1636</v>
      </c>
      <c r="B958" s="2">
        <v>46091</v>
      </c>
      <c r="C958" t="s">
        <v>971</v>
      </c>
      <c r="D958" t="s">
        <v>108</v>
      </c>
      <c r="E958" t="s">
        <v>29</v>
      </c>
      <c r="F958">
        <v>54</v>
      </c>
      <c r="G958" t="s">
        <v>90</v>
      </c>
      <c r="H958" t="s">
        <v>31</v>
      </c>
      <c r="I958" t="s">
        <v>90</v>
      </c>
      <c r="J958" t="s">
        <v>150</v>
      </c>
      <c r="K958">
        <v>3</v>
      </c>
      <c r="L958">
        <v>3452</v>
      </c>
      <c r="M958">
        <v>20</v>
      </c>
      <c r="N958">
        <v>2071.1999999999998</v>
      </c>
      <c r="O958">
        <v>1491.26</v>
      </c>
      <c r="P958">
        <v>219</v>
      </c>
      <c r="Q958">
        <v>9995.06</v>
      </c>
      <c r="R958" t="s">
        <v>45</v>
      </c>
      <c r="S958" t="s">
        <v>34</v>
      </c>
      <c r="T958" t="s">
        <v>76</v>
      </c>
      <c r="U958" t="s">
        <v>77</v>
      </c>
      <c r="V958" t="s">
        <v>57</v>
      </c>
      <c r="W958">
        <v>5</v>
      </c>
      <c r="X958" t="s">
        <v>47</v>
      </c>
      <c r="Y958">
        <v>3</v>
      </c>
      <c r="Z958" t="s">
        <v>91</v>
      </c>
    </row>
    <row r="959" spans="1:26" x14ac:dyDescent="0.3">
      <c r="A959" t="s">
        <v>1637</v>
      </c>
      <c r="B959" s="2">
        <v>46002</v>
      </c>
      <c r="C959" t="s">
        <v>1304</v>
      </c>
      <c r="D959" t="s">
        <v>42</v>
      </c>
      <c r="E959" t="s">
        <v>43</v>
      </c>
      <c r="F959">
        <v>24</v>
      </c>
      <c r="G959" t="s">
        <v>94</v>
      </c>
      <c r="H959" t="s">
        <v>31</v>
      </c>
      <c r="I959" t="s">
        <v>94</v>
      </c>
      <c r="J959" t="s">
        <v>69</v>
      </c>
      <c r="K959">
        <v>4</v>
      </c>
      <c r="L959">
        <v>29812</v>
      </c>
      <c r="M959">
        <v>5</v>
      </c>
      <c r="N959">
        <v>5962.4</v>
      </c>
      <c r="O959">
        <v>20391.41</v>
      </c>
      <c r="P959">
        <v>257</v>
      </c>
      <c r="Q959">
        <v>133934.01</v>
      </c>
      <c r="R959" t="s">
        <v>83</v>
      </c>
      <c r="S959" t="s">
        <v>34</v>
      </c>
      <c r="T959" t="s">
        <v>84</v>
      </c>
      <c r="U959" t="s">
        <v>85</v>
      </c>
      <c r="V959" t="s">
        <v>86</v>
      </c>
      <c r="W959">
        <v>7</v>
      </c>
      <c r="X959" t="s">
        <v>47</v>
      </c>
      <c r="Y959">
        <v>3</v>
      </c>
      <c r="Z959" t="s">
        <v>39</v>
      </c>
    </row>
    <row r="960" spans="1:26" x14ac:dyDescent="0.3">
      <c r="A960" t="s">
        <v>1638</v>
      </c>
      <c r="B960" s="2">
        <v>45757</v>
      </c>
      <c r="C960" t="s">
        <v>1466</v>
      </c>
      <c r="D960" t="s">
        <v>108</v>
      </c>
      <c r="E960" t="s">
        <v>29</v>
      </c>
      <c r="F960">
        <v>33</v>
      </c>
      <c r="G960" t="s">
        <v>94</v>
      </c>
      <c r="H960" t="s">
        <v>31</v>
      </c>
      <c r="I960" t="s">
        <v>94</v>
      </c>
      <c r="J960" t="s">
        <v>125</v>
      </c>
      <c r="K960">
        <v>4</v>
      </c>
      <c r="L960">
        <v>12665</v>
      </c>
      <c r="M960">
        <v>10</v>
      </c>
      <c r="N960">
        <v>5066</v>
      </c>
      <c r="O960">
        <v>8206.92</v>
      </c>
      <c r="P960">
        <v>304</v>
      </c>
      <c r="Q960">
        <v>54104.92</v>
      </c>
      <c r="R960" t="s">
        <v>33</v>
      </c>
      <c r="S960" t="s">
        <v>34</v>
      </c>
      <c r="T960" t="s">
        <v>76</v>
      </c>
      <c r="U960" t="s">
        <v>77</v>
      </c>
      <c r="V960" t="s">
        <v>57</v>
      </c>
      <c r="W960">
        <v>9</v>
      </c>
      <c r="X960" t="s">
        <v>47</v>
      </c>
      <c r="Y960">
        <v>3</v>
      </c>
      <c r="Z960" t="s">
        <v>47</v>
      </c>
    </row>
    <row r="961" spans="1:26" x14ac:dyDescent="0.3">
      <c r="A961" t="s">
        <v>1639</v>
      </c>
      <c r="B961" s="2">
        <v>45989</v>
      </c>
      <c r="C961" t="s">
        <v>858</v>
      </c>
      <c r="D961" t="s">
        <v>73</v>
      </c>
      <c r="E961" t="s">
        <v>43</v>
      </c>
      <c r="F961">
        <v>34</v>
      </c>
      <c r="G961" t="s">
        <v>30</v>
      </c>
      <c r="H961" t="s">
        <v>31</v>
      </c>
      <c r="I961" t="s">
        <v>30</v>
      </c>
      <c r="J961" t="s">
        <v>69</v>
      </c>
      <c r="K961">
        <v>2</v>
      </c>
      <c r="L961">
        <v>19888</v>
      </c>
      <c r="M961">
        <v>5</v>
      </c>
      <c r="N961">
        <v>1988.8</v>
      </c>
      <c r="O961">
        <v>6801.7</v>
      </c>
      <c r="P961">
        <v>174</v>
      </c>
      <c r="Q961">
        <v>44762.9</v>
      </c>
      <c r="R961" t="s">
        <v>45</v>
      </c>
      <c r="S961" t="s">
        <v>63</v>
      </c>
      <c r="T961" t="s">
        <v>103</v>
      </c>
      <c r="U961" t="s">
        <v>103</v>
      </c>
      <c r="V961" t="s">
        <v>57</v>
      </c>
      <c r="W961">
        <v>7</v>
      </c>
      <c r="X961" t="s">
        <v>47</v>
      </c>
      <c r="Y961">
        <v>3</v>
      </c>
      <c r="Z961" t="s">
        <v>91</v>
      </c>
    </row>
    <row r="962" spans="1:26" x14ac:dyDescent="0.3">
      <c r="A962" t="s">
        <v>1640</v>
      </c>
      <c r="B962" s="2">
        <v>45982</v>
      </c>
      <c r="C962" t="s">
        <v>1159</v>
      </c>
      <c r="D962" t="s">
        <v>61</v>
      </c>
      <c r="E962" t="s">
        <v>43</v>
      </c>
      <c r="F962">
        <v>58</v>
      </c>
      <c r="G962" t="s">
        <v>44</v>
      </c>
      <c r="H962" t="s">
        <v>31</v>
      </c>
      <c r="I962" t="s">
        <v>44</v>
      </c>
      <c r="J962" t="s">
        <v>201</v>
      </c>
      <c r="K962">
        <v>5</v>
      </c>
      <c r="L962">
        <v>24187</v>
      </c>
      <c r="M962">
        <v>20</v>
      </c>
      <c r="N962">
        <v>24187</v>
      </c>
      <c r="O962">
        <v>17414.64</v>
      </c>
      <c r="P962">
        <v>271</v>
      </c>
      <c r="Q962">
        <v>114433.64</v>
      </c>
      <c r="R962" t="s">
        <v>33</v>
      </c>
      <c r="S962" t="s">
        <v>63</v>
      </c>
      <c r="T962" t="s">
        <v>103</v>
      </c>
      <c r="U962" t="s">
        <v>103</v>
      </c>
      <c r="V962" t="s">
        <v>57</v>
      </c>
      <c r="W962">
        <v>9</v>
      </c>
      <c r="X962" t="s">
        <v>47</v>
      </c>
      <c r="Y962">
        <v>2</v>
      </c>
      <c r="Z962" t="s">
        <v>39</v>
      </c>
    </row>
    <row r="963" spans="1:26" x14ac:dyDescent="0.3">
      <c r="A963" t="s">
        <v>1641</v>
      </c>
      <c r="B963" s="2">
        <v>45860</v>
      </c>
      <c r="C963" t="s">
        <v>693</v>
      </c>
      <c r="D963" t="s">
        <v>73</v>
      </c>
      <c r="E963" t="s">
        <v>43</v>
      </c>
      <c r="F963">
        <v>21</v>
      </c>
      <c r="G963" t="s">
        <v>51</v>
      </c>
      <c r="H963" t="s">
        <v>52</v>
      </c>
      <c r="I963" t="s">
        <v>51</v>
      </c>
      <c r="J963" t="s">
        <v>75</v>
      </c>
      <c r="K963">
        <v>1</v>
      </c>
      <c r="L963">
        <v>27343</v>
      </c>
      <c r="M963">
        <v>5</v>
      </c>
      <c r="N963">
        <v>1367.15</v>
      </c>
      <c r="O963">
        <v>4675.6499999999996</v>
      </c>
      <c r="P963">
        <v>427</v>
      </c>
      <c r="Q963">
        <v>31078.5</v>
      </c>
      <c r="R963" t="s">
        <v>83</v>
      </c>
      <c r="S963" t="s">
        <v>34</v>
      </c>
      <c r="T963" t="s">
        <v>55</v>
      </c>
      <c r="U963" t="s">
        <v>56</v>
      </c>
      <c r="V963" t="s">
        <v>57</v>
      </c>
      <c r="W963">
        <v>6</v>
      </c>
      <c r="X963" t="s">
        <v>38</v>
      </c>
      <c r="Y963">
        <v>1</v>
      </c>
      <c r="Z963" t="s">
        <v>91</v>
      </c>
    </row>
    <row r="964" spans="1:26" x14ac:dyDescent="0.3">
      <c r="A964" t="s">
        <v>1642</v>
      </c>
      <c r="B964" s="2">
        <v>45953</v>
      </c>
      <c r="C964" t="s">
        <v>264</v>
      </c>
      <c r="D964" t="s">
        <v>61</v>
      </c>
      <c r="E964" t="s">
        <v>29</v>
      </c>
      <c r="F964">
        <v>23</v>
      </c>
      <c r="G964" t="s">
        <v>74</v>
      </c>
      <c r="H964" t="s">
        <v>31</v>
      </c>
      <c r="I964" t="s">
        <v>74</v>
      </c>
      <c r="J964" t="s">
        <v>62</v>
      </c>
      <c r="K964">
        <v>1</v>
      </c>
      <c r="L964">
        <v>36253</v>
      </c>
      <c r="M964">
        <v>0</v>
      </c>
      <c r="N964">
        <v>0</v>
      </c>
      <c r="O964">
        <v>6525.54</v>
      </c>
      <c r="P964">
        <v>493</v>
      </c>
      <c r="Q964">
        <v>43271.54</v>
      </c>
      <c r="R964" t="s">
        <v>54</v>
      </c>
      <c r="S964" t="s">
        <v>34</v>
      </c>
      <c r="T964" t="s">
        <v>70</v>
      </c>
      <c r="U964" t="s">
        <v>56</v>
      </c>
      <c r="V964" t="s">
        <v>57</v>
      </c>
      <c r="W964">
        <v>7</v>
      </c>
      <c r="X964" t="s">
        <v>38</v>
      </c>
      <c r="Y964">
        <v>2</v>
      </c>
      <c r="Z964" t="s">
        <v>39</v>
      </c>
    </row>
    <row r="965" spans="1:26" x14ac:dyDescent="0.3">
      <c r="A965" t="s">
        <v>1643</v>
      </c>
      <c r="B965" s="2">
        <v>45914</v>
      </c>
      <c r="C965" t="s">
        <v>944</v>
      </c>
      <c r="D965" t="s">
        <v>73</v>
      </c>
      <c r="E965" t="s">
        <v>43</v>
      </c>
      <c r="F965">
        <v>47</v>
      </c>
      <c r="G965" t="s">
        <v>94</v>
      </c>
      <c r="H965" t="s">
        <v>31</v>
      </c>
      <c r="I965" t="s">
        <v>94</v>
      </c>
      <c r="J965" t="s">
        <v>69</v>
      </c>
      <c r="K965">
        <v>2</v>
      </c>
      <c r="L965">
        <v>6461</v>
      </c>
      <c r="M965">
        <v>0</v>
      </c>
      <c r="N965">
        <v>0</v>
      </c>
      <c r="O965">
        <v>2325.96</v>
      </c>
      <c r="P965">
        <v>137</v>
      </c>
      <c r="Q965">
        <v>15384.96</v>
      </c>
      <c r="R965" t="s">
        <v>33</v>
      </c>
      <c r="S965" t="s">
        <v>63</v>
      </c>
      <c r="T965" t="s">
        <v>35</v>
      </c>
      <c r="U965" t="s">
        <v>36</v>
      </c>
      <c r="V965" t="s">
        <v>37</v>
      </c>
      <c r="W965">
        <v>4</v>
      </c>
      <c r="X965" t="s">
        <v>47</v>
      </c>
      <c r="Y965">
        <v>2</v>
      </c>
      <c r="Z965" t="s">
        <v>58</v>
      </c>
    </row>
    <row r="966" spans="1:26" x14ac:dyDescent="0.3">
      <c r="A966" t="s">
        <v>1644</v>
      </c>
      <c r="B966" s="2">
        <v>45937</v>
      </c>
      <c r="C966" t="s">
        <v>1645</v>
      </c>
      <c r="D966" t="s">
        <v>42</v>
      </c>
      <c r="E966" t="s">
        <v>29</v>
      </c>
      <c r="F966">
        <v>26</v>
      </c>
      <c r="G966" t="s">
        <v>30</v>
      </c>
      <c r="H966" t="s">
        <v>31</v>
      </c>
      <c r="I966" t="s">
        <v>30</v>
      </c>
      <c r="J966" t="s">
        <v>32</v>
      </c>
      <c r="K966">
        <v>5</v>
      </c>
      <c r="L966">
        <v>34990</v>
      </c>
      <c r="M966">
        <v>20</v>
      </c>
      <c r="N966">
        <v>34990</v>
      </c>
      <c r="O966">
        <v>25192.799999999999</v>
      </c>
      <c r="P966">
        <v>340</v>
      </c>
      <c r="Q966">
        <v>165492.79999999999</v>
      </c>
      <c r="R966" t="s">
        <v>83</v>
      </c>
      <c r="S966" t="s">
        <v>34</v>
      </c>
      <c r="T966" t="s">
        <v>95</v>
      </c>
      <c r="U966" t="s">
        <v>96</v>
      </c>
      <c r="V966" t="s">
        <v>57</v>
      </c>
      <c r="W966">
        <v>2</v>
      </c>
      <c r="X966" t="s">
        <v>47</v>
      </c>
      <c r="Y966">
        <v>1</v>
      </c>
      <c r="Z966" t="s">
        <v>91</v>
      </c>
    </row>
    <row r="967" spans="1:26" x14ac:dyDescent="0.3">
      <c r="A967" t="s">
        <v>1646</v>
      </c>
      <c r="B967" s="2">
        <v>46080</v>
      </c>
      <c r="C967" t="s">
        <v>455</v>
      </c>
      <c r="D967" t="s">
        <v>50</v>
      </c>
      <c r="E967" t="s">
        <v>43</v>
      </c>
      <c r="F967">
        <v>33</v>
      </c>
      <c r="G967" t="s">
        <v>44</v>
      </c>
      <c r="H967" t="s">
        <v>31</v>
      </c>
      <c r="I967" t="s">
        <v>44</v>
      </c>
      <c r="J967" t="s">
        <v>53</v>
      </c>
      <c r="K967">
        <v>3</v>
      </c>
      <c r="L967">
        <v>6736</v>
      </c>
      <c r="M967">
        <v>15</v>
      </c>
      <c r="N967">
        <v>3031.2</v>
      </c>
      <c r="O967">
        <v>3091.82</v>
      </c>
      <c r="P967">
        <v>130</v>
      </c>
      <c r="Q967">
        <v>20398.62</v>
      </c>
      <c r="R967" t="s">
        <v>54</v>
      </c>
      <c r="S967" t="s">
        <v>34</v>
      </c>
      <c r="T967" t="s">
        <v>103</v>
      </c>
      <c r="U967" t="s">
        <v>103</v>
      </c>
      <c r="V967" t="s">
        <v>57</v>
      </c>
      <c r="W967">
        <v>8</v>
      </c>
      <c r="X967" t="s">
        <v>47</v>
      </c>
      <c r="Y967">
        <v>3</v>
      </c>
      <c r="Z967" t="s">
        <v>58</v>
      </c>
    </row>
    <row r="968" spans="1:26" x14ac:dyDescent="0.3">
      <c r="A968" t="s">
        <v>1647</v>
      </c>
      <c r="B968" s="2">
        <v>46062</v>
      </c>
      <c r="C968" t="s">
        <v>840</v>
      </c>
      <c r="D968" t="s">
        <v>80</v>
      </c>
      <c r="E968" t="s">
        <v>29</v>
      </c>
      <c r="F968">
        <v>27</v>
      </c>
      <c r="G968" t="s">
        <v>30</v>
      </c>
      <c r="H968" t="s">
        <v>31</v>
      </c>
      <c r="I968" t="s">
        <v>30</v>
      </c>
      <c r="J968" t="s">
        <v>112</v>
      </c>
      <c r="K968">
        <v>1</v>
      </c>
      <c r="L968">
        <v>24799</v>
      </c>
      <c r="M968">
        <v>0</v>
      </c>
      <c r="N968">
        <v>0</v>
      </c>
      <c r="O968">
        <v>4463.82</v>
      </c>
      <c r="P968">
        <v>488</v>
      </c>
      <c r="Q968">
        <v>29750.82</v>
      </c>
      <c r="R968" t="s">
        <v>83</v>
      </c>
      <c r="S968" t="s">
        <v>63</v>
      </c>
      <c r="T968" t="s">
        <v>55</v>
      </c>
      <c r="U968" t="s">
        <v>56</v>
      </c>
      <c r="V968" t="s">
        <v>57</v>
      </c>
      <c r="W968">
        <v>1</v>
      </c>
      <c r="X968" t="s">
        <v>47</v>
      </c>
      <c r="Y968">
        <v>4</v>
      </c>
      <c r="Z968" t="s">
        <v>91</v>
      </c>
    </row>
    <row r="969" spans="1:26" x14ac:dyDescent="0.3">
      <c r="A969" t="s">
        <v>1648</v>
      </c>
      <c r="B969" s="2">
        <v>45790</v>
      </c>
      <c r="C969" t="s">
        <v>540</v>
      </c>
      <c r="D969" t="s">
        <v>28</v>
      </c>
      <c r="E969" t="s">
        <v>43</v>
      </c>
      <c r="F969">
        <v>47</v>
      </c>
      <c r="G969" t="s">
        <v>139</v>
      </c>
      <c r="H969" t="s">
        <v>31</v>
      </c>
      <c r="I969" t="s">
        <v>139</v>
      </c>
      <c r="J969" t="s">
        <v>112</v>
      </c>
      <c r="K969">
        <v>1</v>
      </c>
      <c r="L969">
        <v>9195</v>
      </c>
      <c r="M969">
        <v>20</v>
      </c>
      <c r="N969">
        <v>1839</v>
      </c>
      <c r="O969">
        <v>1324.08</v>
      </c>
      <c r="P969">
        <v>174</v>
      </c>
      <c r="Q969">
        <v>8854.08</v>
      </c>
      <c r="R969" t="s">
        <v>54</v>
      </c>
      <c r="S969" t="s">
        <v>34</v>
      </c>
      <c r="T969" t="s">
        <v>103</v>
      </c>
      <c r="U969" t="s">
        <v>103</v>
      </c>
      <c r="V969" t="s">
        <v>57</v>
      </c>
      <c r="W969">
        <v>2</v>
      </c>
      <c r="X969" t="s">
        <v>47</v>
      </c>
      <c r="Y969">
        <v>5</v>
      </c>
      <c r="Z969" t="s">
        <v>47</v>
      </c>
    </row>
    <row r="970" spans="1:26" x14ac:dyDescent="0.3">
      <c r="A970" t="s">
        <v>1649</v>
      </c>
      <c r="B970" s="2">
        <v>46119</v>
      </c>
      <c r="C970" t="s">
        <v>1650</v>
      </c>
      <c r="D970" t="s">
        <v>111</v>
      </c>
      <c r="E970" t="s">
        <v>29</v>
      </c>
      <c r="F970">
        <v>41</v>
      </c>
      <c r="G970" t="s">
        <v>44</v>
      </c>
      <c r="H970" t="s">
        <v>31</v>
      </c>
      <c r="I970" t="s">
        <v>44</v>
      </c>
      <c r="J970" t="s">
        <v>201</v>
      </c>
      <c r="K970">
        <v>3</v>
      </c>
      <c r="L970">
        <v>46281</v>
      </c>
      <c r="M970">
        <v>5</v>
      </c>
      <c r="N970">
        <v>6942.15</v>
      </c>
      <c r="O970">
        <v>23742.15</v>
      </c>
      <c r="P970">
        <v>54</v>
      </c>
      <c r="Q970">
        <v>155697</v>
      </c>
      <c r="R970" t="s">
        <v>54</v>
      </c>
      <c r="S970" t="s">
        <v>63</v>
      </c>
      <c r="T970" t="s">
        <v>35</v>
      </c>
      <c r="U970" t="s">
        <v>36</v>
      </c>
      <c r="V970" t="s">
        <v>37</v>
      </c>
      <c r="W970">
        <v>8</v>
      </c>
      <c r="X970" t="s">
        <v>47</v>
      </c>
      <c r="Y970">
        <v>2</v>
      </c>
      <c r="Z970" t="s">
        <v>58</v>
      </c>
    </row>
    <row r="971" spans="1:26" x14ac:dyDescent="0.3">
      <c r="A971" t="s">
        <v>1651</v>
      </c>
      <c r="B971" s="2">
        <v>46000</v>
      </c>
      <c r="C971" t="s">
        <v>1652</v>
      </c>
      <c r="D971" t="s">
        <v>73</v>
      </c>
      <c r="E971" t="s">
        <v>43</v>
      </c>
      <c r="F971">
        <v>47</v>
      </c>
      <c r="G971" t="s">
        <v>44</v>
      </c>
      <c r="H971" t="s">
        <v>31</v>
      </c>
      <c r="I971" t="s">
        <v>44</v>
      </c>
      <c r="J971" t="s">
        <v>150</v>
      </c>
      <c r="K971">
        <v>3</v>
      </c>
      <c r="L971">
        <v>11665</v>
      </c>
      <c r="M971">
        <v>15</v>
      </c>
      <c r="N971">
        <v>5249.25</v>
      </c>
      <c r="O971">
        <v>5354.23</v>
      </c>
      <c r="P971">
        <v>392</v>
      </c>
      <c r="Q971">
        <v>35491.99</v>
      </c>
      <c r="R971" t="s">
        <v>83</v>
      </c>
      <c r="S971" t="s">
        <v>63</v>
      </c>
      <c r="T971" t="s">
        <v>76</v>
      </c>
      <c r="U971" t="s">
        <v>77</v>
      </c>
      <c r="V971" t="s">
        <v>57</v>
      </c>
      <c r="W971">
        <v>6</v>
      </c>
      <c r="X971" t="s">
        <v>38</v>
      </c>
      <c r="Y971">
        <v>5</v>
      </c>
      <c r="Z971" t="s">
        <v>47</v>
      </c>
    </row>
    <row r="972" spans="1:26" x14ac:dyDescent="0.3">
      <c r="A972" t="s">
        <v>1653</v>
      </c>
      <c r="B972" s="2">
        <v>45778</v>
      </c>
      <c r="C972" t="s">
        <v>1654</v>
      </c>
      <c r="D972" t="s">
        <v>42</v>
      </c>
      <c r="E972" t="s">
        <v>29</v>
      </c>
      <c r="F972">
        <v>23</v>
      </c>
      <c r="G972" t="s">
        <v>44</v>
      </c>
      <c r="H972" t="s">
        <v>31</v>
      </c>
      <c r="I972" t="s">
        <v>44</v>
      </c>
      <c r="J972" t="s">
        <v>32</v>
      </c>
      <c r="K972">
        <v>2</v>
      </c>
      <c r="L972">
        <v>41905</v>
      </c>
      <c r="M972">
        <v>20</v>
      </c>
      <c r="N972">
        <v>16762</v>
      </c>
      <c r="O972">
        <v>12068.64</v>
      </c>
      <c r="P972">
        <v>427</v>
      </c>
      <c r="Q972">
        <v>79543.64</v>
      </c>
      <c r="R972" t="s">
        <v>54</v>
      </c>
      <c r="S972" t="s">
        <v>63</v>
      </c>
      <c r="T972" t="s">
        <v>70</v>
      </c>
      <c r="U972" t="s">
        <v>56</v>
      </c>
      <c r="V972" t="s">
        <v>57</v>
      </c>
      <c r="W972">
        <v>5</v>
      </c>
      <c r="X972" t="s">
        <v>38</v>
      </c>
      <c r="Y972">
        <v>1</v>
      </c>
      <c r="Z972" t="s">
        <v>58</v>
      </c>
    </row>
    <row r="973" spans="1:26" x14ac:dyDescent="0.3">
      <c r="A973" t="s">
        <v>1655</v>
      </c>
      <c r="B973" s="2">
        <v>45896</v>
      </c>
      <c r="C973" t="s">
        <v>1589</v>
      </c>
      <c r="D973" t="s">
        <v>50</v>
      </c>
      <c r="E973" t="s">
        <v>43</v>
      </c>
      <c r="F973">
        <v>38</v>
      </c>
      <c r="G973" t="s">
        <v>44</v>
      </c>
      <c r="H973" t="s">
        <v>31</v>
      </c>
      <c r="I973" t="s">
        <v>44</v>
      </c>
      <c r="J973" t="s">
        <v>75</v>
      </c>
      <c r="K973">
        <v>1</v>
      </c>
      <c r="L973">
        <v>13855</v>
      </c>
      <c r="M973">
        <v>15</v>
      </c>
      <c r="N973">
        <v>2078.25</v>
      </c>
      <c r="O973">
        <v>2119.8200000000002</v>
      </c>
      <c r="P973">
        <v>127</v>
      </c>
      <c r="Q973">
        <v>14023.57</v>
      </c>
      <c r="R973" t="s">
        <v>45</v>
      </c>
      <c r="S973" t="s">
        <v>34</v>
      </c>
      <c r="T973" t="s">
        <v>76</v>
      </c>
      <c r="U973" t="s">
        <v>77</v>
      </c>
      <c r="V973" t="s">
        <v>57</v>
      </c>
      <c r="W973">
        <v>7</v>
      </c>
      <c r="X973" t="s">
        <v>47</v>
      </c>
      <c r="Y973">
        <v>5</v>
      </c>
      <c r="Z973" t="s">
        <v>39</v>
      </c>
    </row>
    <row r="974" spans="1:26" x14ac:dyDescent="0.3">
      <c r="A974" t="s">
        <v>1656</v>
      </c>
      <c r="B974" s="2">
        <v>46077</v>
      </c>
      <c r="C974" t="s">
        <v>1657</v>
      </c>
      <c r="D974" t="s">
        <v>73</v>
      </c>
      <c r="E974" t="s">
        <v>43</v>
      </c>
      <c r="F974">
        <v>51</v>
      </c>
      <c r="G974" t="s">
        <v>51</v>
      </c>
      <c r="H974" t="s">
        <v>52</v>
      </c>
      <c r="I974" t="s">
        <v>51</v>
      </c>
      <c r="J974" t="s">
        <v>32</v>
      </c>
      <c r="K974">
        <v>4</v>
      </c>
      <c r="L974">
        <v>29217</v>
      </c>
      <c r="M974">
        <v>0</v>
      </c>
      <c r="N974">
        <v>0</v>
      </c>
      <c r="O974">
        <v>21036.240000000002</v>
      </c>
      <c r="P974">
        <v>188</v>
      </c>
      <c r="Q974">
        <v>138092.24</v>
      </c>
      <c r="R974" t="s">
        <v>54</v>
      </c>
      <c r="S974" t="s">
        <v>63</v>
      </c>
      <c r="T974" t="s">
        <v>35</v>
      </c>
      <c r="U974" t="s">
        <v>36</v>
      </c>
      <c r="V974" t="s">
        <v>37</v>
      </c>
      <c r="W974">
        <v>10</v>
      </c>
      <c r="X974" t="s">
        <v>38</v>
      </c>
      <c r="Y974">
        <v>1</v>
      </c>
      <c r="Z974" t="s">
        <v>39</v>
      </c>
    </row>
    <row r="975" spans="1:26" x14ac:dyDescent="0.3">
      <c r="A975" t="s">
        <v>1658</v>
      </c>
      <c r="B975" s="2">
        <v>45816</v>
      </c>
      <c r="C975" t="s">
        <v>1129</v>
      </c>
      <c r="D975" t="s">
        <v>61</v>
      </c>
      <c r="E975" t="s">
        <v>29</v>
      </c>
      <c r="F975">
        <v>19</v>
      </c>
      <c r="G975" t="s">
        <v>67</v>
      </c>
      <c r="H975" t="s">
        <v>68</v>
      </c>
      <c r="I975" t="s">
        <v>67</v>
      </c>
      <c r="J975" t="s">
        <v>112</v>
      </c>
      <c r="K975">
        <v>3</v>
      </c>
      <c r="L975">
        <v>34047</v>
      </c>
      <c r="M975">
        <v>0</v>
      </c>
      <c r="N975">
        <v>0</v>
      </c>
      <c r="O975">
        <v>18385.38</v>
      </c>
      <c r="P975">
        <v>42</v>
      </c>
      <c r="Q975">
        <v>120568.38</v>
      </c>
      <c r="R975" t="s">
        <v>54</v>
      </c>
      <c r="S975" t="s">
        <v>63</v>
      </c>
      <c r="T975" t="s">
        <v>103</v>
      </c>
      <c r="U975" t="s">
        <v>103</v>
      </c>
      <c r="V975" t="s">
        <v>57</v>
      </c>
      <c r="W975">
        <v>3</v>
      </c>
      <c r="X975" t="s">
        <v>38</v>
      </c>
      <c r="Y975">
        <v>5</v>
      </c>
      <c r="Z975" t="s">
        <v>39</v>
      </c>
    </row>
    <row r="976" spans="1:26" x14ac:dyDescent="0.3">
      <c r="A976" t="s">
        <v>1659</v>
      </c>
      <c r="B976" s="2">
        <v>45855</v>
      </c>
      <c r="C976" t="s">
        <v>1074</v>
      </c>
      <c r="D976" t="s">
        <v>111</v>
      </c>
      <c r="E976" t="s">
        <v>43</v>
      </c>
      <c r="F976">
        <v>47</v>
      </c>
      <c r="G976" t="s">
        <v>99</v>
      </c>
      <c r="H976" t="s">
        <v>52</v>
      </c>
      <c r="I976" t="s">
        <v>99</v>
      </c>
      <c r="J976" t="s">
        <v>53</v>
      </c>
      <c r="K976">
        <v>4</v>
      </c>
      <c r="L976">
        <v>40544</v>
      </c>
      <c r="M976">
        <v>5</v>
      </c>
      <c r="N976">
        <v>8108.8</v>
      </c>
      <c r="O976">
        <v>27732.1</v>
      </c>
      <c r="P976">
        <v>384</v>
      </c>
      <c r="Q976">
        <v>182183.3</v>
      </c>
      <c r="R976" t="s">
        <v>45</v>
      </c>
      <c r="S976" t="s">
        <v>34</v>
      </c>
      <c r="T976" t="s">
        <v>103</v>
      </c>
      <c r="U976" t="s">
        <v>103</v>
      </c>
      <c r="V976" t="s">
        <v>57</v>
      </c>
      <c r="W976">
        <v>10</v>
      </c>
      <c r="X976" t="s">
        <v>47</v>
      </c>
      <c r="Y976">
        <v>1</v>
      </c>
      <c r="Z976" t="s">
        <v>58</v>
      </c>
    </row>
    <row r="977" spans="1:26" x14ac:dyDescent="0.3">
      <c r="A977" t="s">
        <v>1660</v>
      </c>
      <c r="B977" s="2">
        <v>45927</v>
      </c>
      <c r="C977" t="s">
        <v>1026</v>
      </c>
      <c r="D977" t="s">
        <v>28</v>
      </c>
      <c r="E977" t="s">
        <v>43</v>
      </c>
      <c r="F977">
        <v>23</v>
      </c>
      <c r="G977" t="s">
        <v>30</v>
      </c>
      <c r="H977" t="s">
        <v>31</v>
      </c>
      <c r="I977" t="s">
        <v>30</v>
      </c>
      <c r="J977" t="s">
        <v>112</v>
      </c>
      <c r="K977">
        <v>1</v>
      </c>
      <c r="L977">
        <v>34177</v>
      </c>
      <c r="M977">
        <v>15</v>
      </c>
      <c r="N977">
        <v>5126.55</v>
      </c>
      <c r="O977">
        <v>5229.08</v>
      </c>
      <c r="P977">
        <v>114</v>
      </c>
      <c r="Q977">
        <v>34393.53</v>
      </c>
      <c r="R977" t="s">
        <v>83</v>
      </c>
      <c r="S977" t="s">
        <v>34</v>
      </c>
      <c r="T977" t="s">
        <v>84</v>
      </c>
      <c r="U977" t="s">
        <v>85</v>
      </c>
      <c r="V977" t="s">
        <v>86</v>
      </c>
      <c r="W977">
        <v>7</v>
      </c>
      <c r="X977" t="s">
        <v>38</v>
      </c>
      <c r="Y977">
        <v>5</v>
      </c>
      <c r="Z977" t="s">
        <v>58</v>
      </c>
    </row>
    <row r="978" spans="1:26" x14ac:dyDescent="0.3">
      <c r="A978" t="s">
        <v>1661</v>
      </c>
      <c r="B978" s="2">
        <v>45910</v>
      </c>
      <c r="C978" t="s">
        <v>578</v>
      </c>
      <c r="D978" t="s">
        <v>42</v>
      </c>
      <c r="E978" t="s">
        <v>43</v>
      </c>
      <c r="F978">
        <v>35</v>
      </c>
      <c r="G978" t="s">
        <v>99</v>
      </c>
      <c r="H978" t="s">
        <v>52</v>
      </c>
      <c r="I978" t="s">
        <v>99</v>
      </c>
      <c r="J978" t="s">
        <v>32</v>
      </c>
      <c r="K978">
        <v>4</v>
      </c>
      <c r="L978">
        <v>32481</v>
      </c>
      <c r="M978">
        <v>20</v>
      </c>
      <c r="N978">
        <v>25984.799999999999</v>
      </c>
      <c r="O978">
        <v>18709.060000000001</v>
      </c>
      <c r="P978">
        <v>431</v>
      </c>
      <c r="Q978">
        <v>123079.26</v>
      </c>
      <c r="R978" t="s">
        <v>54</v>
      </c>
      <c r="S978" t="s">
        <v>63</v>
      </c>
      <c r="T978" t="s">
        <v>35</v>
      </c>
      <c r="U978" t="s">
        <v>36</v>
      </c>
      <c r="V978" t="s">
        <v>37</v>
      </c>
      <c r="W978">
        <v>5</v>
      </c>
      <c r="X978" t="s">
        <v>47</v>
      </c>
      <c r="Y978">
        <v>3</v>
      </c>
      <c r="Z978" t="s">
        <v>58</v>
      </c>
    </row>
    <row r="979" spans="1:26" x14ac:dyDescent="0.3">
      <c r="A979" t="s">
        <v>1662</v>
      </c>
      <c r="B979" s="2">
        <v>45930</v>
      </c>
      <c r="C979" t="s">
        <v>635</v>
      </c>
      <c r="D979" t="s">
        <v>108</v>
      </c>
      <c r="E979" t="s">
        <v>43</v>
      </c>
      <c r="F979">
        <v>45</v>
      </c>
      <c r="G979" t="s">
        <v>90</v>
      </c>
      <c r="H979" t="s">
        <v>31</v>
      </c>
      <c r="I979" t="s">
        <v>90</v>
      </c>
      <c r="J979" t="s">
        <v>62</v>
      </c>
      <c r="K979">
        <v>4</v>
      </c>
      <c r="L979">
        <v>26540</v>
      </c>
      <c r="M979">
        <v>10</v>
      </c>
      <c r="N979">
        <v>10616</v>
      </c>
      <c r="O979">
        <v>17197.919999999998</v>
      </c>
      <c r="P979">
        <v>448</v>
      </c>
      <c r="Q979">
        <v>113189.92</v>
      </c>
      <c r="R979" t="s">
        <v>33</v>
      </c>
      <c r="S979" t="s">
        <v>63</v>
      </c>
      <c r="T979" t="s">
        <v>84</v>
      </c>
      <c r="U979" t="s">
        <v>85</v>
      </c>
      <c r="V979" t="s">
        <v>86</v>
      </c>
      <c r="W979">
        <v>8</v>
      </c>
      <c r="X979" t="s">
        <v>47</v>
      </c>
      <c r="Y979">
        <v>5</v>
      </c>
      <c r="Z979" t="s">
        <v>91</v>
      </c>
    </row>
    <row r="980" spans="1:26" x14ac:dyDescent="0.3">
      <c r="A980" t="s">
        <v>1663</v>
      </c>
      <c r="B980" s="2">
        <v>45889</v>
      </c>
      <c r="C980" t="s">
        <v>268</v>
      </c>
      <c r="D980" t="s">
        <v>42</v>
      </c>
      <c r="E980" t="s">
        <v>29</v>
      </c>
      <c r="F980">
        <v>57</v>
      </c>
      <c r="G980" t="s">
        <v>44</v>
      </c>
      <c r="H980" t="s">
        <v>31</v>
      </c>
      <c r="I980" t="s">
        <v>44</v>
      </c>
      <c r="J980" t="s">
        <v>53</v>
      </c>
      <c r="K980">
        <v>2</v>
      </c>
      <c r="L980">
        <v>7396</v>
      </c>
      <c r="M980">
        <v>20</v>
      </c>
      <c r="N980">
        <v>2958.4</v>
      </c>
      <c r="O980">
        <v>2130.0500000000002</v>
      </c>
      <c r="P980">
        <v>160</v>
      </c>
      <c r="Q980">
        <v>14123.65</v>
      </c>
      <c r="R980" t="s">
        <v>33</v>
      </c>
      <c r="S980" t="s">
        <v>63</v>
      </c>
      <c r="T980" t="s">
        <v>55</v>
      </c>
      <c r="U980" t="s">
        <v>56</v>
      </c>
      <c r="V980" t="s">
        <v>57</v>
      </c>
      <c r="W980">
        <v>2</v>
      </c>
      <c r="X980" t="s">
        <v>47</v>
      </c>
      <c r="Y980">
        <v>4</v>
      </c>
      <c r="Z980" t="s">
        <v>47</v>
      </c>
    </row>
    <row r="981" spans="1:26" x14ac:dyDescent="0.3">
      <c r="A981" t="s">
        <v>1664</v>
      </c>
      <c r="B981" s="2">
        <v>46095</v>
      </c>
      <c r="C981" t="s">
        <v>1194</v>
      </c>
      <c r="D981" t="s">
        <v>111</v>
      </c>
      <c r="E981" t="s">
        <v>43</v>
      </c>
      <c r="F981">
        <v>19</v>
      </c>
      <c r="G981" t="s">
        <v>74</v>
      </c>
      <c r="H981" t="s">
        <v>31</v>
      </c>
      <c r="I981" t="s">
        <v>74</v>
      </c>
      <c r="J981" t="s">
        <v>102</v>
      </c>
      <c r="K981">
        <v>4</v>
      </c>
      <c r="L981">
        <v>12010</v>
      </c>
      <c r="M981">
        <v>5</v>
      </c>
      <c r="N981">
        <v>2402</v>
      </c>
      <c r="O981">
        <v>8214.84</v>
      </c>
      <c r="P981">
        <v>40</v>
      </c>
      <c r="Q981">
        <v>53892.84</v>
      </c>
      <c r="R981" t="s">
        <v>45</v>
      </c>
      <c r="S981" t="s">
        <v>63</v>
      </c>
      <c r="T981" t="s">
        <v>35</v>
      </c>
      <c r="U981" t="s">
        <v>36</v>
      </c>
      <c r="V981" t="s">
        <v>37</v>
      </c>
      <c r="W981">
        <v>2</v>
      </c>
      <c r="X981" t="s">
        <v>47</v>
      </c>
      <c r="Y981">
        <v>1</v>
      </c>
      <c r="Z981" t="s">
        <v>47</v>
      </c>
    </row>
    <row r="982" spans="1:26" x14ac:dyDescent="0.3">
      <c r="A982" t="s">
        <v>1665</v>
      </c>
      <c r="B982" s="2">
        <v>45825</v>
      </c>
      <c r="C982" t="s">
        <v>1666</v>
      </c>
      <c r="D982" t="s">
        <v>111</v>
      </c>
      <c r="E982" t="s">
        <v>43</v>
      </c>
      <c r="F982">
        <v>26</v>
      </c>
      <c r="G982" t="s">
        <v>134</v>
      </c>
      <c r="H982" t="s">
        <v>31</v>
      </c>
      <c r="I982" t="s">
        <v>134</v>
      </c>
      <c r="J982" t="s">
        <v>150</v>
      </c>
      <c r="K982">
        <v>2</v>
      </c>
      <c r="L982">
        <v>2315</v>
      </c>
      <c r="M982">
        <v>20</v>
      </c>
      <c r="N982">
        <v>926</v>
      </c>
      <c r="O982">
        <v>666.72</v>
      </c>
      <c r="P982">
        <v>203</v>
      </c>
      <c r="Q982">
        <v>4573.72</v>
      </c>
      <c r="R982" t="s">
        <v>54</v>
      </c>
      <c r="S982" t="s">
        <v>63</v>
      </c>
      <c r="T982" t="s">
        <v>46</v>
      </c>
      <c r="U982" t="s">
        <v>36</v>
      </c>
      <c r="V982" t="s">
        <v>37</v>
      </c>
      <c r="W982">
        <v>10</v>
      </c>
      <c r="X982" t="s">
        <v>38</v>
      </c>
      <c r="Y982">
        <v>4</v>
      </c>
      <c r="Z982" t="s">
        <v>47</v>
      </c>
    </row>
    <row r="983" spans="1:26" x14ac:dyDescent="0.3">
      <c r="A983" t="s">
        <v>1667</v>
      </c>
      <c r="B983" s="2">
        <v>45935</v>
      </c>
      <c r="C983" t="s">
        <v>1668</v>
      </c>
      <c r="D983" t="s">
        <v>73</v>
      </c>
      <c r="E983" t="s">
        <v>43</v>
      </c>
      <c r="F983">
        <v>59</v>
      </c>
      <c r="G983" t="s">
        <v>74</v>
      </c>
      <c r="H983" t="s">
        <v>31</v>
      </c>
      <c r="I983" t="s">
        <v>74</v>
      </c>
      <c r="J983" t="s">
        <v>125</v>
      </c>
      <c r="K983">
        <v>2</v>
      </c>
      <c r="L983">
        <v>14022</v>
      </c>
      <c r="M983">
        <v>20</v>
      </c>
      <c r="N983">
        <v>5608.8</v>
      </c>
      <c r="O983">
        <v>4038.34</v>
      </c>
      <c r="P983">
        <v>455</v>
      </c>
      <c r="Q983">
        <v>26928.54</v>
      </c>
      <c r="R983" t="s">
        <v>83</v>
      </c>
      <c r="S983" t="s">
        <v>34</v>
      </c>
      <c r="T983" t="s">
        <v>103</v>
      </c>
      <c r="U983" t="s">
        <v>103</v>
      </c>
      <c r="V983" t="s">
        <v>57</v>
      </c>
      <c r="W983">
        <v>1</v>
      </c>
      <c r="X983" t="s">
        <v>38</v>
      </c>
      <c r="Y983">
        <v>3</v>
      </c>
      <c r="Z983" t="s">
        <v>47</v>
      </c>
    </row>
    <row r="984" spans="1:26" x14ac:dyDescent="0.3">
      <c r="A984" t="s">
        <v>1669</v>
      </c>
      <c r="B984" s="2">
        <v>46106</v>
      </c>
      <c r="C984" t="s">
        <v>1361</v>
      </c>
      <c r="D984" t="s">
        <v>28</v>
      </c>
      <c r="E984" t="s">
        <v>43</v>
      </c>
      <c r="F984">
        <v>58</v>
      </c>
      <c r="G984" t="s">
        <v>67</v>
      </c>
      <c r="H984" t="s">
        <v>68</v>
      </c>
      <c r="I984" t="s">
        <v>67</v>
      </c>
      <c r="J984" t="s">
        <v>32</v>
      </c>
      <c r="K984">
        <v>3</v>
      </c>
      <c r="L984">
        <v>31885</v>
      </c>
      <c r="M984">
        <v>5</v>
      </c>
      <c r="N984">
        <v>4782.75</v>
      </c>
      <c r="O984">
        <v>16357</v>
      </c>
      <c r="P984">
        <v>220</v>
      </c>
      <c r="Q984">
        <v>107449.26</v>
      </c>
      <c r="R984" t="s">
        <v>33</v>
      </c>
      <c r="S984" t="s">
        <v>34</v>
      </c>
      <c r="T984" t="s">
        <v>76</v>
      </c>
      <c r="U984" t="s">
        <v>77</v>
      </c>
      <c r="V984" t="s">
        <v>57</v>
      </c>
      <c r="W984">
        <v>8</v>
      </c>
      <c r="X984" t="s">
        <v>38</v>
      </c>
      <c r="Y984">
        <v>1</v>
      </c>
      <c r="Z984" t="s">
        <v>47</v>
      </c>
    </row>
    <row r="985" spans="1:26" x14ac:dyDescent="0.3">
      <c r="A985" t="s">
        <v>1670</v>
      </c>
      <c r="B985" s="2">
        <v>45969</v>
      </c>
      <c r="C985" t="s">
        <v>1671</v>
      </c>
      <c r="D985" t="s">
        <v>28</v>
      </c>
      <c r="E985" t="s">
        <v>43</v>
      </c>
      <c r="F985">
        <v>32</v>
      </c>
      <c r="G985" t="s">
        <v>67</v>
      </c>
      <c r="H985" t="s">
        <v>68</v>
      </c>
      <c r="I985" t="s">
        <v>67</v>
      </c>
      <c r="J985" t="s">
        <v>69</v>
      </c>
      <c r="K985">
        <v>2</v>
      </c>
      <c r="L985">
        <v>12286</v>
      </c>
      <c r="M985">
        <v>20</v>
      </c>
      <c r="N985">
        <v>4914.3999999999996</v>
      </c>
      <c r="O985">
        <v>3538.37</v>
      </c>
      <c r="P985">
        <v>422</v>
      </c>
      <c r="Q985">
        <v>23617.97</v>
      </c>
      <c r="R985" t="s">
        <v>83</v>
      </c>
      <c r="S985" t="s">
        <v>63</v>
      </c>
      <c r="T985" t="s">
        <v>70</v>
      </c>
      <c r="U985" t="s">
        <v>56</v>
      </c>
      <c r="V985" t="s">
        <v>57</v>
      </c>
      <c r="W985">
        <v>4</v>
      </c>
      <c r="X985" t="s">
        <v>38</v>
      </c>
      <c r="Y985">
        <v>3</v>
      </c>
      <c r="Z985" t="s">
        <v>58</v>
      </c>
    </row>
    <row r="986" spans="1:26" x14ac:dyDescent="0.3">
      <c r="A986" t="s">
        <v>1672</v>
      </c>
      <c r="B986" s="2">
        <v>45765</v>
      </c>
      <c r="C986" t="s">
        <v>1124</v>
      </c>
      <c r="D986" t="s">
        <v>111</v>
      </c>
      <c r="E986" t="s">
        <v>29</v>
      </c>
      <c r="F986">
        <v>23</v>
      </c>
      <c r="G986" t="s">
        <v>134</v>
      </c>
      <c r="H986" t="s">
        <v>31</v>
      </c>
      <c r="I986" t="s">
        <v>134</v>
      </c>
      <c r="J986" t="s">
        <v>112</v>
      </c>
      <c r="K986">
        <v>3</v>
      </c>
      <c r="L986">
        <v>49317</v>
      </c>
      <c r="M986">
        <v>20</v>
      </c>
      <c r="N986">
        <v>29590.2</v>
      </c>
      <c r="O986">
        <v>21304.94</v>
      </c>
      <c r="P986">
        <v>76</v>
      </c>
      <c r="Q986">
        <v>139741.74</v>
      </c>
      <c r="R986" t="s">
        <v>45</v>
      </c>
      <c r="S986" t="s">
        <v>34</v>
      </c>
      <c r="T986" t="s">
        <v>46</v>
      </c>
      <c r="U986" t="s">
        <v>36</v>
      </c>
      <c r="V986" t="s">
        <v>37</v>
      </c>
      <c r="W986">
        <v>7</v>
      </c>
      <c r="X986" t="s">
        <v>38</v>
      </c>
      <c r="Y986">
        <v>4</v>
      </c>
      <c r="Z986" t="s">
        <v>91</v>
      </c>
    </row>
    <row r="987" spans="1:26" x14ac:dyDescent="0.3">
      <c r="A987" t="s">
        <v>1673</v>
      </c>
      <c r="B987" s="2">
        <v>46066</v>
      </c>
      <c r="C987" t="s">
        <v>1674</v>
      </c>
      <c r="D987" t="s">
        <v>28</v>
      </c>
      <c r="E987" t="s">
        <v>43</v>
      </c>
      <c r="F987">
        <v>59</v>
      </c>
      <c r="G987" t="s">
        <v>94</v>
      </c>
      <c r="H987" t="s">
        <v>31</v>
      </c>
      <c r="I987" t="s">
        <v>94</v>
      </c>
      <c r="J987" t="s">
        <v>69</v>
      </c>
      <c r="K987">
        <v>1</v>
      </c>
      <c r="L987">
        <v>2308</v>
      </c>
      <c r="M987">
        <v>20</v>
      </c>
      <c r="N987">
        <v>461.6</v>
      </c>
      <c r="O987">
        <v>332.35</v>
      </c>
      <c r="P987">
        <v>445</v>
      </c>
      <c r="Q987">
        <v>2623.75</v>
      </c>
      <c r="R987" t="s">
        <v>45</v>
      </c>
      <c r="S987" t="s">
        <v>63</v>
      </c>
      <c r="T987" t="s">
        <v>84</v>
      </c>
      <c r="U987" t="s">
        <v>85</v>
      </c>
      <c r="V987" t="s">
        <v>86</v>
      </c>
      <c r="W987">
        <v>6</v>
      </c>
      <c r="X987" t="s">
        <v>38</v>
      </c>
      <c r="Y987">
        <v>5</v>
      </c>
      <c r="Z987" t="s">
        <v>91</v>
      </c>
    </row>
    <row r="988" spans="1:26" x14ac:dyDescent="0.3">
      <c r="A988" t="s">
        <v>1675</v>
      </c>
      <c r="B988" s="2">
        <v>46119</v>
      </c>
      <c r="C988" t="s">
        <v>1676</v>
      </c>
      <c r="D988" t="s">
        <v>73</v>
      </c>
      <c r="E988" t="s">
        <v>43</v>
      </c>
      <c r="F988">
        <v>49</v>
      </c>
      <c r="G988" t="s">
        <v>51</v>
      </c>
      <c r="H988" t="s">
        <v>52</v>
      </c>
      <c r="I988" t="s">
        <v>51</v>
      </c>
      <c r="J988" t="s">
        <v>150</v>
      </c>
      <c r="K988">
        <v>2</v>
      </c>
      <c r="L988">
        <v>12242</v>
      </c>
      <c r="M988">
        <v>5</v>
      </c>
      <c r="N988">
        <v>1224.2</v>
      </c>
      <c r="O988">
        <v>4186.76</v>
      </c>
      <c r="P988">
        <v>314</v>
      </c>
      <c r="Q988">
        <v>27760.560000000001</v>
      </c>
      <c r="R988" t="s">
        <v>33</v>
      </c>
      <c r="S988" t="s">
        <v>34</v>
      </c>
      <c r="T988" t="s">
        <v>103</v>
      </c>
      <c r="U988" t="s">
        <v>103</v>
      </c>
      <c r="V988" t="s">
        <v>57</v>
      </c>
      <c r="W988">
        <v>10</v>
      </c>
      <c r="X988" t="s">
        <v>47</v>
      </c>
      <c r="Y988">
        <v>4</v>
      </c>
      <c r="Z988" t="s">
        <v>47</v>
      </c>
    </row>
    <row r="989" spans="1:26" x14ac:dyDescent="0.3">
      <c r="A989" t="s">
        <v>1677</v>
      </c>
      <c r="B989" s="2">
        <v>45854</v>
      </c>
      <c r="C989" t="s">
        <v>336</v>
      </c>
      <c r="D989" t="s">
        <v>66</v>
      </c>
      <c r="E989" t="s">
        <v>43</v>
      </c>
      <c r="F989">
        <v>54</v>
      </c>
      <c r="G989" t="s">
        <v>139</v>
      </c>
      <c r="H989" t="s">
        <v>31</v>
      </c>
      <c r="I989" t="s">
        <v>139</v>
      </c>
      <c r="J989" t="s">
        <v>32</v>
      </c>
      <c r="K989">
        <v>4</v>
      </c>
      <c r="L989">
        <v>2691</v>
      </c>
      <c r="M989">
        <v>15</v>
      </c>
      <c r="N989">
        <v>1614.6</v>
      </c>
      <c r="O989">
        <v>1646.89</v>
      </c>
      <c r="P989">
        <v>248</v>
      </c>
      <c r="Q989">
        <v>11044.29</v>
      </c>
      <c r="R989" t="s">
        <v>33</v>
      </c>
      <c r="S989" t="s">
        <v>63</v>
      </c>
      <c r="T989" t="s">
        <v>55</v>
      </c>
      <c r="U989" t="s">
        <v>56</v>
      </c>
      <c r="V989" t="s">
        <v>57</v>
      </c>
      <c r="W989">
        <v>9</v>
      </c>
      <c r="X989" t="s">
        <v>38</v>
      </c>
      <c r="Y989">
        <v>1</v>
      </c>
      <c r="Z989" t="s">
        <v>47</v>
      </c>
    </row>
    <row r="990" spans="1:26" x14ac:dyDescent="0.3">
      <c r="A990" t="s">
        <v>1678</v>
      </c>
      <c r="B990" s="2">
        <v>45875</v>
      </c>
      <c r="C990" t="s">
        <v>1679</v>
      </c>
      <c r="D990" t="s">
        <v>108</v>
      </c>
      <c r="E990" t="s">
        <v>43</v>
      </c>
      <c r="F990">
        <v>52</v>
      </c>
      <c r="G990" t="s">
        <v>74</v>
      </c>
      <c r="H990" t="s">
        <v>31</v>
      </c>
      <c r="I990" t="s">
        <v>74</v>
      </c>
      <c r="J990" t="s">
        <v>150</v>
      </c>
      <c r="K990">
        <v>1</v>
      </c>
      <c r="L990">
        <v>3151</v>
      </c>
      <c r="M990">
        <v>15</v>
      </c>
      <c r="N990">
        <v>472.65</v>
      </c>
      <c r="O990">
        <v>482.1</v>
      </c>
      <c r="P990">
        <v>224</v>
      </c>
      <c r="Q990">
        <v>3384.45</v>
      </c>
      <c r="R990" t="s">
        <v>54</v>
      </c>
      <c r="S990" t="s">
        <v>63</v>
      </c>
      <c r="T990" t="s">
        <v>84</v>
      </c>
      <c r="U990" t="s">
        <v>85</v>
      </c>
      <c r="V990" t="s">
        <v>86</v>
      </c>
      <c r="W990">
        <v>6</v>
      </c>
      <c r="X990" t="s">
        <v>38</v>
      </c>
      <c r="Y990">
        <v>2</v>
      </c>
      <c r="Z990" t="s">
        <v>39</v>
      </c>
    </row>
    <row r="991" spans="1:26" x14ac:dyDescent="0.3">
      <c r="A991" t="s">
        <v>1680</v>
      </c>
      <c r="B991" s="2">
        <v>45974</v>
      </c>
      <c r="C991" t="s">
        <v>728</v>
      </c>
      <c r="D991" t="s">
        <v>111</v>
      </c>
      <c r="E991" t="s">
        <v>43</v>
      </c>
      <c r="F991">
        <v>52</v>
      </c>
      <c r="G991" t="s">
        <v>139</v>
      </c>
      <c r="H991" t="s">
        <v>31</v>
      </c>
      <c r="I991" t="s">
        <v>139</v>
      </c>
      <c r="J991" t="s">
        <v>112</v>
      </c>
      <c r="K991">
        <v>5</v>
      </c>
      <c r="L991">
        <v>31839</v>
      </c>
      <c r="M991">
        <v>15</v>
      </c>
      <c r="N991">
        <v>23879.25</v>
      </c>
      <c r="O991">
        <v>24356.83</v>
      </c>
      <c r="P991">
        <v>295</v>
      </c>
      <c r="Q991">
        <v>159967.57999999999</v>
      </c>
      <c r="R991" t="s">
        <v>33</v>
      </c>
      <c r="S991" t="s">
        <v>34</v>
      </c>
      <c r="T991" t="s">
        <v>46</v>
      </c>
      <c r="U991" t="s">
        <v>36</v>
      </c>
      <c r="V991" t="s">
        <v>37</v>
      </c>
      <c r="W991">
        <v>3</v>
      </c>
      <c r="X991" t="s">
        <v>47</v>
      </c>
      <c r="Y991">
        <v>4</v>
      </c>
      <c r="Z991" t="s">
        <v>47</v>
      </c>
    </row>
    <row r="992" spans="1:26" x14ac:dyDescent="0.3">
      <c r="A992" t="s">
        <v>1681</v>
      </c>
      <c r="B992" s="2">
        <v>45954</v>
      </c>
      <c r="C992" t="s">
        <v>551</v>
      </c>
      <c r="D992" t="s">
        <v>66</v>
      </c>
      <c r="E992" t="s">
        <v>43</v>
      </c>
      <c r="F992">
        <v>54</v>
      </c>
      <c r="G992" t="s">
        <v>67</v>
      </c>
      <c r="H992" t="s">
        <v>68</v>
      </c>
      <c r="I992" t="s">
        <v>67</v>
      </c>
      <c r="J992" t="s">
        <v>53</v>
      </c>
      <c r="K992">
        <v>1</v>
      </c>
      <c r="L992">
        <v>18336</v>
      </c>
      <c r="M992">
        <v>0</v>
      </c>
      <c r="N992">
        <v>0</v>
      </c>
      <c r="O992">
        <v>3300.48</v>
      </c>
      <c r="P992">
        <v>116</v>
      </c>
      <c r="Q992">
        <v>21752.48</v>
      </c>
      <c r="R992" t="s">
        <v>83</v>
      </c>
      <c r="S992" t="s">
        <v>63</v>
      </c>
      <c r="T992" t="s">
        <v>95</v>
      </c>
      <c r="U992" t="s">
        <v>96</v>
      </c>
      <c r="V992" t="s">
        <v>57</v>
      </c>
      <c r="W992">
        <v>8</v>
      </c>
      <c r="X992" t="s">
        <v>38</v>
      </c>
      <c r="Y992">
        <v>2</v>
      </c>
      <c r="Z992" t="s">
        <v>47</v>
      </c>
    </row>
    <row r="993" spans="1:26" x14ac:dyDescent="0.3">
      <c r="A993" t="s">
        <v>1682</v>
      </c>
      <c r="B993" s="2">
        <v>46053</v>
      </c>
      <c r="C993" t="s">
        <v>1584</v>
      </c>
      <c r="D993" t="s">
        <v>89</v>
      </c>
      <c r="E993" t="s">
        <v>29</v>
      </c>
      <c r="F993">
        <v>57</v>
      </c>
      <c r="G993" t="s">
        <v>51</v>
      </c>
      <c r="H993" t="s">
        <v>52</v>
      </c>
      <c r="I993" t="s">
        <v>51</v>
      </c>
      <c r="J993" t="s">
        <v>112</v>
      </c>
      <c r="K993">
        <v>5</v>
      </c>
      <c r="L993">
        <v>39114</v>
      </c>
      <c r="M993">
        <v>20</v>
      </c>
      <c r="N993">
        <v>39114</v>
      </c>
      <c r="O993">
        <v>28162.080000000002</v>
      </c>
      <c r="P993">
        <v>411</v>
      </c>
      <c r="Q993">
        <v>185029.08</v>
      </c>
      <c r="R993" t="s">
        <v>33</v>
      </c>
      <c r="S993" t="s">
        <v>63</v>
      </c>
      <c r="T993" t="s">
        <v>35</v>
      </c>
      <c r="U993" t="s">
        <v>36</v>
      </c>
      <c r="V993" t="s">
        <v>37</v>
      </c>
      <c r="W993">
        <v>8</v>
      </c>
      <c r="X993" t="s">
        <v>47</v>
      </c>
      <c r="Y993">
        <v>2</v>
      </c>
      <c r="Z993" t="s">
        <v>39</v>
      </c>
    </row>
    <row r="994" spans="1:26" x14ac:dyDescent="0.3">
      <c r="A994" t="s">
        <v>1683</v>
      </c>
      <c r="B994" s="2">
        <v>45899</v>
      </c>
      <c r="C994" t="s">
        <v>1684</v>
      </c>
      <c r="D994" t="s">
        <v>89</v>
      </c>
      <c r="E994" t="s">
        <v>43</v>
      </c>
      <c r="F994">
        <v>27</v>
      </c>
      <c r="G994" t="s">
        <v>67</v>
      </c>
      <c r="H994" t="s">
        <v>68</v>
      </c>
      <c r="I994" t="s">
        <v>67</v>
      </c>
      <c r="J994" t="s">
        <v>102</v>
      </c>
      <c r="K994">
        <v>1</v>
      </c>
      <c r="L994">
        <v>17294</v>
      </c>
      <c r="M994">
        <v>15</v>
      </c>
      <c r="N994">
        <v>2594.1</v>
      </c>
      <c r="O994">
        <v>2645.98</v>
      </c>
      <c r="P994">
        <v>210</v>
      </c>
      <c r="Q994">
        <v>17555.88</v>
      </c>
      <c r="R994" t="s">
        <v>45</v>
      </c>
      <c r="S994" t="s">
        <v>34</v>
      </c>
      <c r="T994" t="s">
        <v>76</v>
      </c>
      <c r="U994" t="s">
        <v>77</v>
      </c>
      <c r="V994" t="s">
        <v>57</v>
      </c>
      <c r="W994">
        <v>3</v>
      </c>
      <c r="X994" t="s">
        <v>47</v>
      </c>
      <c r="Y994">
        <v>2</v>
      </c>
      <c r="Z994" t="s">
        <v>91</v>
      </c>
    </row>
    <row r="995" spans="1:26" x14ac:dyDescent="0.3">
      <c r="A995" t="s">
        <v>1685</v>
      </c>
      <c r="B995" s="2">
        <v>46083</v>
      </c>
      <c r="C995" t="s">
        <v>133</v>
      </c>
      <c r="D995" t="s">
        <v>73</v>
      </c>
      <c r="E995" t="s">
        <v>29</v>
      </c>
      <c r="F995">
        <v>48</v>
      </c>
      <c r="G995" t="s">
        <v>99</v>
      </c>
      <c r="H995" t="s">
        <v>52</v>
      </c>
      <c r="I995" t="s">
        <v>99</v>
      </c>
      <c r="J995" t="s">
        <v>150</v>
      </c>
      <c r="K995">
        <v>1</v>
      </c>
      <c r="L995">
        <v>24272</v>
      </c>
      <c r="M995">
        <v>20</v>
      </c>
      <c r="N995">
        <v>4854.3999999999996</v>
      </c>
      <c r="O995">
        <v>3495.17</v>
      </c>
      <c r="P995">
        <v>462</v>
      </c>
      <c r="Q995">
        <v>23374.77</v>
      </c>
      <c r="R995" t="s">
        <v>83</v>
      </c>
      <c r="S995" t="s">
        <v>34</v>
      </c>
      <c r="T995" t="s">
        <v>84</v>
      </c>
      <c r="U995" t="s">
        <v>85</v>
      </c>
      <c r="V995" t="s">
        <v>86</v>
      </c>
      <c r="W995">
        <v>7</v>
      </c>
      <c r="X995" t="s">
        <v>47</v>
      </c>
      <c r="Y995">
        <v>4</v>
      </c>
      <c r="Z995" t="s">
        <v>58</v>
      </c>
    </row>
    <row r="996" spans="1:26" x14ac:dyDescent="0.3">
      <c r="A996" t="s">
        <v>1686</v>
      </c>
      <c r="B996" s="2">
        <v>45848</v>
      </c>
      <c r="C996" t="s">
        <v>1687</v>
      </c>
      <c r="D996" t="s">
        <v>66</v>
      </c>
      <c r="E996" t="s">
        <v>43</v>
      </c>
      <c r="F996">
        <v>50</v>
      </c>
      <c r="G996" t="s">
        <v>74</v>
      </c>
      <c r="H996" t="s">
        <v>31</v>
      </c>
      <c r="I996" t="s">
        <v>74</v>
      </c>
      <c r="J996" t="s">
        <v>69</v>
      </c>
      <c r="K996">
        <v>2</v>
      </c>
      <c r="L996">
        <v>39387</v>
      </c>
      <c r="M996">
        <v>15</v>
      </c>
      <c r="N996">
        <v>11816.1</v>
      </c>
      <c r="O996">
        <v>12052.42</v>
      </c>
      <c r="P996">
        <v>127</v>
      </c>
      <c r="Q996">
        <v>79137.320000000007</v>
      </c>
      <c r="R996" t="s">
        <v>54</v>
      </c>
      <c r="S996" t="s">
        <v>63</v>
      </c>
      <c r="T996" t="s">
        <v>103</v>
      </c>
      <c r="U996" t="s">
        <v>103</v>
      </c>
      <c r="V996" t="s">
        <v>57</v>
      </c>
      <c r="W996">
        <v>5</v>
      </c>
      <c r="X996" t="s">
        <v>38</v>
      </c>
      <c r="Y996">
        <v>5</v>
      </c>
      <c r="Z996" t="s">
        <v>39</v>
      </c>
    </row>
    <row r="997" spans="1:26" x14ac:dyDescent="0.3">
      <c r="A997" t="s">
        <v>1688</v>
      </c>
      <c r="B997" s="2">
        <v>45786</v>
      </c>
      <c r="C997" t="s">
        <v>1282</v>
      </c>
      <c r="D997" t="s">
        <v>89</v>
      </c>
      <c r="E997" t="s">
        <v>43</v>
      </c>
      <c r="F997">
        <v>30</v>
      </c>
      <c r="G997" t="s">
        <v>139</v>
      </c>
      <c r="H997" t="s">
        <v>31</v>
      </c>
      <c r="I997" t="s">
        <v>139</v>
      </c>
      <c r="J997" t="s">
        <v>75</v>
      </c>
      <c r="K997">
        <v>4</v>
      </c>
      <c r="L997">
        <v>1783</v>
      </c>
      <c r="M997">
        <v>5</v>
      </c>
      <c r="N997">
        <v>356.6</v>
      </c>
      <c r="O997">
        <v>1219.57</v>
      </c>
      <c r="P997">
        <v>382</v>
      </c>
      <c r="Q997">
        <v>8376.9699999999993</v>
      </c>
      <c r="R997" t="s">
        <v>54</v>
      </c>
      <c r="S997" t="s">
        <v>63</v>
      </c>
      <c r="T997" t="s">
        <v>55</v>
      </c>
      <c r="U997" t="s">
        <v>56</v>
      </c>
      <c r="V997" t="s">
        <v>57</v>
      </c>
      <c r="W997">
        <v>6</v>
      </c>
      <c r="X997" t="s">
        <v>47</v>
      </c>
      <c r="Y997">
        <v>5</v>
      </c>
      <c r="Z997" t="s">
        <v>39</v>
      </c>
    </row>
    <row r="998" spans="1:26" x14ac:dyDescent="0.3">
      <c r="A998" t="s">
        <v>1689</v>
      </c>
      <c r="B998" s="2">
        <v>45831</v>
      </c>
      <c r="C998" t="s">
        <v>1690</v>
      </c>
      <c r="D998" t="s">
        <v>28</v>
      </c>
      <c r="E998" t="s">
        <v>43</v>
      </c>
      <c r="F998">
        <v>34</v>
      </c>
      <c r="G998" t="s">
        <v>139</v>
      </c>
      <c r="H998" t="s">
        <v>31</v>
      </c>
      <c r="I998" t="s">
        <v>139</v>
      </c>
      <c r="J998" t="s">
        <v>112</v>
      </c>
      <c r="K998">
        <v>2</v>
      </c>
      <c r="L998">
        <v>9037</v>
      </c>
      <c r="M998">
        <v>20</v>
      </c>
      <c r="N998">
        <v>3614.8</v>
      </c>
      <c r="O998">
        <v>2602.66</v>
      </c>
      <c r="P998">
        <v>427</v>
      </c>
      <c r="Q998">
        <v>17488.86</v>
      </c>
      <c r="R998" t="s">
        <v>83</v>
      </c>
      <c r="S998" t="s">
        <v>63</v>
      </c>
      <c r="T998" t="s">
        <v>35</v>
      </c>
      <c r="U998" t="s">
        <v>36</v>
      </c>
      <c r="V998" t="s">
        <v>37</v>
      </c>
      <c r="W998">
        <v>8</v>
      </c>
      <c r="X998" t="s">
        <v>38</v>
      </c>
      <c r="Y998">
        <v>4</v>
      </c>
      <c r="Z998" t="s">
        <v>91</v>
      </c>
    </row>
    <row r="999" spans="1:26" x14ac:dyDescent="0.3">
      <c r="A999" t="s">
        <v>1691</v>
      </c>
      <c r="B999" s="2">
        <v>45946</v>
      </c>
      <c r="C999" t="s">
        <v>1692</v>
      </c>
      <c r="D999" t="s">
        <v>80</v>
      </c>
      <c r="E999" t="s">
        <v>29</v>
      </c>
      <c r="F999">
        <v>28</v>
      </c>
      <c r="G999" t="s">
        <v>99</v>
      </c>
      <c r="H999" t="s">
        <v>52</v>
      </c>
      <c r="I999" t="s">
        <v>99</v>
      </c>
      <c r="J999" t="s">
        <v>53</v>
      </c>
      <c r="K999">
        <v>4</v>
      </c>
      <c r="L999">
        <v>4700</v>
      </c>
      <c r="M999">
        <v>10</v>
      </c>
      <c r="N999">
        <v>1880</v>
      </c>
      <c r="O999">
        <v>3045.6</v>
      </c>
      <c r="P999">
        <v>112</v>
      </c>
      <c r="Q999">
        <v>20077.599999999999</v>
      </c>
      <c r="R999" t="s">
        <v>54</v>
      </c>
      <c r="S999" t="s">
        <v>34</v>
      </c>
      <c r="T999" t="s">
        <v>95</v>
      </c>
      <c r="U999" t="s">
        <v>96</v>
      </c>
      <c r="V999" t="s">
        <v>57</v>
      </c>
      <c r="W999">
        <v>2</v>
      </c>
      <c r="X999" t="s">
        <v>38</v>
      </c>
      <c r="Y999">
        <v>3</v>
      </c>
      <c r="Z999" t="s">
        <v>58</v>
      </c>
    </row>
    <row r="1000" spans="1:26" x14ac:dyDescent="0.3">
      <c r="A1000" t="s">
        <v>1693</v>
      </c>
      <c r="B1000" s="2">
        <v>46055</v>
      </c>
      <c r="C1000" t="s">
        <v>635</v>
      </c>
      <c r="D1000" t="s">
        <v>61</v>
      </c>
      <c r="E1000" t="s">
        <v>43</v>
      </c>
      <c r="F1000">
        <v>27</v>
      </c>
      <c r="G1000" t="s">
        <v>30</v>
      </c>
      <c r="H1000" t="s">
        <v>31</v>
      </c>
      <c r="I1000" t="s">
        <v>30</v>
      </c>
      <c r="J1000" t="s">
        <v>150</v>
      </c>
      <c r="K1000">
        <v>3</v>
      </c>
      <c r="L1000">
        <v>3766</v>
      </c>
      <c r="M1000">
        <v>0</v>
      </c>
      <c r="N1000">
        <v>0</v>
      </c>
      <c r="O1000">
        <v>2033.64</v>
      </c>
      <c r="P1000">
        <v>38</v>
      </c>
      <c r="Q1000">
        <v>13369.64</v>
      </c>
      <c r="R1000" t="s">
        <v>83</v>
      </c>
      <c r="S1000" t="s">
        <v>63</v>
      </c>
      <c r="T1000" t="s">
        <v>55</v>
      </c>
      <c r="U1000" t="s">
        <v>56</v>
      </c>
      <c r="V1000" t="s">
        <v>57</v>
      </c>
      <c r="W1000">
        <v>2</v>
      </c>
      <c r="X1000" t="s">
        <v>47</v>
      </c>
      <c r="Y1000">
        <v>5</v>
      </c>
      <c r="Z1000" t="s">
        <v>58</v>
      </c>
    </row>
    <row r="1001" spans="1:26" ht="15" thickBot="1" x14ac:dyDescent="0.35">
      <c r="A1001" s="4" t="s">
        <v>1694</v>
      </c>
      <c r="B1001" s="5">
        <v>46006</v>
      </c>
      <c r="C1001" s="4" t="s">
        <v>1069</v>
      </c>
      <c r="D1001" s="4" t="s">
        <v>73</v>
      </c>
      <c r="E1001" s="4" t="s">
        <v>29</v>
      </c>
      <c r="F1001" s="4">
        <v>39</v>
      </c>
      <c r="G1001" s="4" t="s">
        <v>30</v>
      </c>
      <c r="H1001" s="4" t="s">
        <v>31</v>
      </c>
      <c r="I1001" s="4" t="s">
        <v>30</v>
      </c>
      <c r="J1001" s="4" t="s">
        <v>201</v>
      </c>
      <c r="K1001" s="4">
        <v>3</v>
      </c>
      <c r="L1001" s="4">
        <v>26044</v>
      </c>
      <c r="M1001" s="4">
        <v>20</v>
      </c>
      <c r="N1001" s="4">
        <v>15626.4</v>
      </c>
      <c r="O1001" s="4">
        <v>11251.01</v>
      </c>
      <c r="P1001" s="4">
        <v>346</v>
      </c>
      <c r="Q1001" s="4">
        <v>74102.61</v>
      </c>
      <c r="R1001" s="4" t="s">
        <v>33</v>
      </c>
      <c r="S1001" s="4" t="s">
        <v>34</v>
      </c>
      <c r="T1001" s="4" t="s">
        <v>70</v>
      </c>
      <c r="U1001" s="4" t="s">
        <v>56</v>
      </c>
      <c r="V1001" s="4" t="s">
        <v>57</v>
      </c>
      <c r="W1001" s="4">
        <v>9</v>
      </c>
      <c r="X1001" s="4" t="s">
        <v>47</v>
      </c>
      <c r="Y1001" s="4">
        <v>3</v>
      </c>
      <c r="Z1001" s="4" t="s">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C8E48-DBE7-4417-A5A2-2D2EFB0C070E}">
  <sheetPr>
    <tabColor theme="7"/>
  </sheetPr>
  <dimension ref="A1:A26"/>
  <sheetViews>
    <sheetView workbookViewId="0">
      <selection activeCell="D1" sqref="D1"/>
    </sheetView>
  </sheetViews>
  <sheetFormatPr defaultRowHeight="14.4" x14ac:dyDescent="0.3"/>
  <cols>
    <col min="1" max="1" width="14.44140625" bestFit="1"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Sales Dashboard 2026</vt:lpstr>
      <vt:lpstr>Kpi's</vt:lpstr>
      <vt:lpstr>Dashboard data </vt:lpstr>
      <vt:lpstr>Data 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verma</dc:creator>
  <cp:lastModifiedBy>aditya verma</cp:lastModifiedBy>
  <cp:lastPrinted>2026-09-16T11:20:36Z</cp:lastPrinted>
  <dcterms:created xsi:type="dcterms:W3CDTF">2026-09-11T07:50:33Z</dcterms:created>
  <dcterms:modified xsi:type="dcterms:W3CDTF">2026-09-16T16:44:07Z</dcterms:modified>
</cp:coreProperties>
</file>