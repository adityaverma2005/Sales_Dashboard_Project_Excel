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21d9fc73411c3de/Desktop/"/>
    </mc:Choice>
  </mc:AlternateContent>
  <xr:revisionPtr revIDLastSave="4048" documentId="8_{8C763BB8-4AFE-4FD9-AD65-06449B268D2F}" xr6:coauthVersionLast="47" xr6:coauthVersionMax="47" xr10:uidLastSave="{E0999F1A-901A-4412-8B51-2EF6AB98FFBF}"/>
  <bookViews>
    <workbookView xWindow="-108" yWindow="-108" windowWidth="23256" windowHeight="12456" xr2:uid="{D4A1F39B-E5AD-42E7-B2B5-26B360323C96}"/>
  </bookViews>
  <sheets>
    <sheet name="  Sales Dashboard 2026" sheetId="4" r:id="rId1"/>
    <sheet name="Kpi's" sheetId="3" r:id="rId2"/>
    <sheet name="Dashboard data " sheetId="1" r:id="rId3"/>
    <sheet name="Data check" sheetId="2" r:id="rId4"/>
  </sheets>
  <definedNames>
    <definedName name="_xlchart.v1.0" hidden="1">'Kpi''s'!$E$19:$E$28</definedName>
    <definedName name="_xlchart.v1.1" hidden="1">'Kpi''s'!$F$18</definedName>
    <definedName name="_xlchart.v1.2" hidden="1">'Kpi''s'!$F$19:$F$28</definedName>
    <definedName name="_xlchart.v1.7" hidden="1">'Kpi''s'!$E$19:$E$28</definedName>
    <definedName name="_xlchart.v1.8" hidden="1">'Kpi''s'!$F$18</definedName>
    <definedName name="_xlchart.v1.9" hidden="1">'Kpi''s'!$F$19:$F$28</definedName>
    <definedName name="_xlchart.v5.10" hidden="1">'Kpi''s'!$U$13</definedName>
    <definedName name="_xlchart.v5.11" hidden="1">'Kpi''s'!$U$14:$U$19</definedName>
    <definedName name="_xlchart.v5.12" hidden="1">'Kpi''s'!$V$13</definedName>
    <definedName name="_xlchart.v5.13" hidden="1">'Kpi''s'!$V$14:$V$19</definedName>
    <definedName name="_xlchart.v5.3" hidden="1">'Kpi''s'!$U$13</definedName>
    <definedName name="_xlchart.v5.4" hidden="1">'Kpi''s'!$U$14:$U$19</definedName>
    <definedName name="_xlchart.v5.5" hidden="1">'Kpi''s'!$V$13</definedName>
    <definedName name="_xlchart.v5.6" hidden="1">'Kpi''s'!$V$14:$V$19</definedName>
    <definedName name="NativeTimeline_OrderDate">#N/A</definedName>
    <definedName name="Slicer_Category">#N/A</definedName>
    <definedName name="Slicer_Gender">#N/A</definedName>
    <definedName name="Slicer_OrderChannel">#N/A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3" l="1"/>
  <c r="AF2" i="3"/>
  <c r="AC2" i="3"/>
  <c r="U15" i="3"/>
  <c r="U16" i="3"/>
  <c r="U17" i="3"/>
  <c r="U18" i="3"/>
  <c r="U19" i="3"/>
  <c r="U14" i="3"/>
  <c r="V15" i="3"/>
  <c r="V16" i="3"/>
  <c r="V17" i="3"/>
  <c r="V18" i="3"/>
  <c r="V19" i="3"/>
  <c r="V14" i="3"/>
  <c r="E20" i="3"/>
  <c r="E21" i="3"/>
  <c r="E22" i="3"/>
  <c r="E23" i="3"/>
  <c r="E24" i="3"/>
  <c r="E25" i="3"/>
  <c r="E26" i="3"/>
  <c r="E27" i="3"/>
  <c r="E28" i="3"/>
  <c r="E19" i="3"/>
  <c r="F20" i="3"/>
  <c r="F21" i="3"/>
  <c r="F22" i="3"/>
  <c r="F23" i="3"/>
  <c r="F24" i="3"/>
  <c r="F25" i="3"/>
  <c r="F26" i="3"/>
  <c r="F27" i="3"/>
  <c r="F28" i="3"/>
  <c r="F19" i="3"/>
</calcChain>
</file>

<file path=xl/sharedStrings.xml><?xml version="1.0" encoding="utf-8"?>
<sst xmlns="http://schemas.openxmlformats.org/spreadsheetml/2006/main" count="15125" uniqueCount="1712">
  <si>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</si>
  <si>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</si>
  <si>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</si>
  <si>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</si>
  <si>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</si>
  <si>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</si>
  <si>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</si>
  <si>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</si>
  <si>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</si>
  <si>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</si>
  <si>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</si>
  <si>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</si>
  <si>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</si>
  <si>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</si>
  <si>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</si>
  <si>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</si>
  <si>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</si>
  <si>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</si>
  <si>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</si>
  <si>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</si>
  <si>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</si>
  <si>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</si>
  <si>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</si>
  <si>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</si>
  <si>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</si>
  <si>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</si>
  <si>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</si>
  <si>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</si>
  <si>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</si>
  <si>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</si>
  <si>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</si>
  <si>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</si>
  <si>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</si>
  <si>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</si>
  <si>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</si>
  <si>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</si>
  <si>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</si>
  <si>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</si>
  <si>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</si>
  <si>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</si>
  <si>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</si>
  <si>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</si>
  <si>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</si>
  <si>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</si>
  <si>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</si>
  <si>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</si>
  <si>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</si>
  <si>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</si>
  <si>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</si>
  <si>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</si>
  <si>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</si>
  <si>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</si>
  <si>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</si>
  <si>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</si>
  <si>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</si>
  <si>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</si>
  <si>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</si>
  <si>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</si>
  <si>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</si>
  <si>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</si>
  <si>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</si>
  <si>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</si>
  <si>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</si>
  <si>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</si>
  <si>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</si>
  <si>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</si>
  <si>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</si>
  <si>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</si>
  <si>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</si>
  <si>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</si>
  <si>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</si>
  <si>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</si>
  <si>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</si>
  <si>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</si>
  <si>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</si>
  <si>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</si>
  <si>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</si>
  <si>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</si>
  <si>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</si>
  <si>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</si>
  <si>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</si>
  <si>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</si>
  <si>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</si>
  <si>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</si>
  <si>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</si>
  <si>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</si>
  <si>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</si>
  <si>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</si>
  <si>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</si>
  <si>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</si>
  <si>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</si>
  <si>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</si>
  <si>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</si>
  <si>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</si>
  <si>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</si>
  <si>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</si>
  <si>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</si>
  <si>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</si>
  <si>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</si>
  <si>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</si>
  <si>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</si>
  <si>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</si>
  <si>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</si>
  <si>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</si>
  <si>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</si>
  <si>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</si>
  <si>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</si>
  <si>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</si>
  <si>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</si>
  <si>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</si>
  <si>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</si>
  <si>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</si>
  <si>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</si>
  <si>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</si>
  <si>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</si>
  <si>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</si>
  <si>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</si>
  <si>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</si>
  <si>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</si>
  <si>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</si>
  <si>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</si>
  <si>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</si>
  <si>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</si>
  <si>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</si>
  <si>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</si>
  <si>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</si>
  <si>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</si>
  <si>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</si>
  <si>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</si>
  <si>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</si>
  <si>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</si>
  <si>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</si>
  <si>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</si>
  <si>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</si>
  <si>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</si>
  <si>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</si>
  <si>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</si>
  <si>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</si>
  <si>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</si>
  <si>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</si>
  <si>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</si>
  <si>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</si>
  <si>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</si>
  <si>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</si>
  <si>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</si>
  <si>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</si>
  <si>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</si>
  <si>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</si>
  <si>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</si>
  <si>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</si>
  <si>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</si>
  <si>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</si>
  <si>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</si>
  <si>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</si>
  <si>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</si>
  <si>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</si>
  <si>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</si>
  <si>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</si>
  <si>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</si>
  <si>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</si>
  <si>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</si>
  <si>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</si>
  <si>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</si>
  <si>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</si>
  <si>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</si>
  <si>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</si>
  <si>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</si>
  <si>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</si>
  <si>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</si>
  <si>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</si>
  <si>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</si>
  <si>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</si>
  <si>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</si>
  <si>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</si>
  <si>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</si>
  <si>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</si>
  <si>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</si>
  <si>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</si>
  <si>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</si>
  <si>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</si>
  <si>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</si>
  <si>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</si>
  <si>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</si>
  <si>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</si>
  <si>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</si>
  <si>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</si>
  <si>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</si>
  <si>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</si>
  <si>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</si>
  <si>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</si>
  <si>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</si>
  <si>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</si>
  <si>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</si>
  <si>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</si>
  <si>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</si>
  <si>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</si>
  <si>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</si>
  <si>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</si>
  <si>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</si>
  <si>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</si>
  <si>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</si>
  <si>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</si>
  <si>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</si>
  <si>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</si>
  <si>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</si>
  <si>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</si>
  <si>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</si>
  <si>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</si>
  <si>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</si>
  <si>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</si>
  <si>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</si>
  <si>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</si>
  <si>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</si>
  <si>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</si>
  <si>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</si>
  <si>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</si>
  <si>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</si>
  <si>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</si>
  <si>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</si>
  <si>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</si>
  <si>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</si>
  <si>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</si>
  <si>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</si>
  <si>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</si>
  <si>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</si>
  <si>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</si>
  <si>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</si>
  <si>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</si>
  <si>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</si>
  <si>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</si>
  <si>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</si>
  <si>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</si>
  <si>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</si>
  <si>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</si>
  <si>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</si>
  <si>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</si>
  <si>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</si>
  <si>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</si>
  <si>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</si>
  <si>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</si>
  <si>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</si>
  <si>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</si>
  <si>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</si>
  <si>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</si>
  <si>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</si>
  <si>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</si>
  <si>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</si>
  <si>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</si>
  <si>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</si>
  <si>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</si>
  <si>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</si>
  <si>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</si>
  <si>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</si>
  <si>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</si>
  <si>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</si>
  <si>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</si>
  <si>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</si>
  <si>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</si>
  <si>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</si>
  <si>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</si>
  <si>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</si>
  <si>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</si>
  <si>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</si>
  <si>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</si>
  <si>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</si>
  <si>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</si>
  <si>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</si>
  <si>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</si>
  <si>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</si>
  <si>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</si>
  <si>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</si>
  <si>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</si>
  <si>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</si>
  <si>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</si>
  <si>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</si>
  <si>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</si>
  <si>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</si>
  <si>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</si>
  <si>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</si>
  <si>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</si>
  <si>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</si>
  <si>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</si>
  <si>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</si>
  <si>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</si>
  <si>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</si>
  <si>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</si>
  <si>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</si>
  <si>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</si>
  <si>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</si>
  <si>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</si>
  <si>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</si>
  <si>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</si>
  <si>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</si>
  <si>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</si>
  <si>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</si>
  <si>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</si>
  <si>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</si>
  <si>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</si>
  <si>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</si>
  <si>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</si>
  <si>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</si>
  <si>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</si>
  <si>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</si>
  <si>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</si>
  <si>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</si>
  <si>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</si>
  <si>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</si>
  <si>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</si>
  <si>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</si>
  <si>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</si>
  <si>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</si>
  <si>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</si>
  <si>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</si>
  <si>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</si>
  <si>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</si>
  <si>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</si>
  <si>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</si>
  <si>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</si>
  <si>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</si>
  <si>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</si>
  <si>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</si>
  <si>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</si>
  <si>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</si>
  <si>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</si>
  <si>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</si>
  <si>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</si>
  <si>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</si>
  <si>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</si>
  <si>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</si>
  <si>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</si>
  <si>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</si>
  <si>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</si>
  <si>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</si>
  <si>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</si>
  <si>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</si>
  <si>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</si>
  <si>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</si>
  <si>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</si>
  <si>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</si>
  <si>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</si>
  <si>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</si>
  <si>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</si>
  <si>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</si>
  <si>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</si>
  <si>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</si>
  <si>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</si>
  <si>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</si>
  <si>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</si>
  <si>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</si>
  <si>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</si>
  <si>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</si>
  <si>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</si>
  <si>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</si>
  <si>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</si>
  <si>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</si>
  <si>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</si>
  <si>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</si>
  <si>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</si>
  <si>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</si>
  <si>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</si>
  <si>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</si>
  <si>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</si>
  <si>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</si>
  <si>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</si>
  <si>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</si>
  <si>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</si>
  <si>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</si>
  <si>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</si>
  <si>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</si>
  <si>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</si>
  <si>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</si>
  <si>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</si>
  <si>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</si>
  <si>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</si>
  <si>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</si>
  <si>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</si>
  <si>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</si>
  <si>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</si>
  <si>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</si>
  <si>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</si>
  <si>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</si>
  <si>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</si>
  <si>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</si>
  <si>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</si>
  <si>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</si>
  <si>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</si>
  <si>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</si>
  <si>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</si>
  <si>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</si>
  <si>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</si>
  <si>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</si>
  <si>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</si>
  <si>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</si>
  <si>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</si>
  <si>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</si>
  <si>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</si>
  <si>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</si>
  <si>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</si>
  <si>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</si>
  <si>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</si>
  <si>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</si>
  <si>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</si>
  <si>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</si>
  <si>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</si>
  <si>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</si>
  <si>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</si>
  <si>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</si>
  <si>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</si>
  <si>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</si>
  <si>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</si>
  <si>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</si>
  <si>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</si>
  <si>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</si>
  <si>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</si>
  <si>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</si>
  <si>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</si>
  <si>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</si>
  <si>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</si>
  <si>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</si>
  <si>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</si>
  <si>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</si>
  <si>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</si>
  <si>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</si>
  <si>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</si>
  <si>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</si>
  <si>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</si>
  <si>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</si>
  <si>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</si>
  <si>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</si>
  <si>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</si>
  <si>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</si>
  <si>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</si>
  <si>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</si>
  <si>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</si>
  <si>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</si>
  <si>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</si>
  <si>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</si>
  <si>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</si>
  <si>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</si>
  <si>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</si>
  <si>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</si>
  <si>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</si>
  <si>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</si>
  <si>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</si>
  <si>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</si>
  <si>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</si>
  <si>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</si>
  <si>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</si>
  <si>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</si>
  <si>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</si>
  <si>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</si>
  <si>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</si>
  <si>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</si>
  <si>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</si>
  <si>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</si>
  <si>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</si>
  <si>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</si>
  <si>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</si>
  <si>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</si>
  <si>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</si>
  <si>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</si>
  <si>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</si>
  <si>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</si>
  <si>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</si>
  <si>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</si>
  <si>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</si>
  <si>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</si>
  <si>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</si>
  <si>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</si>
  <si>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</si>
  <si>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</si>
  <si>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</si>
  <si>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</si>
  <si>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</si>
  <si>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</si>
  <si>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</si>
  <si>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</si>
  <si>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</si>
  <si>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</si>
  <si>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</si>
  <si>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</si>
  <si>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</si>
  <si>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</si>
  <si>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</si>
  <si>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</si>
  <si>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</si>
  <si>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</si>
  <si>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</si>
  <si>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</si>
  <si>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</si>
  <si>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</si>
  <si>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</si>
  <si>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</si>
  <si>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</si>
  <si>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</si>
  <si>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</si>
  <si>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</si>
  <si>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</si>
  <si>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</si>
  <si>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</si>
  <si>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</si>
  <si>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</si>
  <si>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</si>
  <si>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</si>
  <si>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</si>
  <si>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</si>
  <si>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</si>
  <si>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</si>
  <si>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</si>
  <si>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</si>
  <si>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</si>
  <si>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</si>
  <si>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</si>
  <si>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</si>
  <si>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</si>
  <si>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</si>
  <si>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</si>
  <si>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</si>
  <si>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</si>
  <si>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</si>
  <si>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</si>
  <si>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</si>
  <si>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</si>
  <si>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</si>
  <si>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</si>
  <si>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</si>
  <si>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</si>
  <si>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</si>
  <si>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</si>
  <si>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</si>
  <si>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</si>
  <si>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</si>
  <si>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</si>
  <si>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</si>
  <si>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</si>
  <si>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</si>
  <si>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</si>
  <si>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</si>
  <si>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</si>
  <si>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</si>
  <si>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</si>
  <si>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</si>
  <si>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</si>
  <si>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</si>
  <si>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</si>
  <si>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</si>
  <si>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</si>
  <si>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</si>
  <si>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</si>
  <si>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</si>
  <si>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</si>
  <si>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</si>
  <si>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</si>
  <si>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</si>
  <si>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</si>
  <si>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</si>
  <si>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</si>
  <si>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</si>
  <si>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</si>
  <si>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</si>
  <si>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</si>
  <si>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</si>
  <si>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</si>
  <si>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</si>
  <si>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</si>
  <si>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</si>
  <si>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</si>
  <si>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</si>
  <si>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</si>
  <si>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</si>
  <si>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</si>
  <si>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</si>
  <si>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</si>
  <si>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</si>
  <si>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</si>
  <si>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</si>
  <si>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</si>
  <si>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</si>
  <si>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</si>
  <si>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</si>
  <si>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</si>
  <si>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</si>
  <si>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</si>
  <si>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</si>
  <si>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</si>
  <si>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</si>
  <si>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</si>
  <si>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</si>
  <si>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</si>
  <si>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</si>
  <si>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</si>
  <si>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</si>
  <si>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</si>
  <si>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</si>
  <si>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</si>
  <si>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</si>
  <si>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</si>
  <si>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</si>
  <si>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</si>
  <si>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</si>
  <si>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</si>
  <si>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</si>
  <si>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</si>
  <si>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</si>
  <si>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</si>
  <si>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</si>
  <si>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</si>
  <si>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</si>
  <si>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</si>
  <si>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</si>
  <si>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</si>
  <si>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</si>
  <si>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</si>
  <si>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</si>
  <si>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</si>
  <si>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</si>
  <si>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</si>
  <si>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</si>
  <si>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</si>
  <si>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</si>
  <si>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</si>
  <si>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</si>
  <si>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</si>
  <si>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</si>
  <si>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</si>
  <si>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</si>
  <si>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</si>
  <si>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</si>
  <si>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</si>
  <si>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</si>
  <si>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</si>
  <si>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</si>
  <si>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</si>
  <si>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</si>
  <si>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</si>
  <si>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</si>
  <si>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</si>
  <si>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</si>
  <si>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</si>
  <si>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</si>
  <si>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</si>
  <si>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</si>
  <si>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</si>
  <si>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</si>
  <si>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</si>
  <si>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</si>
  <si>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</si>
  <si>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</si>
  <si>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</si>
  <si>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</si>
  <si>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</si>
  <si>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</si>
  <si>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</si>
  <si>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</si>
  <si>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</si>
  <si>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</si>
  <si>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</si>
  <si>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</si>
  <si>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</si>
  <si>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</si>
  <si>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</si>
  <si>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</si>
  <si>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</si>
  <si>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</si>
  <si>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</si>
  <si>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</si>
  <si>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</si>
  <si>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</si>
  <si>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</si>
  <si>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</si>
  <si>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</si>
  <si>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</si>
  <si>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</si>
  <si>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</si>
  <si>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</si>
  <si>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</si>
  <si>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</si>
  <si>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</si>
  <si>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</si>
  <si>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</si>
  <si>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</si>
  <si>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</si>
  <si>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</si>
  <si>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</si>
  <si>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</si>
  <si>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</si>
  <si>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</si>
  <si>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</si>
  <si>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</si>
  <si>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</si>
  <si>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</si>
  <si>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</si>
  <si>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</si>
  <si>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</si>
  <si>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</si>
  <si>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</si>
  <si>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</si>
  <si>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</si>
  <si>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</si>
  <si>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</si>
  <si>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</si>
  <si>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</si>
  <si>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</si>
  <si>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</si>
  <si>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</si>
  <si>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</si>
  <si>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</si>
  <si>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</si>
  <si>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</si>
  <si>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</si>
  <si>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</si>
  <si>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</si>
  <si>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</si>
  <si>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</si>
  <si>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</si>
  <si>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</si>
  <si>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</si>
  <si>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</si>
  <si>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</si>
  <si>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</si>
  <si>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</si>
  <si>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</si>
  <si>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</si>
  <si>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</si>
  <si>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</si>
  <si>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</si>
  <si>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</si>
  <si>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</si>
  <si>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</si>
  <si>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</si>
  <si>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</si>
  <si>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</si>
  <si>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</si>
  <si>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</si>
  <si>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</si>
  <si>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</si>
  <si>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</si>
  <si>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</si>
  <si>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</si>
  <si>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</si>
  <si>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</si>
  <si>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</si>
  <si>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</si>
  <si>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</si>
  <si>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</si>
  <si>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</si>
  <si>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</si>
  <si>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</si>
  <si>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</si>
  <si>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</si>
  <si>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</si>
  <si>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</si>
  <si>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</si>
  <si>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</si>
  <si>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</si>
  <si>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</si>
  <si>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</si>
  <si>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</si>
  <si>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</si>
  <si>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</si>
  <si>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</si>
  <si>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</si>
  <si>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</si>
  <si>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</si>
  <si>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</si>
  <si>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</si>
  <si>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</si>
  <si>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</si>
  <si>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</si>
  <si>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</si>
  <si>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</si>
  <si>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</si>
  <si>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</si>
  <si>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</si>
  <si>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</si>
  <si>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</si>
  <si>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</si>
  <si>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</si>
  <si>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</si>
  <si>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</si>
  <si>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</si>
  <si>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</si>
  <si>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</si>
  <si>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</si>
  <si>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</si>
  <si>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</si>
  <si>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</si>
  <si>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</si>
  <si>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</si>
  <si>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</si>
  <si>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</si>
  <si>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</si>
  <si>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</si>
  <si>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</si>
  <si>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</si>
  <si>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</si>
  <si>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</si>
  <si>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</si>
  <si>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</si>
  <si>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</si>
  <si>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</si>
  <si>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</si>
  <si>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</si>
  <si>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</si>
  <si>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</si>
  <si>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</si>
  <si>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</si>
  <si>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</si>
  <si>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</si>
  <si>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</si>
  <si>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</si>
  <si>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</si>
  <si>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</si>
  <si>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</si>
  <si>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</si>
  <si>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</si>
  <si>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</si>
  <si>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</si>
  <si>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</si>
  <si>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</si>
  <si>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</si>
  <si>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</si>
  <si>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</si>
  <si>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</si>
  <si>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</si>
  <si>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</si>
  <si>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</si>
  <si>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</si>
  <si>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</si>
  <si>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</si>
  <si>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</si>
  <si>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</si>
  <si>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</si>
  <si>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</si>
  <si>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</si>
  <si>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</si>
  <si>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</si>
  <si>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</si>
  <si>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</si>
  <si>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</si>
  <si>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</si>
  <si>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</si>
  <si>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</si>
  <si>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</si>
  <si>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</si>
  <si>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</si>
  <si>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</si>
  <si>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</si>
  <si>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</si>
  <si>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</si>
  <si>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</si>
  <si>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</si>
  <si>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</si>
  <si>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</si>
  <si>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</si>
  <si>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</si>
  <si>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</si>
  <si>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</si>
  <si>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</si>
  <si>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</si>
  <si>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</si>
  <si>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</si>
  <si>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</si>
  <si>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</si>
  <si>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</si>
  <si>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</si>
  <si>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</si>
  <si>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</si>
  <si>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</si>
  <si>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</si>
  <si>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</si>
  <si>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</si>
  <si>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</si>
  <si>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</si>
  <si>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</si>
  <si>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</si>
  <si>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</si>
  <si>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</si>
  <si>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</si>
  <si>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</si>
  <si>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</si>
  <si>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</si>
  <si>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</si>
  <si>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</si>
  <si>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</si>
  <si>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</si>
  <si>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</si>
  <si>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</si>
  <si>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</si>
  <si>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</si>
  <si>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</si>
  <si>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</si>
  <si>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</si>
  <si>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</si>
  <si>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</si>
  <si>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</si>
  <si>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</si>
  <si>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</si>
  <si>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</si>
  <si>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</si>
  <si>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</si>
  <si>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</si>
  <si>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</si>
  <si>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</si>
  <si>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</si>
  <si>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</si>
  <si>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</si>
  <si>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</si>
  <si>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</si>
  <si>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</si>
  <si>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</si>
  <si>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</si>
  <si>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</si>
  <si>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</si>
  <si>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</si>
  <si>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</si>
  <si>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</si>
  <si>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</si>
  <si>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</si>
  <si>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</si>
  <si>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</si>
  <si>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</si>
  <si>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</si>
  <si>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</si>
  <si>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</si>
  <si>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</si>
  <si>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</si>
  <si>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</si>
  <si>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</si>
  <si>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</si>
  <si>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</si>
  <si>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</si>
  <si>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</si>
  <si>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</si>
  <si>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</si>
  <si>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</si>
  <si>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</si>
  <si>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</si>
  <si>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</si>
  <si>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</si>
  <si>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</si>
  <si>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</si>
  <si>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</si>
  <si>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</si>
  <si>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</si>
  <si>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</si>
  <si>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</si>
  <si>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</si>
  <si>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</si>
  <si>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</si>
  <si>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</si>
  <si>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</si>
  <si>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</si>
  <si>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</si>
  <si>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</si>
  <si>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</si>
  <si>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</si>
  <si>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</si>
  <si>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</si>
  <si>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</si>
  <si>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</si>
  <si>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</si>
  <si>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</si>
  <si>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</si>
  <si>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</si>
  <si>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</si>
  <si>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</si>
  <si>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</si>
  <si>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</si>
  <si>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</si>
  <si>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</si>
  <si>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</si>
  <si>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</si>
  <si>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</si>
  <si>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</si>
  <si>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</si>
  <si>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</si>
  <si>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</si>
  <si>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</si>
  <si>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</si>
  <si>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</si>
  <si>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</si>
  <si>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</si>
  <si>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</si>
  <si>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</si>
  <si>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</si>
  <si>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</si>
  <si>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</si>
  <si>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</si>
  <si>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</si>
  <si>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</si>
  <si>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</si>
  <si>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</si>
  <si>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</si>
  <si>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</si>
  <si>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</si>
  <si>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</si>
  <si>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</si>
  <si>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</si>
  <si>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</si>
  <si>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</si>
  <si>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</si>
  <si>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</si>
  <si>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</si>
  <si>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</si>
  <si>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</si>
  <si>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</si>
  <si>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</si>
  <si>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</si>
  <si>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</si>
  <si>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</si>
  <si>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</si>
  <si>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</si>
  <si>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</si>
  <si>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</si>
  <si>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</si>
  <si>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</si>
  <si>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</si>
  <si>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</si>
  <si>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</si>
  <si>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</si>
  <si>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</si>
  <si>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</si>
  <si>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</si>
  <si>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</si>
  <si>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</si>
  <si>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</si>
  <si>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</si>
  <si>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</si>
  <si>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</si>
  <si>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</si>
  <si>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</si>
  <si>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</si>
  <si>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</si>
  <si>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</si>
  <si>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</si>
  <si>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</si>
  <si>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</si>
  <si>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</si>
  <si>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</si>
  <si>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</si>
  <si>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</si>
  <si>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</si>
  <si>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</si>
  <si>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</si>
  <si>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</si>
  <si>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</si>
  <si>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</si>
  <si>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</si>
  <si>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</si>
  <si>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</si>
  <si>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</si>
  <si>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</si>
  <si>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</si>
  <si>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</si>
  <si>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</si>
  <si>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</si>
  <si>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</si>
  <si>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</si>
  <si>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</si>
  <si>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</si>
  <si>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</si>
  <si>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</si>
  <si>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</si>
  <si>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</si>
  <si>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</si>
  <si>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</si>
  <si>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</si>
  <si>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</si>
  <si>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</si>
  <si>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</si>
  <si>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</si>
  <si>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</si>
  <si>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</si>
  <si>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</si>
  <si>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</si>
  <si>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</si>
  <si>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</si>
  <si>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</si>
  <si>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</si>
  <si>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</si>
  <si>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</si>
  <si>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</si>
  <si>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</si>
  <si>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</si>
  <si>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</si>
  <si>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</si>
  <si>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</si>
  <si>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</si>
  <si>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</si>
  <si>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</si>
  <si>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</si>
  <si>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</si>
  <si>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</si>
  <si>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</si>
  <si>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</si>
  <si>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</si>
  <si>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</si>
  <si>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</si>
  <si>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</si>
  <si>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</si>
  <si>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</si>
  <si>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</si>
  <si>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</si>
  <si>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</si>
  <si>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</si>
  <si>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</si>
  <si>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</si>
  <si>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</si>
  <si>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</si>
  <si>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</si>
  <si>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</si>
  <si>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</si>
  <si>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</si>
  <si>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</si>
  <si>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</si>
  <si>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</si>
  <si>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</si>
  <si>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</si>
  <si>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</si>
  <si>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</si>
  <si>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</si>
  <si>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</si>
  <si>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</si>
  <si>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</si>
  <si>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</si>
  <si>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</si>
  <si>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</si>
  <si>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</si>
  <si>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</si>
  <si>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</si>
  <si>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</si>
  <si>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</si>
  <si>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</si>
  <si>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</si>
  <si>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</si>
  <si>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</si>
  <si>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</si>
  <si>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</si>
  <si>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</si>
  <si>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</si>
  <si>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</si>
  <si>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</si>
  <si>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</si>
  <si>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</si>
  <si>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</si>
  <si>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</si>
  <si>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</si>
  <si>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</si>
  <si>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</si>
  <si>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</si>
  <si>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</si>
  <si>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</si>
  <si>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</si>
  <si>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</si>
  <si>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</si>
  <si>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</si>
  <si>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</si>
  <si>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</si>
  <si>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</si>
  <si>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</si>
  <si>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</si>
  <si>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</si>
  <si>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</si>
  <si>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</si>
  <si>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</si>
  <si>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</si>
  <si>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</si>
  <si>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</si>
  <si>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</si>
  <si>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</si>
  <si>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</si>
  <si>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</si>
  <si>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</si>
  <si>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</si>
  <si>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</si>
  <si>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</si>
  <si>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</si>
  <si>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</si>
  <si>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</si>
  <si>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</si>
  <si>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</si>
  <si>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</si>
  <si>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</si>
  <si>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</si>
  <si>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</si>
  <si>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</si>
  <si>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</si>
  <si>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</si>
  <si>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</si>
  <si>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</si>
  <si>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</si>
  <si>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</si>
  <si>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</si>
  <si>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</si>
  <si>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</si>
  <si>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</si>
  <si>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</si>
  <si>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</si>
  <si>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</si>
  <si>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</si>
  <si>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</si>
  <si>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</si>
  <si>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</si>
  <si>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</si>
  <si>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</si>
  <si>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</si>
  <si>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</si>
  <si>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</si>
  <si>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</si>
  <si>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</si>
  <si>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</si>
  <si>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</si>
  <si>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</si>
  <si>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</si>
  <si>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</si>
  <si>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</si>
  <si>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</si>
  <si>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</si>
  <si>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</si>
  <si>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</si>
  <si>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</si>
  <si>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</si>
  <si>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</si>
  <si>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</si>
  <si>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</si>
  <si>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</si>
  <si>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</si>
  <si>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</si>
  <si>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</si>
  <si>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</si>
  <si>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</si>
  <si>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</si>
  <si>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</si>
  <si>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</si>
  <si>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</si>
  <si>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</si>
  <si>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</si>
  <si>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</si>
  <si>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</si>
  <si>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</si>
  <si>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</si>
  <si>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</si>
  <si>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</si>
  <si>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</si>
  <si>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</si>
  <si>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</si>
  <si>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</si>
  <si>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</si>
  <si>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</si>
  <si>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</si>
  <si>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</si>
  <si>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</si>
  <si>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</si>
  <si>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</si>
  <si>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</si>
  <si>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</si>
  <si>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</si>
  <si>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</si>
  <si>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</si>
  <si>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</si>
  <si>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</si>
  <si>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</si>
  <si>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</si>
  <si>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</si>
  <si>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</si>
  <si>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</si>
  <si>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</si>
  <si>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</si>
  <si>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</si>
  <si>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</si>
  <si>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</si>
  <si>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</si>
  <si>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</si>
  <si>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</si>
  <si>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</si>
  <si>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</si>
  <si>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</si>
  <si>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</si>
  <si>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</si>
  <si>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</si>
  <si>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</si>
  <si>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</si>
  <si>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</si>
  <si>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</si>
  <si>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</si>
  <si>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</si>
  <si>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</si>
  <si>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</si>
  <si>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</si>
  <si>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</si>
  <si>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</si>
  <si>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</si>
  <si>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</si>
  <si>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</si>
  <si>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</si>
  <si>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</si>
  <si>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</si>
  <si>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</si>
  <si>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</si>
  <si>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</si>
  <si>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</si>
  <si>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</si>
  <si>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</si>
  <si>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</si>
  <si>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</si>
  <si>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</si>
  <si>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</si>
  <si>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</si>
  <si>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</si>
  <si>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</si>
  <si>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</si>
  <si>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</si>
  <si>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</si>
  <si>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</si>
  <si>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</si>
  <si>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</si>
  <si>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</si>
  <si>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</si>
  <si>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</si>
  <si>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</si>
  <si>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</si>
  <si>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</si>
  <si>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</si>
  <si>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</si>
  <si>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</si>
  <si>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</si>
  <si>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</si>
  <si>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</si>
  <si>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</si>
  <si>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</si>
  <si>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</si>
  <si>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</si>
  <si>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</si>
  <si>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</si>
  <si>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</si>
  <si>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</si>
  <si>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</si>
  <si>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</si>
  <si>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</si>
  <si>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</si>
  <si>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</si>
  <si>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</si>
  <si>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</si>
  <si>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</si>
  <si>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</si>
  <si>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</si>
  <si>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</si>
  <si>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</si>
  <si>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</si>
  <si>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</si>
  <si>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</si>
  <si>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</si>
  <si>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</si>
  <si>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</si>
  <si>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</si>
  <si>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</si>
  <si>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</si>
  <si>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</si>
  <si>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</si>
  <si>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</si>
  <si>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</si>
  <si>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</si>
  <si>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</si>
  <si>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</si>
  <si>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</si>
  <si>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</si>
  <si>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</si>
  <si>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</si>
  <si>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</si>
  <si>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</si>
  <si>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</si>
  <si>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</si>
  <si>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</si>
  <si>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</si>
  <si>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</si>
  <si>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</si>
  <si>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</si>
  <si>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</si>
  <si>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</si>
  <si>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</si>
  <si>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</si>
  <si>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</si>
  <si>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</si>
  <si>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</si>
  <si>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</si>
  <si>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</si>
  <si>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</si>
  <si>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</si>
  <si>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</si>
  <si>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</si>
  <si>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</si>
  <si>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</si>
  <si>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</si>
  <si>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</si>
  <si>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</si>
  <si>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</si>
  <si>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</si>
  <si>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</si>
  <si>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</si>
  <si>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</si>
  <si>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</si>
  <si>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</si>
  <si>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</si>
  <si>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</si>
  <si>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</si>
  <si>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</si>
  <si>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</si>
  <si>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</si>
  <si>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</si>
  <si>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</si>
  <si>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</si>
  <si>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</si>
  <si>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</si>
  <si>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</si>
  <si>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</si>
  <si>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</si>
  <si>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</si>
  <si>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</si>
  <si>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</si>
  <si>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</si>
  <si>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</si>
  <si>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</si>
  <si>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</si>
  <si>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</si>
  <si>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</si>
  <si>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</si>
  <si>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</si>
  <si>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</si>
  <si>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</si>
  <si>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</si>
  <si>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</si>
  <si>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</si>
  <si>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</si>
  <si>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</si>
  <si>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</si>
  <si>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</si>
  <si>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</si>
  <si>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</si>
  <si>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</si>
  <si>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</si>
  <si>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</si>
  <si>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</si>
  <si>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</si>
  <si>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</si>
  <si>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</si>
  <si>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</si>
  <si>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</si>
  <si>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</si>
  <si>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</si>
  <si>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</si>
  <si>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</si>
  <si>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</si>
  <si>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</si>
  <si>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</si>
  <si>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</si>
  <si>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</si>
  <si>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</si>
  <si>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</si>
  <si>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</si>
  <si>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</si>
  <si>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</si>
  <si>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</si>
  <si>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</si>
  <si>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</si>
  <si>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</si>
  <si>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</si>
  <si>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</si>
  <si>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</si>
  <si>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</si>
  <si>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</si>
  <si>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</si>
  <si>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</si>
  <si>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</si>
  <si>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</si>
  <si>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</si>
  <si>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</si>
  <si>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</si>
  <si>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</si>
  <si>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</si>
  <si>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</si>
  <si>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</si>
  <si>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</si>
  <si>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</si>
  <si>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</si>
  <si>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</si>
  <si>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</si>
  <si>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</si>
  <si>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</si>
  <si>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</si>
  <si>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</si>
  <si>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</si>
  <si>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</si>
  <si>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</si>
  <si>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</si>
  <si>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</si>
  <si>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</si>
  <si>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</si>
  <si>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</si>
  <si>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</si>
  <si>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</si>
  <si>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</si>
  <si>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</si>
  <si>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</si>
  <si>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</si>
  <si>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</si>
  <si>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</si>
  <si>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</si>
  <si>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</si>
  <si>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</si>
  <si>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</si>
  <si>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</si>
  <si>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</si>
  <si>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</si>
  <si>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</si>
  <si>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</si>
  <si>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</si>
  <si>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</si>
  <si>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</si>
  <si>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</si>
  <si>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</si>
  <si>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</si>
  <si>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</si>
  <si>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</si>
  <si>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</si>
  <si>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</si>
  <si>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</si>
  <si>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</si>
  <si>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</si>
  <si>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</si>
  <si>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</si>
  <si>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</si>
  <si>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</si>
  <si>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</si>
  <si>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</si>
  <si>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</si>
  <si>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</si>
  <si>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</si>
  <si>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</si>
  <si>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</si>
  <si>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</si>
  <si>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</si>
  <si>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</si>
  <si>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</si>
  <si>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</si>
  <si>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</si>
  <si>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</si>
  <si>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</si>
  <si>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</si>
  <si>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</si>
  <si>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</si>
  <si>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</si>
  <si>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</si>
  <si>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</si>
  <si>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</si>
  <si>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</si>
  <si>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</si>
  <si>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</si>
  <si>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</si>
  <si>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</si>
  <si>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</si>
  <si>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</si>
  <si>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</si>
  <si>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</si>
  <si>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</si>
  <si>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</si>
  <si>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</si>
  <si>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</si>
  <si>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</si>
  <si>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</si>
  <si>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</si>
  <si>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</si>
  <si>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</si>
  <si>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</si>
  <si>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</si>
  <si>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</si>
  <si>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</si>
  <si>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</si>
  <si>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</si>
  <si>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</si>
  <si>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</si>
  <si>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</si>
  <si>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</si>
  <si>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</si>
  <si>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</si>
  <si>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</si>
  <si>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</si>
  <si>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</si>
  <si>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</si>
  <si>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</si>
  <si>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</si>
  <si>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</si>
  <si>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</si>
  <si>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</si>
  <si>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</si>
  <si>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</si>
  <si>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</si>
  <si>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</si>
  <si>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</si>
  <si>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</si>
  <si>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</si>
  <si>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</si>
  <si>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</si>
  <si>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</si>
  <si>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</si>
  <si>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</si>
  <si>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</si>
  <si>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</si>
  <si>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</si>
  <si>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</si>
  <si>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</si>
  <si>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</si>
  <si>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</si>
  <si>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</si>
  <si>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</si>
  <si>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</si>
  <si>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</si>
  <si>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</si>
  <si>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</si>
  <si>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</si>
  <si>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</si>
  <si>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</si>
  <si>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</si>
  <si>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</si>
  <si>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</si>
  <si>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</si>
  <si>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</si>
  <si>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</si>
  <si>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</si>
  <si>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</si>
  <si>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</si>
  <si>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</si>
  <si>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</si>
  <si>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</si>
  <si>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</si>
  <si>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</si>
  <si>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</si>
  <si>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</si>
  <si>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</si>
  <si>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</si>
  <si>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</si>
  <si>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</si>
  <si>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</si>
  <si>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</si>
  <si>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</si>
  <si>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</si>
  <si>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</si>
  <si>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</si>
  <si>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</si>
  <si>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</si>
  <si>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</si>
  <si>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</si>
  <si>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</si>
  <si>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</si>
  <si>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</si>
  <si>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</si>
  <si>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</si>
  <si>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</si>
  <si>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</si>
  <si>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</si>
  <si>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</si>
  <si>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</si>
  <si>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</si>
  <si>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</si>
  <si>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</si>
  <si>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</si>
  <si>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</si>
  <si>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</si>
  <si>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</si>
  <si>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</si>
  <si>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</si>
  <si>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</si>
  <si>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</si>
  <si>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</si>
  <si>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</si>
  <si>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</si>
  <si>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</si>
  <si>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</si>
  <si>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</si>
  <si>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</si>
  <si>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</si>
  <si>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</si>
  <si>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</si>
  <si>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</si>
  <si>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</si>
  <si>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</si>
  <si>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</si>
  <si>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</si>
  <si>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</si>
  <si>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</si>
  <si>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</si>
  <si>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</si>
  <si>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</si>
  <si>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</si>
  <si>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</si>
  <si>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Row Labels</t>
  </si>
  <si>
    <t>Grand Total</t>
  </si>
  <si>
    <t>Jan</t>
  </si>
  <si>
    <t>Feb</t>
  </si>
  <si>
    <t>Mar</t>
  </si>
  <si>
    <t>Apr</t>
  </si>
  <si>
    <t>May</t>
  </si>
  <si>
    <t>Jun</t>
  </si>
  <si>
    <t>Jul</t>
  </si>
  <si>
    <t>Aug</t>
  </si>
  <si>
    <t>Sep</t>
  </si>
  <si>
    <t>Oct</t>
  </si>
  <si>
    <t>Nov</t>
  </si>
  <si>
    <t>Dec</t>
  </si>
  <si>
    <t>Sum of TotalAmount</t>
  </si>
  <si>
    <t>Average of DeliveryDays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</si>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</sst>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4" x14ac:knownFonts="1">
    <font>
      <sz val="11"/>
      <color theme="1"/>
      <name val="Aptos Narrow"/>
      <family val="2"/>
      <scheme val="minor"/>
    </font>
    <font>
      <sz val="10"/>
      <color indexed="9"/>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indexed="20"/>
        <bgColor indexed="24"/>
      </patternFill>
    </fill>
    <fill>
      <patternFill patternType="solid">
        <fgColor theme="4" tint="0.79998168889431442"/>
        <bgColor theme="4" tint="0.79998168889431442"/>
      </patternFill>
    </fill>
    <fill>
      <patternFill patternType="solid">
        <fgColor theme="0"/>
        <bgColor indexed="64"/>
      </patternFill>
    </fill>
  </fills>
  <borders count="4">
    <border>
      <left/>
      <right/>
      <top/>
      <bottom/>
      <diagonal/>
    </border>
    <border>
      <left/>
      <right/>
      <top style="medium">
        <color indexed="64"/>
      </top>
      <bottom style="thin">
        <color indexed="64"/>
      </bottom>
      <diagonal/>
    </border>
    <border>
      <left/>
      <right/>
      <top/>
      <bottom style="medium">
        <color indexed="64"/>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2" borderId="1" xfId="0" applyFont="1" applyFill="1" applyBorder="1" applyAlignment="1">
      <alignment horizontal="right"/>
    </xf>
    <xf numFmtId="15" fontId="0" fillId="0" borderId="0" xfId="0" applyNumberFormat="1"/>
    <xf numFmtId="0" fontId="0" fillId="0" borderId="0" xfId="0" applyAlignment="1">
      <alignment horizontal="center"/>
    </xf>
    <xf numFmtId="0" fontId="0" fillId="0" borderId="2" xfId="0" applyBorder="1"/>
    <xf numFmtId="15" fontId="0" fillId="0" borderId="2" xfId="0" applyNumberFormat="1" applyBorder="1"/>
    <xf numFmtId="0" fontId="0" fillId="0" borderId="0" xfId="0" pivotButton="1"/>
    <xf numFmtId="0" fontId="0" fillId="0" borderId="0" xfId="0" applyAlignment="1">
      <alignment horizontal="left"/>
    </xf>
    <xf numFmtId="10" fontId="0" fillId="0" borderId="0" xfId="0" applyNumberFormat="1"/>
    <xf numFmtId="43" fontId="0" fillId="0" borderId="0" xfId="0" applyNumberFormat="1"/>
    <xf numFmtId="164" fontId="0" fillId="0" borderId="0" xfId="0" applyNumberFormat="1"/>
    <xf numFmtId="0" fontId="3" fillId="3" borderId="3" xfId="0" applyFont="1" applyFill="1" applyBorder="1"/>
    <xf numFmtId="9" fontId="0" fillId="0" borderId="0" xfId="1" applyFont="1"/>
    <xf numFmtId="0" fontId="0" fillId="4" borderId="0" xfId="0" applyFill="1"/>
    <xf numFmtId="165" fontId="0" fillId="0" borderId="0" xfId="0" applyNumberFormat="1"/>
  </cellXfs>
  <cellStyles count="2">
    <cellStyle name="Normal" xfId="0" builtinId="0"/>
    <cellStyle name="Percent" xfId="1" builtinId="5"/>
  </cellStyles>
  <dxfs count="3">
    <dxf>
      <numFmt numFmtId="164" formatCode="_(* #,##0_);_(* \(#,##0\);_(* &quot;-&quot;??_);_(@_)"/>
    </dxf>
    <dxf>
      <numFmt numFmtId="164" formatCode="_(* #,##0_);_(* \(#,##0\);_(* &quot;-&quot;??_);_(@_)"/>
    </dxf>
    <dxf>
      <numFmt numFmtId="164" formatCode="_(* #,##0_);_(* \(#,##0\);_(* &quot;-&quot;??_);_(@_)"/>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2026.xlsx]Kpi's!month</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8341530178643"/>
          <c:y val="6.4428472218634666E-2"/>
          <c:w val="0.71938949818340936"/>
          <c:h val="0.84204505686789155"/>
        </c:manualLayout>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07BD-445D-A0CB-D71BEEF15E33}"/>
            </c:ext>
          </c:extLst>
        </c:ser>
        <c:dLbls>
          <c:dLblPos val="outEnd"/>
          <c:showLegendKey val="0"/>
          <c:showVal val="1"/>
          <c:showCatName val="0"/>
          <c:showSerName val="0"/>
          <c:showPercent val="0"/>
          <c:showBubbleSize val="0"/>
        </c:dLbls>
        <c:gapWidth val="182"/>
        <c:axId val="818791568"/>
        <c:axId val="690010288"/>
      </c:barChart>
      <c:catAx>
        <c:axId val="818791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10288"/>
        <c:crosses val="autoZero"/>
        <c:auto val="1"/>
        <c:lblAlgn val="ctr"/>
        <c:lblOffset val="100"/>
        <c:noMultiLvlLbl val="0"/>
      </c:catAx>
      <c:valAx>
        <c:axId val="69001028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9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2026.xlsx]Kpi's!brand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16188949417538"/>
          <c:y val="7.3938576962715288E-2"/>
          <c:w val="0.70723506342370224"/>
          <c:h val="0.84204505686789155"/>
        </c:manualLayout>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9042-4188-A3BE-3C48E9DBCAB8}"/>
            </c:ext>
          </c:extLst>
        </c:ser>
        <c:dLbls>
          <c:dLblPos val="outEnd"/>
          <c:showLegendKey val="0"/>
          <c:showVal val="1"/>
          <c:showCatName val="0"/>
          <c:showSerName val="0"/>
          <c:showPercent val="0"/>
          <c:showBubbleSize val="0"/>
        </c:dLbls>
        <c:gapWidth val="182"/>
        <c:axId val="927864768"/>
        <c:axId val="690088048"/>
      </c:barChart>
      <c:catAx>
        <c:axId val="9278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88048"/>
        <c:crosses val="autoZero"/>
        <c:auto val="1"/>
        <c:lblAlgn val="ctr"/>
        <c:lblOffset val="100"/>
        <c:noMultiLvlLbl val="0"/>
      </c:catAx>
      <c:valAx>
        <c:axId val="690088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2000">
          <a:schemeClr val="bg1"/>
        </a:gs>
        <a:gs pos="96000">
          <a:schemeClr val="accent4">
            <a:lumMod val="97000"/>
            <a:lumOff val="3000"/>
          </a:schemeClr>
        </a:gs>
        <a:gs pos="12000">
          <a:srgbClr val="FFFF66"/>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2026.xlsx]Kpi's!payment method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2">
                <a:lumMod val="90000"/>
                <a:lumOff val="1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1000946177686"/>
          <c:y val="7.4074204433344087E-2"/>
          <c:w val="0.77591101591686285"/>
          <c:h val="0.79118839311752698"/>
        </c:manualLayout>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solidFill>
                <a:schemeClr val="tx2">
                  <a:lumMod val="90000"/>
                  <a:lumOff val="1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0EC7-4AD6-B81B-4E07F350326B}"/>
            </c:ext>
          </c:extLst>
        </c:ser>
        <c:dLbls>
          <c:dLblPos val="outEnd"/>
          <c:showLegendKey val="0"/>
          <c:showVal val="1"/>
          <c:showCatName val="0"/>
          <c:showSerName val="0"/>
          <c:showPercent val="0"/>
          <c:showBubbleSize val="0"/>
        </c:dLbls>
        <c:gapWidth val="219"/>
        <c:overlap val="-27"/>
        <c:axId val="927804448"/>
        <c:axId val="689994928"/>
      </c:barChart>
      <c:catAx>
        <c:axId val="9278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94928"/>
        <c:crosses val="autoZero"/>
        <c:auto val="1"/>
        <c:lblAlgn val="ctr"/>
        <c:lblOffset val="100"/>
        <c:noMultiLvlLbl val="0"/>
      </c:catAx>
      <c:valAx>
        <c:axId val="6899949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04448"/>
        <c:crosses val="autoZero"/>
        <c:crossBetween val="between"/>
      </c:valAx>
      <c:spPr>
        <a:gradFill>
          <a:gsLst>
            <a:gs pos="48000">
              <a:schemeClr val="bg1"/>
            </a:gs>
            <a:gs pos="96000">
              <a:schemeClr val="accent4">
                <a:lumMod val="97000"/>
                <a:lumOff val="3000"/>
              </a:schemeClr>
            </a:gs>
            <a:gs pos="12000">
              <a:srgbClr val="FFFF00"/>
            </a:gs>
          </a:gsLst>
          <a:lin ang="162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8000">
          <a:schemeClr val="bg1"/>
        </a:gs>
        <a:gs pos="96000">
          <a:schemeClr val="accent4">
            <a:lumMod val="97000"/>
            <a:lumOff val="3000"/>
          </a:schemeClr>
        </a:gs>
        <a:gs pos="12000">
          <a:srgbClr val="FFFF66"/>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dashbboard 2026.xlsx]Kpi's!order channel</c:name>
    <c:fmtId val="6"/>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a:scene3d>
            <a:camera prst="orthographicFront"/>
            <a:lightRig rig="threePt" dir="t"/>
          </a:scene3d>
          <a:sp3d>
            <a:bevelT/>
          </a:sp3d>
        </c:spPr>
      </c:pivotFmt>
      <c:pivotFmt>
        <c:idx val="6"/>
        <c:spPr>
          <a:solidFill>
            <a:schemeClr val="accent1">
              <a:lumMod val="75000"/>
            </a:schemeClr>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0.18379568033501048"/>
          <c:y val="0.11342592592592593"/>
          <c:w val="0.63240863932997904"/>
          <c:h val="0.77314814814814814"/>
        </c:manualLayout>
      </c:layout>
      <c:pieChart>
        <c:varyColors val="1"/>
        <c:ser>
          <c:idx val="0"/>
          <c:order val="0"/>
          <c:tx>
            <c:strRef>
              <c:f>'Kpi''s'!$R$3</c:f>
              <c:strCache>
                <c:ptCount val="1"/>
                <c:pt idx="0">
                  <c:v>Total</c:v>
                </c:pt>
              </c:strCache>
            </c:strRef>
          </c:tx>
          <c:spPr>
            <a:scene3d>
              <a:camera prst="orthographicFront"/>
              <a:lightRig rig="threePt" dir="t"/>
            </a:scene3d>
            <a:sp3d>
              <a:bevelT/>
            </a:sp3d>
          </c:spPr>
          <c:dPt>
            <c:idx val="0"/>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A6B0-47CA-874D-961B8C962075}"/>
              </c:ext>
            </c:extLst>
          </c:dPt>
          <c:dPt>
            <c:idx val="1"/>
            <c:bubble3D val="0"/>
            <c:spPr>
              <a:solidFill>
                <a:schemeClr val="accent1">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A6B0-47CA-874D-961B8C9620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0.50859993267120218</c:v>
                </c:pt>
                <c:pt idx="1">
                  <c:v>0.49140006732879776</c:v>
                </c:pt>
              </c:numCache>
            </c:numRef>
          </c:val>
          <c:extLst>
            <c:ext xmlns:c16="http://schemas.microsoft.com/office/drawing/2014/chart" uri="{C3380CC4-5D6E-409C-BE32-E72D297353CC}">
              <c16:uniqueId val="{00000004-A6B0-47CA-874D-961B8C9620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4">
            <a:lumMod val="67000"/>
          </a:schemeClr>
        </a:gs>
        <a:gs pos="39000">
          <a:schemeClr val="accent4">
            <a:lumMod val="97000"/>
            <a:lumOff val="3000"/>
          </a:schemeClr>
        </a:gs>
        <a:gs pos="63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2026.xlsx]Kpi's!return</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threePt" dir="t"/>
          </a:scene3d>
          <a:sp3d>
            <a:bevelT/>
          </a:sp3d>
        </c:spPr>
      </c:pivotFmt>
      <c:pivotFmt>
        <c:idx val="6"/>
        <c:spPr>
          <a:solidFill>
            <a:srgbClr val="FFC000"/>
          </a:solidFill>
          <a:ln w="19050">
            <a:solidFill>
              <a:schemeClr val="lt1"/>
            </a:solidFill>
          </a:ln>
          <a:effectLst/>
          <a:scene3d>
            <a:camera prst="orthographicFront"/>
            <a:lightRig rig="threePt" dir="t"/>
          </a:scene3d>
          <a:sp3d>
            <a:bevelT/>
          </a:sp3d>
        </c:spPr>
      </c:pivotFmt>
    </c:pivotFmts>
    <c:plotArea>
      <c:layout/>
      <c:doughnutChart>
        <c:varyColors val="1"/>
        <c:ser>
          <c:idx val="0"/>
          <c:order val="0"/>
          <c:tx>
            <c:strRef>
              <c:f>'Kpi''s'!$Z$3</c:f>
              <c:strCache>
                <c:ptCount val="1"/>
                <c:pt idx="0">
                  <c:v>Total</c:v>
                </c:pt>
              </c:strCache>
            </c:strRef>
          </c:tx>
          <c:dPt>
            <c:idx val="0"/>
            <c:bubble3D val="0"/>
            <c:explosion val="2"/>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13FF-40A9-8D94-896B3F81ABAD}"/>
              </c:ext>
            </c:extLst>
          </c:dPt>
          <c:dPt>
            <c:idx val="1"/>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13FF-40A9-8D94-896B3F81AB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'Kpi''s'!$Y$4:$Y$6</c:f>
              <c:strCache>
                <c:ptCount val="2"/>
                <c:pt idx="0">
                  <c:v>No Return</c:v>
                </c:pt>
                <c:pt idx="1">
                  <c:v>Returned</c:v>
                </c:pt>
              </c:strCache>
            </c:strRef>
          </c:cat>
          <c:val>
            <c:numRef>
              <c:f>'Kpi''s'!$Z$4:$Z$6</c:f>
              <c:numCache>
                <c:formatCode>0.00%</c:formatCode>
                <c:ptCount val="2"/>
                <c:pt idx="0">
                  <c:v>0.50130134262318327</c:v>
                </c:pt>
                <c:pt idx="1">
                  <c:v>0.49869865737681679</c:v>
                </c:pt>
              </c:numCache>
            </c:numRef>
          </c:val>
          <c:extLst>
            <c:ext xmlns:c16="http://schemas.microsoft.com/office/drawing/2014/chart" uri="{C3380CC4-5D6E-409C-BE32-E72D297353CC}">
              <c16:uniqueId val="{00000004-13FF-40A9-8D94-896B3F81ABAD}"/>
            </c:ext>
          </c:extLst>
        </c:ser>
        <c:dLbls>
          <c:showLegendKey val="0"/>
          <c:showVal val="1"/>
          <c:showCatName val="0"/>
          <c:showSerName val="0"/>
          <c:showPercent val="0"/>
          <c:showBubbleSize val="0"/>
          <c:showLeaderLines val="1"/>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chemeClr val="accent4">
            <a:lumMod val="67000"/>
          </a:schemeClr>
        </a:gs>
        <a:gs pos="51000">
          <a:schemeClr val="bg1"/>
        </a:gs>
        <a:gs pos="63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2026.xlsx]Kpi's!month</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5309926573082"/>
          <c:y val="7.407407407407407E-2"/>
          <c:w val="0.71938949818340936"/>
          <c:h val="0.84204505686789155"/>
        </c:manualLayout>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9C39-4574-8A39-E229B61AD252}"/>
            </c:ext>
          </c:extLst>
        </c:ser>
        <c:dLbls>
          <c:dLblPos val="outEnd"/>
          <c:showLegendKey val="0"/>
          <c:showVal val="1"/>
          <c:showCatName val="0"/>
          <c:showSerName val="0"/>
          <c:showPercent val="0"/>
          <c:showBubbleSize val="0"/>
        </c:dLbls>
        <c:gapWidth val="182"/>
        <c:axId val="818791568"/>
        <c:axId val="690010288"/>
      </c:barChart>
      <c:catAx>
        <c:axId val="818791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10288"/>
        <c:crosses val="autoZero"/>
        <c:auto val="1"/>
        <c:lblAlgn val="ctr"/>
        <c:lblOffset val="100"/>
        <c:noMultiLvlLbl val="0"/>
      </c:catAx>
      <c:valAx>
        <c:axId val="69001028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9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2026.xlsx]Kpi's!brand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9835924812871"/>
          <c:y val="4.6296296296296294E-2"/>
          <c:w val="0.70723506342370224"/>
          <c:h val="0.84204505686789155"/>
        </c:manualLayout>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3052-400F-991F-CA5E4B0CD4C7}"/>
            </c:ext>
          </c:extLst>
        </c:ser>
        <c:dLbls>
          <c:dLblPos val="outEnd"/>
          <c:showLegendKey val="0"/>
          <c:showVal val="1"/>
          <c:showCatName val="0"/>
          <c:showSerName val="0"/>
          <c:showPercent val="0"/>
          <c:showBubbleSize val="0"/>
        </c:dLbls>
        <c:gapWidth val="182"/>
        <c:axId val="927864768"/>
        <c:axId val="690088048"/>
      </c:barChart>
      <c:catAx>
        <c:axId val="9278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88048"/>
        <c:crosses val="autoZero"/>
        <c:auto val="1"/>
        <c:lblAlgn val="ctr"/>
        <c:lblOffset val="100"/>
        <c:noMultiLvlLbl val="0"/>
      </c:catAx>
      <c:valAx>
        <c:axId val="690088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2026.xlsx]Kpi's!payment method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04150926635794"/>
          <c:y val="7.407407407407407E-2"/>
          <c:w val="0.77591101591686285"/>
          <c:h val="0.79118839311752698"/>
        </c:manualLayout>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738F-4035-AD80-9AA885998EE3}"/>
            </c:ext>
          </c:extLst>
        </c:ser>
        <c:dLbls>
          <c:dLblPos val="outEnd"/>
          <c:showLegendKey val="0"/>
          <c:showVal val="1"/>
          <c:showCatName val="0"/>
          <c:showSerName val="0"/>
          <c:showPercent val="0"/>
          <c:showBubbleSize val="0"/>
        </c:dLbls>
        <c:gapWidth val="219"/>
        <c:overlap val="-27"/>
        <c:axId val="927804448"/>
        <c:axId val="689994928"/>
      </c:barChart>
      <c:catAx>
        <c:axId val="9278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94928"/>
        <c:crosses val="autoZero"/>
        <c:auto val="1"/>
        <c:lblAlgn val="ctr"/>
        <c:lblOffset val="100"/>
        <c:noMultiLvlLbl val="0"/>
      </c:catAx>
      <c:valAx>
        <c:axId val="6899949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0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dashbboard 2026.xlsx]Kpi's!order channel</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manualLayout>
          <c:layoutTarget val="inner"/>
          <c:xMode val="edge"/>
          <c:yMode val="edge"/>
          <c:x val="0.18379568033501048"/>
          <c:y val="0.11342592592592593"/>
          <c:w val="0.63240863932997904"/>
          <c:h val="0.77314814814814814"/>
        </c:manualLayout>
      </c:layout>
      <c:pieChart>
        <c:varyColors val="1"/>
        <c:ser>
          <c:idx val="0"/>
          <c:order val="0"/>
          <c:tx>
            <c:strRef>
              <c:f>'Kpi''s'!$R$3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EF30-4E9D-93BE-D40FF11A83DB}"/>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EF30-4E9D-93BE-D40FF11A8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0.50859993267120218</c:v>
                </c:pt>
                <c:pt idx="1">
                  <c:v>0.49140006732879776</c:v>
                </c:pt>
              </c:numCache>
            </c:numRef>
          </c:val>
          <c:extLst>
            <c:ext xmlns:c16="http://schemas.microsoft.com/office/drawing/2014/chart" uri="{C3380CC4-5D6E-409C-BE32-E72D297353CC}">
              <c16:uniqueId val="{00000000-9667-4F5C-AF66-B9BC93C1D11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2026.xlsx]Kpi's!return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'Kpi''s'!$Z$3</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2-8707-4DC3-9C31-AFF4B44FC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2B-4581-A9A0-A2C7A7F1DE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'Kpi''s'!$Y$4:$Y$6</c:f>
              <c:strCache>
                <c:ptCount val="2"/>
                <c:pt idx="0">
                  <c:v>No Return</c:v>
                </c:pt>
                <c:pt idx="1">
                  <c:v>Returned</c:v>
                </c:pt>
              </c:strCache>
            </c:strRef>
          </c:cat>
          <c:val>
            <c:numRef>
              <c:f>'Kpi''s'!$Z$4:$Z$6</c:f>
              <c:numCache>
                <c:formatCode>0.00%</c:formatCode>
                <c:ptCount val="2"/>
                <c:pt idx="0">
                  <c:v>0.50130134262318327</c:v>
                </c:pt>
                <c:pt idx="1">
                  <c:v>0.49869865737681679</c:v>
                </c:pt>
              </c:numCache>
            </c:numRef>
          </c:val>
          <c:extLst>
            <c:ext xmlns:c16="http://schemas.microsoft.com/office/drawing/2014/chart" uri="{C3380CC4-5D6E-409C-BE32-E72D297353CC}">
              <c16:uniqueId val="{00000000-8707-4DC3-9C31-AFF4B44FCF35}"/>
            </c:ext>
          </c:extLst>
        </c:ser>
        <c:dLbls>
          <c:showLegendKey val="0"/>
          <c:showVal val="1"/>
          <c:showCatName val="0"/>
          <c:showSerName val="0"/>
          <c:showPercent val="0"/>
          <c:showBubbleSize val="0"/>
          <c:showLeaderLines val="1"/>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E83C-4344-8F46-4AB0E4C56618}">
          <cx:tx>
            <cx:txData>
              <cx:f>_xlchart.v1.1</cx:f>
              <cx:v>Sum of TotalAmount</cx:v>
            </cx:txData>
          </cx:tx>
          <cx:dataLabels pos="inEnd">
            <cx:spPr>
              <a:noFill/>
            </cx:spPr>
            <cx:txPr>
              <a:bodyPr spcFirstLastPara="1" vertOverflow="ellipsis" horzOverflow="overflow" wrap="square" lIns="0" tIns="0" rIns="0" bIns="0" anchor="ctr" anchorCtr="1"/>
              <a:lstStyle/>
              <a:p>
                <a:pPr algn="ctr" rtl="0">
                  <a:defRPr b="1">
                    <a:solidFill>
                      <a:schemeClr val="accent1">
                        <a:lumMod val="50000"/>
                      </a:schemeClr>
                    </a:solidFill>
                  </a:defRPr>
                </a:pPr>
                <a:endParaRPr lang="en-US" sz="900" b="1" i="0" u="none" strike="noStrike" baseline="0">
                  <a:solidFill>
                    <a:schemeClr val="accent1">
                      <a:lumMod val="50000"/>
                    </a:scheme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gradFill>
      <a:gsLst>
        <a:gs pos="48000">
          <a:schemeClr val="bg1"/>
        </a:gs>
        <a:gs pos="96000">
          <a:schemeClr val="accent4">
            <a:lumMod val="97000"/>
            <a:lumOff val="3000"/>
          </a:schemeClr>
        </a:gs>
        <a:gs pos="12000">
          <a:srgbClr val="FFFF00"/>
        </a:gs>
      </a:gsLst>
      <a:lin ang="162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gradFill>
              <a:gsLst>
                <a:gs pos="16000">
                  <a:schemeClr val="accent4">
                    <a:lumMod val="67000"/>
                  </a:schemeClr>
                </a:gs>
                <a:gs pos="39000">
                  <a:srgbClr val="FFFF66"/>
                </a:gs>
                <a:gs pos="63000">
                  <a:schemeClr val="accent4">
                    <a:lumMod val="60000"/>
                    <a:lumOff val="40000"/>
                  </a:schemeClr>
                </a:gs>
              </a:gsLst>
              <a:lin ang="16200000" scaled="1"/>
            </a:gradFill>
            <a:effectLst>
              <a:softEdge rad="0"/>
            </a:effectLst>
          </cx:spPr>
        </cx:plotSurface>
        <cx:series layoutId="regionMap" uniqueId="{00000000-CA75-4B79-A594-F233D1DEDD17}">
          <cx:tx>
            <cx:txData>
              <cx:f>_xlchart.v5.5</cx:f>
              <cx:v>Sum of TotalAmount</cx:v>
            </cx:txData>
          </cx:tx>
          <cx:spPr>
            <a:solidFill>
              <a:schemeClr val="tx1">
                <a:lumMod val="65000"/>
                <a:lumOff val="35000"/>
              </a:schemeClr>
            </a:solidFill>
            <a:effectLst>
              <a:outerShdw blurRad="50800" dist="50800" dir="5400000" algn="ctr" rotWithShape="0">
                <a:schemeClr val="accent1">
                  <a:lumMod val="60000"/>
                  <a:lumOff val="40000"/>
                </a:schemeClr>
              </a:outerShdw>
            </a:effectLst>
          </cx:spPr>
          <cx:dataLabels>
            <cx:spPr>
              <a:solidFill>
                <a:schemeClr val="tx1"/>
              </a:solidFill>
            </cx:spPr>
            <cx:txPr>
              <a:bodyPr spcFirstLastPara="1" vertOverflow="ellipsis" horzOverflow="overflow" wrap="square" lIns="0" tIns="0" rIns="0" bIns="0" anchor="ctr" anchorCtr="1"/>
              <a:lstStyle/>
              <a:p>
                <a:pPr algn="ctr" rtl="0">
                  <a:defRPr b="1">
                    <a:solidFill>
                      <a:schemeClr val="bg2"/>
                    </a:solidFill>
                  </a:defRPr>
                </a:pPr>
                <a:endParaRPr lang="en-US" sz="850" b="1" i="0" u="none" strike="noStrike" baseline="0">
                  <a:solidFill>
                    <a:schemeClr val="bg2"/>
                  </a:solidFill>
                  <a:latin typeface="Aptos Narrow" panose="02110004020202020204"/>
                </a:endParaRPr>
              </a:p>
            </cx:txPr>
            <cx:visibility seriesName="0" categoryName="0" value="1"/>
            <cx:separator>, </cx:separator>
            <cx:dataLabel idx="4">
              <cx:spPr>
                <a:solidFill>
                  <a:schemeClr val="tx1"/>
                </a:solidFill>
              </cx:spPr>
              <cx:txPr>
                <a:bodyPr spcFirstLastPara="1" vertOverflow="ellipsis" horzOverflow="overflow" wrap="square" lIns="0" tIns="0" rIns="0" bIns="0" anchor="ctr" anchorCtr="1"/>
                <a:lstStyle/>
                <a:p>
                  <a:pPr algn="ctr" rtl="0">
                    <a:defRPr/>
                  </a:pPr>
                  <a:r>
                    <a:rPr lang="en-US" sz="850" b="1" i="0" u="none" strike="noStrike" baseline="0">
                      <a:solidFill>
                        <a:schemeClr val="bg1"/>
                      </a:solidFill>
                      <a:latin typeface="Aptos Narrow" panose="02110004020202020204"/>
                    </a:rPr>
                    <a:t>11%</a:t>
                  </a:r>
                </a:p>
              </cx:txPr>
            </cx:dataLabel>
            <cx:dataLabel idx="5">
              <cx:spPr>
                <a:solidFill>
                  <a:schemeClr val="tx1"/>
                </a:solidFill>
              </cx:spPr>
              <cx:txPr>
                <a:bodyPr spcFirstLastPara="1" vertOverflow="ellipsis" horzOverflow="overflow" wrap="square" lIns="0" tIns="0" rIns="0" bIns="0" anchor="ctr" anchorCtr="1"/>
                <a:lstStyle/>
                <a:p>
                  <a:pPr algn="ctr" rtl="0">
                    <a:defRPr/>
                  </a:pPr>
                  <a:r>
                    <a:rPr lang="en-US" sz="850" b="1" i="0" u="none" strike="noStrike" baseline="0">
                      <a:solidFill>
                        <a:schemeClr val="bg1"/>
                      </a:solidFill>
                      <a:latin typeface="Aptos Narrow" panose="02110004020202020204"/>
                    </a:rPr>
                    <a:t>12%</a:t>
                  </a:r>
                </a:p>
              </cx:txPr>
            </cx:dataLabel>
          </cx:dataLabels>
          <cx:dataId val="0"/>
          <cx:layoutPr>
            <cx:geography cultureLanguage="en-US" cultureRegion="IN" attribution="Powered by Bing">
              <cx:geoCache provider="{E9337A44-BEBE-4D9F-B70C-5C5E7DAFC167}">
                <cx:binary>1H1bc902su5fSfn50CHu4NRkVx2uxUVJlh3fEsd5Ycm2TIJXECB4+/WnV5xMSRjJmsHsOrV3XqbG
S6vZ7MbX3Wh86PX3z+vfPre3N+aHtWt7+7fP60/PqmnSf/vxR/u5uu1u7PNOfTaDHb5Ozz8P3Y/D
16/q8+2PX8zNovryRxwj+uPn6sZMt+uz//o7SCtvh+vh882khv6NuzXb21vr2sl+57MHP/rh5kun
+qOyk1GfJ/TTs5c38JQbW03m5tkPt/2kpu39pm9/enbvD5/98KMv7p8e/UML2k3uC3wXJc8pw7Ek
LIn/+A89+6Ed+vLPjwV/jmKZEEyTb/+xvx796qaDr/+LOv2h0c2XL+bWWnivP/7X+/K9l4DPLp79
8Hlw/XS2Xwmm/OnZZf9FwZsrOxy+fXAYzm9w+eqPV/7xvuX/6+/eP4ARvH+54xzfYk999E++eXFj
+pvppvnv9Ax9LlBMMaX4Mc9wkSBGyDfPkPue+Zc0etgvd77qeeXF//1f5ZXjbVupv8zyn2MFy+ec
grljzh/0iHiOEKNCMvTNI/yvR3/DypPaPOyNP7/meeJ4/b/KE69dX998+sse/7krSPxcUiwTQfH9
eMWe07MPSPInKuRfz/zmg6f1eNgJf33P88Lr9H+0Fx4OoHdTx72/+DdTB8bPCcOSoz9NnYCt76aO
5DnhhMiYkm9oEfdd8Wc4f1ybhz3x59fuKf4/Ozf8Mk1QXbw2N19ubfWXDf5zCGD+PMGEcYS+mTe+
n7ll/JxxfnbQw/nhX9bqYTd4X/dw8cvr/9G4uKctVFZvb+obO1U3/X+rd5ik4AH0Z/b24hSB+JVA
Jkn+zBVeXfUvafSwZ+589d57wmte/f/1yuP11j8q0iMUTdkfpeydkuv7n/7x1lBje1+9VxHfiw5/
OfXyC5S7CMqkfxTIZxF/fu9bergXk/7x97ewOH56lghILUgQxgjlUHnx5NkPy+35Ey6fowSSvoyh
iJY4JoDEfjBT9dMzIp7HQnCWcHA1gSKbPvvBDu78EX8uOMTGRAosKOJJgv+xfXg9tFs59P+ww5//
/4feda8H1U/2p2cgR3/7q7OaEUZUUMFYAutIf755CzsT+CP0f2yxFkOjEn5RoWPCfrYzrIF/vP+/
Iff8vDtyE6xmbttVZBOr2ird9237UGG+fivGv9Xi/4Z48Mpd8bWImm1Ze5FVZjTm7cL3uHxfrvvw
9fvqQ8n1oFkAfXflJ93eSNcUPEsws/sbjbokTitSM5TGNO5wSsk4FafvP+wxH4D77z7Mgu/rpex5
tloiSSpjUpp02Lj8/fvyIWE++DLxffkiGWNdJxvPHNL0JUIL7d4tcR3z601O/ZpHYucm7bZRv/3+
Ax95IQkr/e4LaRnrWZwfOLeJWK+GyhXuQK2rVPb9B5wFPbBqJVQOdx8g1b7EkyMsWxorliu+kQIf
dGNxdc2aqsYvkWtccxjt2G8ijVuKxlPcV7O5+P7z0dl0DylwNvWd5a1FZxtmN5a5spzHg8QyFwR9
1Q0ZlyYdy2XuUreJ6HpYStRkDg+D7NOolLiDwjwAYPK8cu9o0JZbN7dsARNIzA7EDF8FW9QT7/eY
A72oMABSF7lNLNs2K36Lh21Ii9nVP4ep7sWGVtaKW2JY1hClbmNonVz3kWrcIUy8FxuGaGF6rBjL
2knMv6JlpOla7CIs8kgvMph2qbXGI8umIdr3LF6j2Ry5HgYRqL4XDfBaIrm1NUSDgbr6sHG+0nQc
AUrH79vnkdjGPfB0ybyw2pUi71o7Fm9F143uVzLuSXw1RVUi3kBuIfzy+w97bCV5sQfXW9QPVkd5
P2yCv7YK+lO/dtMUfQ2SL7xQY2Xs4mVlMt8H1GVbSSOTrqqx5glvnFf8A0AXnrGSoaGtw1uRD5Hc
u9NikJ6zdtmQOo6qokngY7x4QuhQyEVHIp8mh6eLng99nO09atdMq2lZw3AtvKAxDvNYkLWTucbN
/r4xW/VzL3jy/vu+eMxWXtRYmlWiBWqcHEerylprBLku6TaMHxomm/UJUz2yosT53+8EvkqWupFC
y9y0dLuMuj3+OSmRadPvv8Rj4sl98UOhthiMw3MnRrymcb3Sj3wfdBYm3gsfbhaDkNAgyucWPDC1
ZZdRFwkdqL0XPJwi/dZutcypnRvwwSbXKLXxpvbAB3h4bpKIjckK1k9QN/aXGrF+yUwt9uV1kIHO
VfJd9wq8EYuileeJrdSvQlr7elXluIXpzz2gic1Afy5mIteETupi2smapFXTLXEYxLgHsVVtI5+w
EXljS00vbYdnmdaOmqdy8znyPBCRuIeyrazLuFvAxWOxaXOsSyLE6y7aZ35VTkXXZGuJt/63tpPk
d9eXS/9EJH+s5uEe8Nq1LMSwLxAKW9nqqyqyhYDKvkmgrJPTUtMp7ad6nw+q4ro7NeteiiOnCxne
zfHEXaCBPYBuBY+EbKIi70TkjkQtIpeiJU+sD3RGykPmxffXH5unVY14THIS72bIdlTMU8aKfW8v
dELE9nNpu+GrjujSXdBd9uzVSgjuX2IhZf2bbDBjT6jySCTiHpZlXzM9LIrmWhSWHPie3Op1Xcaw
OMo9JLeGcLSttchNpJe8nBBt05LI8ksQjpmHY4cMl3Vd0rzUq/zIILu9snHUhYVRdgbHnSQwkrKv
o0gkOWthJ3NwSHZ76pTZ7BOr7BGUMS9OWDVuDK9G5tO2FPhSUmPiT6tGgLgKV/GQ9srpLsU71+Vn
3e0Wh7mFefGDLH0Li8jwnMuic6kese3SzdEoMIIzL37sdG9Gx43I3MhQxre5PO58iI5hbveCBC+S
uK/Hdc+tK6d870WdcqPrJ2LQI5BgHvY5iqtohVI1r7HqDnhC9bHYBhy4qDzow65nkEgNe45h35jG
FfrQl/SpQvIx1T00I657urblnpdim166rY8hPY8VqgPXjQfnqnaTJmbb86jokks8r82xIJLmQW6l
HpqJnpmeGpA+FZgeFiJsajukwnSnHpplj3c5C3BrNOHq0BA3p7wRNCyOUg/KdRyZeCnsno9ItSeb
9OVhZnQ/fd8yZ9g8kC+oh9e+YNW+o2jJl4jdwrazmU90anSfT4vggW/gQZbMYu7rplhyAsB9m0xD
nSE6NGHbcepBduqhFFp2vuQD9KMvZcLcsd76wHBDPciiqWsLudcuL21LX6i2Ey/12gaq7iEWEnXR
NIhM+TjUBToYhu1BVGtTHb/v3EdASz3QsqK0TbRDm0f3ar1qpnK6dkXRBoLKgyz0R6MZuXo6GVcu
9h1ZYtn+zIzkVdi6IR5qG6TmsZzxCiWh2w+NZh+3ZOufWPiP2IZ4oGV11FApizkb2wqlxDqcjkni
AlX3QEt0TXFRyxksH300GOq7PlmLMLcSD7ON3k0UWf6n6hSPOGUzD1XdRyuThZMVmrNkgaYxPku3
4YY5u+NO5dPEsy5aC9LXOqkOTjYu5RzXgWb30FpRJocYxyCd4ttR0fZUqjKws0U8tDZAoJKqBOHJ
7rq8FYmBnRdfw2qD8yHKXcOsExFFuzVzxqZiSVc04xTpYgpLUcTDaldp3A8kdlk/7326VOrW1TsK
szr2cGp3M+mhWlzWNRVNOWUfo9niQOEeTuOCGbJV0ZSJMe6PdlU31u02ULgH09Emaw2VsMtqnlQp
r1WbOoNFoHQPp4LUUamiBFRPHHpp4XjkdSHKNuyICns4XR3FPQXJ+Y6AvpfuveTsGE2RtGFrBntQ
xeOadE6Xc77RrjdpRDTL9YKnz0HJCXtYRarAZlg7yKyFba+S2qKjbeotC5OO78PJmUKTcmMunxLy
O6rxG0vJmzDRPlLtVnfbFk25qqJXEB4/blgEtu+wh9NEqU6gXkx5vVTy6Cr2fmiKIcyhyMNp39jI
JNK5PFKTOrS1uBZ4jMMWO/JwCsfCi7arjLK+Xb+oDX3ArHsRZHDkoVSqpYwgX285iLVTumNb8XSz
pAwLvcjD6VwyVzXUTDnw2uLf6ARxILVqR2GVBvKA6sYWx20xuLwbzH4cVvGpUroINLsH0kKqUczK
uJxtZjt0nQbVm6dOXs9CHtgcnMkDd3NS0nOqdNRNOZz2Jy+lLdHLNir0hzC3ehDFE54MkH9hOVZF
lZJu+U1IFehSD6M7HZK6qBqXGzaTFMn1YzvK12F6exilC10XRUB2VNv31G0vGbUvg0THHkKHpSjK
iZRTFhdRdIjq4lrtcWB/IPYQipDWYo9wlPE4+bnbxEdptjYstMQeRKMK6nQzgE3aqn8zlMOp6Kqw
SB576KR62cgKPfVs2OcLs+AXlIVl0NgDpt7YxAcNezvelddyWPPeFGHHrLEHS9VOa+UcKK27X/bZ
HWrxa9gK8SDZJrXRewNOpFXzyazJG7nzsDgVe3h049ys28KnfLM1er9vE85rR+wxTHEPkaQv1r5W
yZTbCKgEuG8ukiL5LUy2h8imVZYBmTzKmILqNor5DU1IWGID1tr9IAgLexzbGFJypfiaMkujY5KI
OQg49EwivRtipZ3FRNkcZSN/Z4ajhC52iE1o4iGyKquRjtU25U4CmWMhVqdo5O/DhHuYXOD8fdv6
wmao0hdLC2f7I6mnoJVCfU6XcS5uohaEy5a9Jk5/VnQzgVbxcJlQtsWjTGxmOvKagezVzaGyPWii
RQlCVgRtY0ziayfL+mqkKw+0iofOytK5hXoWFgrbebrH9S8tr4IKLJp42FwTR5cmAeSvZJvqQ0wL
PhwxVEAqKLTQxAOoXjpawFnNlJdU30TL/AEOH34JWoo+WWsmJDacgF2cK9lxdI1KicQiqI6AhtB9
eJpqFtCPXkHxdX3thvhqncdAhEoPoXUnYioqYnPZkJctEA4zKQQOs7jPr3KlAc6lm6c81u0bGrWH
2lRBRQqVXto0LOq3knQ2x5jhw9Ihc0C0/hrmTg+gG5woWNlNFggG/GNp1ysl2Lsw0R4+VzMVjcSR
yTfULmk7iPHUd3UYM4L6xKqBLX0yA30nhyOk/djvwytBbNixP5UeQJ3GtqnQYvIB6C9tap2JXkRz
vL0Ns4wHzyUiEBWpA4/O2xcLFdxq5acg0T7BaYLEU2k+2Lzh5dtV68u468LWoc9tmgvZ8LqlJt/n
scrmpcTHqO0/h+ntgVPttLBmbWyeVPrQ0O1VJ58qO884+eddFfVZTEsE/eBZC5NX3cxcagSvX45c
r+lSY7cdwvT3QMqafu2bgZm8VeT3tqIfIt28DxPtQXQFxmPLRWEA/7O9mK1BKZpp2FEdXGW6H3FL
XDFlCAbFKfrQzVGf0kj/Gqa5n0PXUTcmrmzOsKJLthO30bSXbdWEJWnh4ZRWZSmdbGFJrtEb1eH3
agzbi1PhYbRVbIQNM4gutuTNFKufC8KDjqGoz1lq5VZ047yZnBQdziOJpzeoXFQQ05f6fE0s5pjN
ClZiEe9bupkxJzSQMEZ9PlS3FtG02srk/azjNJ7FaVzKsO4w3Hq4vxQnQ52jCZgcwuOLecMvWraG
YchnQSVL2bp6LE0uirJPxb69SIwKOzejPtMpgVUSr7gxORrm1wSN1yaeAvX20GkUnE7wJRpzy+UH
hcybthmDNnGUe+AsVto1pa5NzsEyaQIk9HTcOhkWD3020kTqMaqHZIRzm2o8GNy8cVESVoL6VKQ4
hn1Wz+IxLxXp6nSBRkXm4oiHGcanItV1Aqy0egPcJFt3kI7zt62K9zCP+lSkuWa8AK7dmO+JwQdk
6SvIpGGn59SnIbmolwNbB1guQ0LjBmLt1tgqlcncBPVw4IT/PkaBnhsn5dqD7ctqEYcemmd5UdAx
7ByB+nSjrXFOmq7QuYxsMx7mRXdfXSKWwE0jo/f1Rx2O6ZJEOjfVZo9dyesULMROQQnPJxwJsa4y
nmOdu5bjQ8yBV05g95uGSfcQO7XAwLOk17mlopxStOPmptnWvgyU72XTVRlulhVsM1T1kKqp+2Vt
UVjOY346xcPSRcKB3XupLzYb29PSDtVFkGV8vtFMZrLpdtF5XbD9QzwU5QVcnNdNmGF8whGBOMnw
Bm5N+mK0J+EkoSkrBj4GPsCrfuEwrhl6PYPliV0ujZG/VGMb1punPuVINB0GjrHRuaDTO1XaN0sz
vQuzu1f1lsW2kLYtx1z0ye/9sKC0ovQpbu0Zkg/U7T7RaISWuYxcp3Niavm7gEOFC9d0c+CS8TLr
FEfrthM25IDUJOVAfUmjLRJZmGE8qJotgjP6FqSzeXMpQ/qq6Z9iMf1Rgj5kGA+no1qBXifxkM+8
KYsUTotrCDZCrc2h7JKyuej0trxznW0viSURz6eqGtl7uOImxtfQ/7PmXSI6ftHAueRwUTc95alo
FTTjy3WU8ZLutB7NL8uII3eIt7FvboaqisYDh8ISHxGDXnsmtFvdsUXQJTtwOKVeL90YyTrHYq3o
ZTHUy3ZAMXQTfouA2budEKmtOBKxgsylVdN+KseksnDbDu/u1GG87kc7d6T/fRWUFq8nyqP6k0Vs
HHO542TOzQrve9TTzrI6npk89AKj5sA3UbqLEg1lcs1lD/fC4nHH72Caw5LOmJtLrazZ83hI5HZa
unamx9nQkmWzWCi0sNtqpoey1d0A9WySbAdpFBFpNyiDXix9USeXLUETzXew9nJgpJkv9z3qXpl+
jumRxvO8p3Vhiv1di+pBhFUh1AuY3UodbxwZcs6qAbo+UYpLkoTFG5/pRWixQSHZ6rzi3W1Bm3eF
UGF6+zyvGU5i1haD3swVuU3aq4KhsOYg8aIkm4GZgqCDlOMkWdMiSpo0adEQaBOvsjFxSXgDh3Z5
ies6XZvxK69NWNFHvDhZw/XWuRfxkLvN6VdwQUtdDGTqwkIZ8WqaiqvY9ZjbvDQNvaZQvwLz300f
g0IZ8QKl6cp5nvU85I0s3a9Gjjs083s5BZrdi5Rjrya4JpIMeQJN5ZTh+rray7DLX9QnecUAYUal
HvJt0EV3HOKlztcxVoG7HJ/mhXqF9ojAiuRlx9YM297tqYhYMx6DjO9TvaZuXIqomoYcDqq+Lppe
sciG3eiA8Tb3S2HtFjOPmxjyKk6ARzZZsbYHktT4a5juHlxnNu5kdljn7ZjsMhXDSOCMXWIcxsWg
2EPsovsWxWsJBQIMTUudWOpMKRVYIPh8Ly2Wot5LSOFwRmMOwCjjBx0tcR5mHA+zSwxXpZnqB7jo
2rZXnMxsSvloeBi/n/psL1v3JRCZBgjDvRNXVU/i32FPu4W1grEHWrF2495ZqFehlbVeFrRwuYgn
EbjovfoGk9Yl6pydatWVB7uMZeqmrgsLOD7lCxm0uhX2yXm09eS2Arb57d65Loz5SX3SF8Okr6u6
0TnjYo4um6RHh7hYFvbE2eEj9+qoT/yC66ZFwVvZ53uLiHmvGzUPh0L0WB8XO0Tv4cLZqyhK2voI
VVyTHMoENqOnKmJsCPO+zw+De7o8djXUn8s2VvIQdTUMoOiqXrdh22ifIMZjssOe5RyZigkVLzpV
wr2zbdymOKw75VPE9tgZuPGK+5wQpJp0XeqFpnVD58ACC3nw5nbvTI/hAZvDQFve3Qdg738OCh0+
S6ydum1K3N7n2vT2sJbk6z6xUMU9ZJfjjqxtRJdDbXtqcXOFsQ1rAfxxhfIOFb2LorhcYIJIPtHZ
HpqIwlHDsr8NM4pXLk9Va0q0zH1eOCMzV+Ey7ZgKTJU+T2wRMDGyB4/myqzRp65eyGcTQboJ0t0n
itma9gPtUZdDrfVKzPuLdiyfmOVyXm8PbBV9nli5wjkjN0Of2xVXV6g1MoXpl0tYEvOpYkvDlZwb
0uWkkUOZ1lKOV5VwfRUGU58wRpN1ILyPu1ywvj6MibxoKNrC8oBPGTO6L8siUX2e0Gq5tqajBzHV
85vv+/Rc2T9keK9qTpZmmxcE+b3d6Qglf2zLJGtjNAwZh11dH1RjEZ+7A9M/ikJPps13Iz7BRv1l
J6oP33+Dh5cOOY+SusuUonMMR4NwHQtuCA5FnY7WzbcLGcNGD8AAxfviFdTKfVX0bZ5oWUB3x8rL
jjMXBCkCw67uKT/g2q27AeWLsoI9PsI6hZESYeGA+PydhO9iYxaaHWiZ0HbsFRz+Huq+r+ewna5P
DZQbLyQn5ZDHjkw6BT/U54gZJ8MxxLn0PMzvrnO7SNlxThSEHIbfuSl+W6IiyPQ09iIxzAyZZGxA
d2iasqMycEKzO9QHoRZmDd5XvIcYEzVA9syQMMXbeYv0u75iYZfUYFjafemt6pGLsW3PqVW+0R1h
+aSYDDI68SmCGppGcdGdl3wFzaZhlG8iWqpAw3ibIbdN/eY21QLxAyZzHeBO6fhxb5NhDpTvuVXO
S6Ghsm1zVPHtKMs4fj3Afb63IesRzkTuG37jCjpcyxgdS1Suw1Udo/gVxpq5JwD1R6fln+Mx8Yll
MGgXr5w7iGbcse7nEaHeXahmHs0JNmIOn2CWHrfHkbXrcB1tsCu41qIeu48YEXpyHO+XgkYbS5O9
cDBdYYua5ueuZys+dOO4qcNeVsX+aSg25U69hpx7cKxeP5OO0hezrqerTVXziRRuAREwA6NK407R
/X2F4H7Lm+Y8p+J9r6S2R9iw0R0+NcuhioH5+arWVbQf4a+teklwMcxBhSTxCXHAaxzx+UJyVhao
fjUnTXKNFS7DEizxKXFD1LABuqNNjtf4luPxTYLK12HL5Zx175SSsNfcuogvTU524Nm2mF7iwT41
SOOMmIeWipf4nIu6crdrk48aZnVcGru3yzHZgPVwXGCHUF7yhLfVx7A38dIgGhPG6cyaPNIRz2iz
tKddt+UvYdLxfTtVW+Fgj0iafB5odYyK/cNU46fsdDb2Q3bycgiKS+Ua45qct069A1Y1/VlW5Xqz
1ih6orP52CO8oBMXiSixHpvMrqThx2oazajS2UCz/VItcKPtiU31Iy73WXNATyjdzNsyg0H1TXNy
bEXADovaTHW7xAdgdId1lYhPoisr6J0UpgWj9TgCohv/AIEosKYSXsctgoEj0AjomxzBcdxEltNE
0BMB+hFP+CQ6QYDLucMd3GNTjmK6TFrLToNM4Nyfl3MbB7ELiDg//Q6uGcjmSokIxnTAIEG4617+
lowi7Gor8UeB2S0ZldpMnQvBphNwrmVaVChss0J8It2soBVJHKpyRSU96XnrjjJRQfs4Ijwgx1yj
thVtcUSzuooLktKBB9rcg/FG4tYOE4jed5oVyXjqFA7aHxKfQ7fBIDRlk6Y4Ngq/ECx6MfKwLh7x
OXRAKzwPwlXFUdfLeFVbO+URI++CwqZPoSuYqOaNRLDYUWkzrQ1Nt6SlpzDpHkrjpDEFiyOVC2X1
C2C9fhjLLWw4LPE5dCUXZTRjp/J2w+3JJVN/EY9tGBWV+DS6aFvhPKUzKld1PR51Ja8jYWwWZhcv
7651PDpLhuQ4dVStJ4yXX7RpmrCmIsyKvx9bqiGZxpb2ybGfx1dNO+S1GcKSuE+l26p1LbsSCql2
cirtXR8f9pY9EXnPr/9AmvWZdDOw83e44QcgsvOQAmvsoDlMFA6zuZdgdxjSY+dJK7i11G2HvtTD
mBamT8IIaTCQ+r7Rk26DOxcNS+Ci1bDjVLaFeTGsjQq7B0l8Np3jfdGLkSTHbtnhzPYNsACesMwf
rdoH7O5z6SjfEQynKqscbRGZX8SqY3DBqIRZnu9hUtKQK5bsJBXj3LGMQ3dtOYxTw2aYkKn5dhpd
Eo/ZrlGJbzrB8JwXkigR1IEn1MuTbTKRnUhmMyVWc2LFBDOFoybsXI34xBuyYLK3zWQzsnQVsCym
93Clcn3Cro8sZ59AuEYjgpEh03mnZ6byUpFYuqyyje2PQUvaZxD2Sk1cokocV1NxiK1b7fpDBT9s
QMK2TT6F0EyN2+dCu8wNlc46SZejTmhQk5z4DEKoNhnRpHMZOo8sW9gIl8ypCKKGw4813EejFjO1
xQTCZwdjp1tLx3RocRg9kTCvkKCVg4v8rncZrpE+kAbVKfT3PoV51QtUQyNlHJNiymZcdamMIrh7
ttI4LCX7/MESaLIxjciUDUAKSofGlK9aQaZfg3T36YN00ZogPk5ZlMCBDW32MlMbCzOMP65MmQUN
cIY8ZTBeE7/uu7X5xONdhFVwPndwZ9UyTm62Wd/z9gBDt2GYDS3CBrYQf9iXW0YYmSU2m20C7WkT
N+YgmsBa5fzLPff2Eo3jERlB9b2DcS3LtH2NTRV2l5D4k76iXXdj0RKXlXB75pgsVXWAoBZ2eE98
7tcO1yAKNUNhJTT+ZDvyrqtw2PVq+Hmp+2apOug9Dpq6TMUmTleNi6wogEb3/aX+yDbRZ3+1qBlx
MxB54kXL5teV61R32jhuzYkaDVnw+495JIn4TLBiJgVFNbwE/B5NdJwxKw/96sKYYMSf96WrQkwT
B+ll2aujBBrYIRm2L2Gqe6m7qQFTwGc0mV71dlDdWB9tV4RlD58JlmgaTx1jJpsbN5+6SuIUBhjv
YenDZ4JtHWw3drOYbKr29oRs88uOahboUg+ue9XRfYBeT6ZlJQ5du9YHoKSG0f7hVP/+qu/FJiYh
C51FXWQO9a77lOgtbHIT3IC+L72gtDWo5jpT01gddta1BwmT68MKGp8D5tAGLWdTylNd9/v7Pdbr
r3XcPzVK/hEo+SywgiwLckBWzphBcB/lnLU1Rk/1CB+T7u114RduoF29JcmJRtA6n6PPQ9u/DwKS
z/5qEEYF/H6GOMGcr6JN5x3YiVO12t/CxHs4Re1Ahj02yYnprgcCbr3y6pqjtpdhWPXHfWkrHZTC
OjklFqV1gq/aOLCc8clfMIhrnDYMojsK6e/Mh+jDCInEZ37B7zOoohJjctrPo4+aBdEDreSShhnd
g2kdt9W0bwM9whSui97o1zEPmyZIfNpXzIBURLqOHjnQH+o+uqa9ehOk9T9RvmCMUGVIT4+Yu+7/
cfZty3HjWLa/0lHPwx6QIG4npjvikMxUpu6WbfnywpBtFa8gQQIkCH79WVnTc6ZL01U1UVH1YktO
USQB7L32usRXqemhu669Xj7+uc9/M5UcTDy1/TKKYzrGGyzUU5teX6R6f+QneFmM/6LTfcvnaqLO
pNKX/KhNZE+uXFd9bwWpqgN0qqI8V3r39Z3by/9Fc/1Lv/evfugFiv8nqFeEpBzWdurR+21+2PK4
b/rEHLoOq64/1uXW9dk0asTVZAOdcLZvbZgHcR57w2t9RGPddjrr924N57oMUflCqQftbiCgtHYZ
bcPufYYix0y3HY+luVtt6WN+3qJUTF02730VNRmhqqFVNjthUAiNHI8uY2oaqxcz13qJs7QTjT7T
vYPdcxHQ0IuqCNPq57wLtN3ew0LOr03GOkT8wOY7NJsdslgtEU8zFWAN351i03FY32tglk5n0BX0
Cy7QinH4aBKNbqAVrfxZG42/npcpXQsOui/NFtyhLl9XnzRXe1g2pC51hNrhZQRoK5Zsm2MS+4xJ
XtVfhibt1HddLQj6gZBzH2edwe2rDZ8vJL2T2XXYsgGmUTb3vrFxVwgIJ8vDjpFNcoiScrN5KfGm
qXzlPjBdJOvOyE0sV66ODVt2DV3YNIYTUgKGXHCz8ruWLI0sSEM9zWvBJ1RhUstCahjgZttU8WkA
f7Md66pwCk2zyIGQbNWIK5uGWWQy4QK6kbW5KlOBshF7CdfLNZ7WWDfZLFHZZSqOel0seki+Tk7z
wod9E9+XZg/0aOaRdff7jNjI53pKhLinrqT0di9ruVRFv0Ojkh6VX2I4IuxcLP0dFBoSz8s0jcHF
VWRX1XIkcDVGNabJuHenwOnmv01SN2OVjyvA4LOAAkl9iDex2ZD3Q4oksUpGFxvIfukHH0HFsoO0
BQcdsazLIeBZjuM5YQDSkjPvBllnHe/UkXf1kI9883oGJBEiu14qy9XekMV2Bz9jj7rnY7W0H7Yt
qQaJ12FMlmNLmd3ysarTBC6xdegL9DW1/CIdHcYbte0AgWpGlm3OvHEA8zMlmUhQQTlHKc0VUn3b
d3EnZ36EwUq33QyJj4FqEwdvtR1jZrdW0G6RYLkDk5PDZI30y7ekj6CZmVeRmveC6VgWdWlZ+w29
j+yxaHQ6roVt2Wjvu4VU/APoWZM+tkFAJqRGMrLrnUVJdxvXvtt/NEM/LlDMzNGY3k9YtPVhMHVI
zkbH7fSpjrQkCba3ruIsEzpV5p4418Xf0rYsZcjKSunqyvt1ZddkbtLxc+t5YDk87wnU6JWnsYK1
M+P999L5qquyburkN0b5ZD5BXb7XOaZLOLug8xjDHVh9VuIfj1H6fWzndT/rxITwodtJHOemxkr6
3qZ4zU9Vl+z3TpHqSJJJtg9yXgQ/ENmY+mnq6m1/9BB4JBEm0fANkMXFiZifrXfD8HOHyU190/KJ
hqtxbPvyakpUPN8skxJJ3qY0Tb5IjkDsH7HvyntIyKNrjJH275C26Kz1rCoqGARFxdbs0l8jQ2Ld
TzAPop971aSqMD2Uju9EqPvhPq7KJj77sVnCIZrqdjupMBN+JfjWkU+El135VE+qMrkJLoInYkuU
hYhGcwT5rbtl850luyNnarjpPyK4oxwfFqZEfSR1N4rCbe2KvdMzOddH8Kfj+W5SK//ewxNgyEvg
bv6h3siMraQeN3/gbHRzVRBMq9abroXB8bGsFgN5TSTW6kMtrUrP2hjDM1dGM/9W16o1eTXYzrWZ
HOKSIHsopdvZ9tq6wvmERIWzQxJnQ79784U6hSsoGKli2BluuIomquyctVtkh8NwseTJYGi3d/eT
hzDtwMzsvyYkeI54tQpRkTmiIPgdyqXqtcQSFnnb14nOufZs/BQm5DPC4EhrWJ5ltNv35uwdVLIf
AvLp5jKrJyc27Pe78eOYtQ7HtM+AeK/2u19Wyp4RwTHjQOjgVqOeenzK5UEat8wHhDhi0nkYfKJZ
Bu3nwK56xHd2h3WtaB+yKnZyv/GbrYBabEiWUidSBtSIULLV9dkiZS3K9rlpovecdXNS1ClfosKS
NVaFCPvePs9kp+1pdbtXV4seo7KYfFKGW4rwrkcS27Z5DxQ5CV3W9L1TR7jGV+5adehg7gNwJXlM
uwbnnStLNoHnndbbra5I2+XjPscuT80sIugWZls2Huq53cZPjnQaYowhde6x2YhITiNGxu39CKe7
ZsrWkCJAB77i2eRnFZ+R9mvdA7NTNLwkzSb7W95Ti3dsqHVf/6C93PEmaFi22cNYyWY94jfb2gPT
XWo/8m6ty2tbNS09Q0TL+7tlTpC5dcB21PMCUUm0fN1hlQxPc1u37GTHpqrAbYYCC++IhI/Sdd26
YE6m1RSc4QQcYnKwBqmH2erCkLzHz5TPa1y77WsP03ho0lVSj2k+wX6xyiPsT2W+lWZ73ybc0ZNU
BloXNgwgq+p1llEezOIQKTePfoOAZBVxjoGCrB9xuYw9bD5UzSkakhSTo6bsouWD1vs4XIO6W++o
ioZ9+45Tww4dPFIJid9dJjWU5LSexH63E5Vqi514D+VZtnj0MJrlCBy79diQpwekX9j5TFyt3Glz
XLHLyb3V8ASocButzZzCKifwq6v2pcqnxofwjqqtVxmCzCQ/ilRjf8s66tv5gbhYTi/7bE3aZr1b
N3YOiGPe7lO8/fXn1m6IoMEvScfyoQMc5p9kh5t4vSftvBUDXZg74fyPTIWbm+j14HchfIXiyY07
HuZcrcfVd5H+KOLg9OOKe7ZeTy34gw/t2tRNnrb1aD9vRiTsi05EkDqDQxgZDO4U7asfAzxTySNc
61P1MsJ5pfs69VOXoL+CISLNdZu04qSFswH1W00kH7MpWgKOwn7D8YFqD5axPGKrKCxMGsYA2qiI
vsFVPqQ5waHenvdl6j6IBe/3oSO+53mz7Zi/aDGkn1gCXkROgyzbHL1oKpCIOIrlKukF42tGN6Kn
e1NPNSTHMew7j0a1/XhHtfFRn3EosF7acXLbkcVNuj7EA5nhv4s5q/qQysHXx7VHUs7jlNT0s7RI
eSlsWgIKkE3k+H0YTCmOZG598oD5Ex2e+k7Y/SZuh2nEhplibYAWD6KavOpgojrflbpXZstlmlaP
AcyXKN94o9cnu/sJgmjoXhOfw8aw7HKh4sY8dBYYU1brqp8ONEBX2x8hUYsPsqTDUMykTPAkmrqP
79LFXJJcub0UPxJs37rKlVxZUuhlIvGSdfsWPrWyh2tStmuoFj8YiNvoc2X5eDsPCyquvK7aKI9b
uMKFHLv7mgnPqfuULLA9OFXcG5z3YiMo0ykEvMZlgaaROze4BPJuGQcn8oTxqehCvQxX3Yal/oWR
2a/HRHR9jGSSGZZncdpQWdAePNLM0ng/KhxG3mUzK1t7v4A6pYZccy36286W4UGGSwDqPu/0xkrZ
kYNEgs2GYxQlRzHvKbZ9369Rde74wNyHpS/j9WmYlzjHoGFKvoa+9Gte+jo9oVxDamYHFc2IqVs2
b219qp2BsUYKXTUOW5rvu1MmGxGGxAs3k+RUoR745LWgNxWslHTGVTvZvI4TXsGz1STZOKYtv5a+
Cj9SqH/auwRLR1/trd3V3RQl8yPxsHhFC0TdbcVlsqN2itP5cY0MmORuEzmHjPwOQxGItRFeSuFG
DhnyXZhl8nH0UXXokpZ3mdabu1m7Xj1UHg76RYfXOGfb4vOkLptTmqbqduFVuK7irf8aqrV9r2g/
5w3h73o264+sVYPKKmIsaCdL33VTtpFGeZtVqHbDMSA9Lpz4mlTPPN7MtWuDVAVeZ57rfdm34zC3
7DqAvph+9JEU76veg7VQJG4Q0anUYvV9VuLNlZDJh5r8aFwZ3EfGOA/Z2uhNgsoZrz4UzcUP4NyH
bYdtipzjYJCsO002QR/T0LEtKr7G0fUap1BjQ1bqyfVcx6W6t9Fm3XGFzp8877xPeK5CurqbJTWs
+orKVU8H5pIoOZnGNOltu609wl6rYe0zH5tZPtOlN+Rhogs1B9g0hAGWBJbX5zFaVf8lqpEl3OYs
NKwpiG1rly2sQSmq3CKafO5Ro/ispBGlfRZYWJrvm2R0ul23cd2/IZTKoxyqnWR4u3usLWayFoKh
9gAXnTK5mmXftO+2GL3/YRxSqo9OYN8p0NFU4jxd6HeHSeiEPkBU07Ib8GdpXMRqY+ocQza1/dxA
H6AfFuukIXlQ1Vpf28lSwjMYikjMGPc26cM7tMYiQRcMyuZ+Y21vsS/Ug/DxndFYku87NKv+S8c6
dU5HzJmo1V58iS3toq8aU0q0ydvIEIIIELrO8XagWMrKZcXubudlK1ZdzfITh6bfPUuPvf2ztZNK
2oKJKcJ5VQ4sWt9zv7dblUVJImjmXDnrXJW0T+7tLrfwcwq5f/9jbqBmO8gWSYJPoa83BcMBNs6P
yHhm3XYYVri7XqkmSsZHjlWGHZHQeZLYnupNACysB8iaTy0ltT/Rru6ILtJ9RgmQ9ZzzCjbwI/oP
VHztlIfVXGoRxLg4/65181z5K9VV3fzc22hcj2MbOXW2Vi0MT2xXfi6mpN/Wr51i0CLxulP2q/Pd
tB5NRXSUq26Jb5qpKnk+YZrsbkPbphUeiWggBrRA2fPZrBOK0onDTuZ52eGSC4H0VN6OVTJd+XKT
TxNNgkN1wPbdPIS+77MZcZ0ZRGHVQpEvJtvxGLxkIa+QcLqcd2rRoNVqEZl1foxM5hbn7TsRe1H/
vCLaRB72jpC64P5yrmaVRcbEqUSZfdvAmgtvHY01vS5bRKbemCqMn5TETSioc2ncZ6QBb+DZ9nsb
oUoNJLradrzXV6gDYnHtcAS0L97T5gotQKy+jLA4F3XOVEWaJ7OyuoYldKx5s2R4yRjNJXbVgG4u
gnBuF3Xc3MvWkz2fseA/djHTh75s+IClVi7XIwGCcQe8grJHOWy8u/brrL4BifmM0sMlHJEqHBTw
ERkxydOQVOVX+Fm0TVFpbIpNO3d3zhFUZjsMRvy5F7LOzR4QOAL+Pzk1Yqb93eSo7e/mcrE3izFj
+4KAaPcaTZ21xbZEeIzpJp67Jb0MdzqJs31L/TNHLeGKap9Qq4PX5Las90IfIVZWPGuNr1AbYFS5
IuxObsBrsRNa4DuuvfeQIyCBUV6QHgi/5+cOxViWMDDQz4DSlb2lk5yiRypA4gMpSAzVel55Vbke
D2UJxELRXbbNYSNUtuLQSt68qyZkwx9iyBymn7c16dY8qoFcfYVXAwJqZyZtehjqJCR4NZvk/dyg
H7kKQ2uzpMUGarJ1mZFiVyVL/V0ybZNn6pd6zYO2MbodkfbrlrWr7KMvTROX3+SlNDnJDSrzj4Gb
V9f1LkW5q6YYxaxOu+WkkAkic8Vn/ToyLNlMIrIjRywISQ+9SuUv4F9Hd9yEIA/wtyxTtDIIVT9u
ifDis6kiBf1xo0ogg5HScEayBhYFBYoS7a8ZH8fvfb/RGPtcWrfDM5zaVJsnc+3pqXVp+IHWudpv
5j4pX3Xd74oh/zusya2ufTp9jErC2WuMyAz2A61lDWSkrditGucOewepQ55U8eQfZ1UKA6kRZktp
xSvy2EScA81G6UFumIeh6FGtM0+Kze2EHla+2jXr9bK9hydynH4ys1rfRVFqP8lSxB9BoHD71VhC
LXKKRjTGW6+39cBTCUPfvV3NJ9zz7maIO9DaeIsAbnicpON5rJWacmYG7TMTld1nKHW3bGJQ+RiT
en4zbyZ6FNxvd1zttTyOJawXDj0L29WEWImr2PTknCImGXveQO1zrSoWHkw1Qj28rvD7ydi0lO69
X2Dx+hUGImjObPBp/RnQMBUZXwPuQ+LbFtuCojEdUXEI6I8lcR/rjaNIpIASqgpVRssi2MOKPSpm
0ODZgckKuIlHvDpySsS8N1eJIeYZ9utt95TIESLwDQkMTw0uJKPNGpslx7YdnM9mYGP0wXS1SHNq
cDkfx7H047GdyrbOk1QY/+3CdT2PQ6/1zSbE3uNndJF96uLU9w+0Eh4FW2joUUoTjSdQKIV/Byh6
OGCbGIbjzFhri6Re+xh0OQTDHkZPsInAH+MazwJwRGnYaNBue5CW1xDck43qds0HtsT9dRSter+C
/dj+I2KITcp6REPeVPu4YfmUErej8+TQqXTJp8n5azrGKDjrZrgJpmZPYC9PUAjA3xE4B4waaCrK
z9EOOvlRQiETPgJn2lYcRJbEP5ycq0QgA6fbAQ/YfjHDecCEovla75PVOZ4UBO+yq1GZY8fsV53X
U2ngXw7zInUHizQpcuW5Wc7bmE7ySiCWG9Go5cplk0UMtodHr+hlEUbtWlVIV5zQMWHz6Yp2t8qf
HUQZKkvGzfVYxph3vS44O8uzmR2pihWO2gRMTJ2k8fOYokIrVq/mOhfpyqH1cTx0zw2HTU1B4Dff
fO4BaKSZHpa6/ki2HbtHFUU8vuYi1izXKumTYgQatubjsALayiCC2qqihQqNPKRmmuU7BII0axbg
Am0OSyjZmIVkT1HBKBO779GMVIWMQeqh3iHLZhVXdTBefOf4pfwniwKV3zIb9yJPe9Elj33lCUyT
DZqCurFaPwUI+Ltj0lqiQ8Ygtl8BYNbDXqFRd4Ac8FJvKAoRm15OyLpWtryrR9Ls5zgl23CnDHDa
jBvq4Zdu6vmVMNrU98leDiD3lKQbTotco+QRAjvBsaZmunvMf4Zgjshv9PMRdDGjc0xV2PJt8NpG
CEjcnTxHPeCUz6TXlyfE0fgU8axMC9UiGjB9vwA/7HLoK5xdMnixxMkN4QlDc8lcNJwa8CzWbz4J
yhYl56W78tivfTEzY7pDT6mcigSJNK7LplmH+ohusFc3ZQr7NZAv+0s8GNLSxqKtG7Vdl44ImUMn
UilWwImBYEE1pcY8G6PQsbrm60Z31CzOpCeABCOm9RNquww4bNxlUBbubTHhNeiP6bbE06toWNdH
6B3i1FHk3cLE5GfT6R56rg4TMofDVKNOTPOon9UVT0wStnMXSyqf4Rmt3a1Ha78Z/OJN2qaoQTY6
PjDR9NunCL+NirI6dnRcjhc3azSkq9zX9H65dNA3ZTR2G4ov8GVhMBXKqnoIOrZoVuaFcizwtANm
JXLMWhi6VWK1Gr43Ad01CHJBaPI6uzWaUAwIhoZpdJDbrkirGedrq8ZFPjBsHhVKRdnuP7oa04iv
bevH7phW6RB53F1DB2Qx87l5l6Lcx1pOlEjZ0aA0ml5rkzIvMxcruDV7kS7yQwx8rkH8C/B/903N
6dI9m2gZo8exwsDn3XppVOFYEGSf5GKd4GsM2ZyZ+3OtMffCS5IaepwFGh9+QI7iMt1AAVgxn++Y
IY3odJtZNKIgjDt54w0mSbeoriW/RVmU2vdD33bztaioH8/Rgqz0r5SQkuT8UrMdl1FHS9aLxEe3
I4E71btosUuDPQ429LlCZTwcwqLlfN9YB6GLZkSsH/YevMBcEoshT0P7ARYzcxW575JbU36g3mLz
H5Bv0K77dbQjvhslK3wN+7M3FQ2opxBxncdic8spjIOipxkou7/qO76TZ6CKjF03HSaBuSEaBIAD
hKdklgXezR3Y1gVRi47TnCRLTrluowxr7o4bG1LMGhnsMY4kBrV6OjZRjHkPHzDiCVmPiDWZhWkz
rJhrwdKT2xa1n0y6RWSApVviFwVMr0JW2riouL1l8WztM7NwVX8VVbroWxS2jTj2rF7Ue+8xmin6
SrYV1IkgpD02w9Dzm7Lqh+69l7gxNyGRnb0mCyJ17lZca4JE87Czx3YRurre2ll1H9HoNeWakwXV
8lS0o9SArVN4tDUkX7CYTZTD+4MHU2AOKKQ6dqADXiyMxRc4GBIb50rBAFMfNEZBdjmjAJtxY51o
zfyIc3oA8AwyDkZpqN1UeE9x2yGuUqzu9o+YnpTbccVKPqp9F7doonl0k0SlQmHHCdzrkssYTyZX
pOXcXHWtmNjt3o+Q6MZJGN0X3ywKphXdAuuQo6vMFuos9pwJzDgTkK7IZOWacwAb9qteYVn/OMJ2
wSbHi9VrDExjYwh3l/Ou1jZX2vuuCHq+JMo5y+/ZXKbDOYW43J+mwSy0qNZghtvEwqcGECnBvHUM
s1iODUD8OItsHEdHzChdU/SyUmg7zWQNKiSqG/qyCaTI35R71W5PsGRIHbD3upz3H3RgtPpmupH0
Z0IhdTwToL7THeTls/vQw5Iatc3A0u02TiMbfg4Ta81tCFVkAfBticx3hXIkA768YLbSWAuy3+TS
u4Vo63MXEBx6nnEJbbHsSdLl4MZzzMzT9MJRXeVRgR58369IBv5IfFfZu9nt8XAtEHu3X562KKF1
UC4gGd6KtP0GmC+iRctkZCzMWtHP5HbA264PqKw7HJDYSC9tvp+Nf1DRvNI8RFE8Y7HIaYZcwrDL
HVQGcBUqiZmpByvWPoIuvRHNj+VyPv4QC3T2sDdg1XkaVYgzgv2uf0/nOXFYexXTk8uMtBD6A2JC
UJSoSUMKmrAI9BpaTeV9Ugvnj9hG4YW49kOzvrp2M9vtuAvNPs3bwlM0L1O7XIcg9u2TFNqsDxcP
R3qyeikzDbObKUM1Wl3AcrOtOHMxwHyUIShxbWsoDe4xKNHwYEBtvAPamjqgVgzBlSlzLxCuTjKD
sCjxh42bDqjdPNVPoEnEqIhWhDI/tWA24lxExga8G9UqS/UsDFGgaw8E86z1aijnaXRZA71fmo0S
PAKaY/Y9L68AkiqAtwBsiHsBWrE3UcYdytc2Y9hlHTDEfoTaI4NJPfrO4wZ5KMKBhi3l9RcorMMy
Z4tHiM10pVfHmjb3E/zDUYcSvrG4mGkNKkfxb3Z2sOeNmLzCpIq6nIARZLNIuqnMYZRMP1L86+hm
9XVlzqq+YL8V2u/NXPbMtHwYEzsfgBbsC5jKURmd/61cNrIFm/YnGHVvW0F4Oy7ZHmr2gIHVsBS8
hPj7zzGY3joL8ZAOehxsfyDqc5t+4OufY6i/NRRiPV0xrsHn0uZJArRo2J+U0Ly1Exrh1qjKRogj
jkkCEEmt5M5it7Z/oOH9DcMqjAx+zfQBFJY4MNIwmYiw/qZ6bNyN9tEID0Q7GwBOydoiFkCoKXnc
LKBbNFhtRPIx2vCcfp9CdWEV/Su20RtiWYURzdZEsziOSDPtiwbKkDuQB6cc9RrGj5jFyfPv/6Tf
IlO94YLOk8WrBk7xEYYAk3jvwlguhalQ5xYeJxPcSeFI0qMq3cLwB3f4N0iWb92JWvDDcJok7Mgl
MjkcbGcOE7DmP/iFfuvT37DPDBL9rKgVA3NEf+vm+NlLU/4BXfy3PvsNPRRl+qRNVbJjQOxHVs/h
3Cw9/ZMf/oZh5uLYDePC2REY9AGD1CYrYyCPv/+Yf+vK39BDy21tHFMNP1YksjjT1zKLa5z+f+7T
Lz/1n8hxSWco2EG4L8mu4c3rFFIm9/H973/4b7yhhP76w/kca2+2Fq9LLVTywwJT8jnhIUGukEy0
ycwCNvYJSiFm/lQ8H33rZ1PLygvYCLEj4lDZp3Sa7X0bA179/V/ol831X6zut242og0UsFCVHrVU
NRBoNQSP4Qr+ew2x488pKm/8zZDGA79qTPuh3ZsPMd40dipts9ToVar6gHTGH9tKEd2cOYGS7D+v
7t+/b/+neh0f//M67N//A3/+Pho0+1Xt3vzx7x9Gjf//4/Jv/v/3/Ppf/P3qdbx/0a/27Tf96t/g
c//xc4sX9/KrPxxQl7vwbnmdw9OrXXr3y+fjCi/f+b/94l9ef/mUD8G8/u2nlx+6GQo0PXPz3f30
jy+df/ztJ4x84/gi2vn3f/4Z//iGyy/xt5/+7/DjRb8Mf3kZfvzlvvk+fnuZ/wKuDv5o/+Unvb5Y
97efFP2rQtGgoMkjVMTgMPz0F//6y1eSvyaEUy5SBWogE5dkpgFpqPXfforpX/E3sP7lmCsKAo76
T3+x43L5Ev8rehxM+6WIWULwHfFP/3XFv3pu//0c/zIs+nFsBmfxwb9eOEJyEguCK4txZQTsyjeH
CcZKGKM1GwKFvAYsyvS3wcjuQIWwGUpscxz3/mfHG4NKufs2xuB3qzGK82klWWhGEDvlALRj8wxD
4OZ5BQMw/6eb/I9L/tUlXk6Z/14Jv1yipIrAPETgjrC3DlV0hcI87pB3InW5ZWhxkwOOI0xuanW7
TtMLKFX33C6FrSD/6/j0R4Hwbw77/7qAFM5buFVCvVXPJl1spAfICwMuXADdtzUHEY4CVS0P9WSS
fCnLMoM+/XqppyVr4z+UIV524Le3gMuL9SsjHEyON0InmzbJ3OseYBjCE8EiFR8Q73zfTMMfqWEu
H/Q/fxBi1iFlVip5K0bie2kdaB4TrFzX8eQqEKmEM5/HSYPbHzD2gZvXmE8XCH31XuWiJMNttCXv
2BAPt4BmowOmt+ULADp/mLeEPEE7ueaXdXGFGd98XoYxwBsw7Q4ROvis68ArYRxd6wx2GzRi1X4s
l+RxikAUq0vcyDDxL7a0ZxDxZJE2U3ldDZHE0NOEK8t2DPLLjzuqERA59g9jLBnQLr/db7b7OQZV
7mDX/tvwS8sPT/hdqte11k90F59+/y29VA6/vnFYEhilkJinJP0fwXZiH0hfNROsUmkpDyiIvoDn
Ceh7dnmZJCD71JUCCrWqP6ihk8sC/fUPThm0SkIKmvyyjeDr/3S8aqOEsQr+bdLW/UG6vj0L8MxO
CfC7oqKYuDViB9Q7J+xGByzowYKVKOSAB9qDLd3X1XEBdzHHaBmvdJx0BaYzEpZePlyBJeZyqZIU
vSx4XYffv2e/CCzeXDvY6gIEXoIZnnhb7BFAEJiAwIdLxclQTECF/x91b7YbN7KE6z4RF5jJ+ZZk
sUpSSZZs2ZZ9Q1h2i/PM5PT0+2P1OgdtqWFhAftmX3Sj0ZKKLDIzMiL+IW6StEBvO8EvBDQ5FM4I
8oDM965d3KvJgBBaJNeKjrAfV/bV3wHIXKLGOttwwXx4RBTHGl/agUrgQ7/LApqkP/9832/ftUk7
XdqWJCBZjIP9/ZGPMqO9MHHbjGPDvYTxlL6LE8bfD7q3Wy/o1OgFmlnK9/bn25cNfVZ6Njia0CGr
/n5lJauYbhcWiTGFaTApz/W9bPzfxuzu8c60DSk8ZMj7rNvXM4lq6EeG1pUlbX2nPjp9V1z3cfr8
zkO8KD9fv31my0roCQJY/rUWrKl6x6FrWx4bWb7EDIXbWWNe7SdAacCjbHJPmzlbJthptdiK68oq
X0Ribg/tBmkSfINzZ/UYIDl5QUUhfQDK1E8lhVgEP1cGPf2DwKjdR83WAMht504ua4/ZknLDYlG5
P4nSizRghENWMiqbeUNHfSG+WQIrNMjVsEgyfo2ZOuKsO9xarkqd7cHfA/TQldy0xZcb/9Uti3bK
E9QArcwgnzK9CAZBa0ZSDl+W0QUUbmd4GyOE8y17tnLjoWq3+Dpuc9iJRv7SS9WcBpV6NGvqk7Z4
dBGZtR2VTfbSJzGYSEPM7QyHnt3ExABXsL7rZJDB1JbP9sQahGv+udvaDWKd95iyOGB0Fty38VBn
nnaa00keDDk+iZrdPu/Re12L4Wu7WANz8mjULkstsXHiYoyKNn8IfSUsQy4Lyzl7HpIFXlnXySCx
yy7IpPW97mnTJqqSHyE3kjxkGwfxZmsHp8xfqCAGf0pGN6wYguon4/gRa6q/7ILTk0Er5wTuOxAB
gXtWgGkFB0iYU9oGVa89ObCoQjPuvcBLobNZrhEHyhzSiFgG983Kng2T1wEUkAXawAlcrkAalVmd
rbL9lAvvEeSuYhv2Y1jEbnok+TE4WJiOURq8mnroP9qMR/erVn0gwThCCXjudeilg4IBoznlcPB2
bUe1Eiz7LrcDF+PpritfavqfuJtPN9043WxV8VIyL+a4UCmHCSav/jBDgZ6NW8SImG3VkxtK3bnD
vxxBIkgOnWqzCCXARhi3rPNmPzLXhvwKtWILg6Z40RKNFcubZRjIi4WsLij0zvoy7TTyOtkHYEOT
DZc4eWnoIEMuJlrT9nRDLW3OizPkPjwaqLNb9Ww0VfmBpji4waS5nwZsdLY8fbYNvTmlq97f2LHz
qI8l35H09GznitxqfzFkBneD3UMLFRwel7W7ziwbvfWgKMUl/cM0e3ZjckYrMR4Mt/SO41o+A9ky
hIoVLka2xmXh9jvpOa6XyFlAJSCuHGmvP7YeiUza6cXfW6BihQlhPJC4DyGMVVak2W639cLLUtme
bWh8XlPtTLaUFYQ6An6jznZpmazrSzml51nXtIOY4yxoXRZtM2bPlxvndsliVL1FucaZ5nl8b2mp
4auCyhNhGEq8bhe2mpO2tw2UgEOGTClwVvjrW+dcCXvhniokEdkIGwLS27mZkdPkRZxHyxjXfkUA
05hN7nuOxd/wPVi6xd8vuNKtB1l2TzAHXN9e8pfO5q7jLn++hAvlFC8j1sC+OxEJ6jzhAoMNWwkO
e9Daa+5DTh/oNvIQKQbIhzbyKbJkx58scYLxnp/Lxi3CoiMqEaiKg721T5ZszpfTCaEHs2ASnoAl
zPha2vnLqsfxvYT0VJEkBZmNVRa0/jbC/zEknv6qS4KJIVm5wDeDPwzZZyypCHkanzsRawu74YEs
1rF3yueR/GoPZ3RDCXmlfXcJSsoivFBTPuUL95Yp+0429nbqSuuBegfvaUh3PrN0ntFg5oHLVCSf
uab/rSbSPWGxM0M77MeO3Th3l284r8XLviW6zHrYjwLHlg9jy41d3kErvbsM301fBwFGo3BmhrYV
iHpfNjXwUywhQjWif9JzU5ytPkfNkpSHfmOpMC9l/TvSuSbBBFH7Y7NaRFR70w5Ek/kDjLDxsGjs
X+gj8jBrG3/lmtqphEV7Pe5vZ9FYedbWnLcEyiFtOP5Xuy3Xl0ic0fAMMzspwxnyEjuYNGvd3Een
bLvN5y9s7sRdomHhp+7AC1CZakFE1BZpRZXdNZ5ehK7VcvwMRATWMB+/nysM9PIY6kvyXNjWg+jj
w5oW69FgapFfrDzIfYUtG79JM+DBItJEE0A5kwZZdL1H4EGEOPjVRPRxJ16N4ZFQ7G93yPunrGaH
M/VQBlRBNawXPrCbqAou8bfco2PcpfWxLoQBo6hpTl0+jIf9jOs9LpCkrGpLsYGcrTjbNnctwcYC
+nyI9vZ0WGV5eVAzvDItLtfPkCOakwP66xvoUH0dC5DLWqnH6jl30xckBI+xnq8cGD0o0MSj3k+b
2CMuFiNbIMbT5nZxmK5ka7buM/lc+ubYF4xjgTEHuaOLsCWHaQBSdzdDJAkt7GkC03Lgv3TpqWwb
Drx17O6Ikt1NZqbjlTmDuQwW7avFSJcQRRNwnprdQ9N4cZgDGPkNWDbUVZRrp77dkme8EQEJDOjY
EdSbyR8R0R8RH5FqLNlL0zVPWFONEfMNq58M/9k+GWXe3uh1sYRJO36CFpwcqXOyEHhMPOmmgMlU
rTUZsZGFUFHi0DA2/QR3PbI2yqSpSfbUoJ2aq95KnXuhIADNEPMCk6krrISuuXL3Aq6gXex3W39n
iNSMHHMR10xBfFZauYS5IyEBFIgL5LwNERyb7Wbr2U7A8s/uXuY1TluEUAz5lwtYZllzCisNIQA9
/CJc6jwL5t3ABWc1PQCFQepaJiY5CrS9tCo4eVee2CT7v/CO0A7jBINXdHWJHKgdD9Ixr+C7oQar
HB/uyeaDvs5AsDj/Fi7TzlvR50GWmzGXz/mwkQ8zheKztxo6pBAq6pV1XTbT9wTWyV/F2KenqnPj
cF5i0G1p/2QWyiFP1p9qIXnWRErQ0vQhaDB/97VuLANWA3KagharLSAmQBSTOjVcZvsyM04aAzEC
Y4B9NCVmSPJ8r81FwIQ00kRdRQm9tIOb8E6T9Fab+xswzYZFOH8W+nzdM+vCdzPakp6n/dXaLD5n
lsVBLkIi89F+WCNRN++EASfIfEiKHLVHr597zSjCOiFk4qELcplhStplqR4OS8Wu3SufrUCJpm+E
pUxlL2JpvChNyZ9ETKRp6nT9bIwmOLUjN0aWcQKZtR2/4AvaBFK45Ze6A2E1N/1pkoQKTQxPNZ4w
flV0/c9kA1LiJFaHzXbGY9GQBKdLt0VzsQtyqOEKP9egzl3iuKkVZ0PnnEsIDrqwsAqaGjRbbc9f
7RW9BX8ndAy2KfAnFsG6eDAWt4fjlRVBX7FuUZWCrSTe0ZznZ29SSDzq6SF1WTGxV0HgrxlTBlvr
Zb/PydUfBN2H42ALykJOa98jzca98hme2ZNeKHJkS38YkFr5UGpYoci0r4VImQupOwAaTnJfl/O5
XcV3Csgu0iervxl02X9WWvEt50yDt3bs4PVczz1BDcJecQv1VjvAMnJp0Y5k13s43cZquy0UJ97k
jnCNLPfRyIrndq3OJBjL/YbDGVmgcdv25DWa8M4iz2zqRjcLRjlnCHeqTx6QJ8ZQWzTKku8K7xxJ
Up7e62jBvmU6z74mTT6IwrkqTVZYW7IalOY2JFg806qcec6m435pjLq/QRc+P1adpiNTZrnJvXmV
JWswF0UarC5xLYbpdyi6dGHSiiEVEow9SFdUK4zKIvcexo0vS44pN4bk1Bn2+U3fnMpEMJVZDVfC
y19qLX2BQPTU95xDQ23dofrTw8uJPi4UYXu60+1rNWGZ3EF4osojJ6C4lofcWLUDOnbXN/czs14b
NAV71bItNIgc9IChSvqnpuLomWY1f0ggWEJG0XnZ9T6BA4La9Upn0vf0cvlQ2GPxsVNTFlS6OGiQ
B4MFyIf5H4Y8XE65fmzqc8aczQC2jxsmrifO+LsT9Rnc5y+psX2vDCeFOb94AV2LiQ6IshA3IypT
GqvJW+P4RzkPfEpfveibrj9X8VSfS069y+qn3jxA5MiuKVZfaELwrUr7I6Tlo+3JhzrhmBxiTq68
1f7aG1WWuXUnlXjTrdXxRtZiPwMT1ieK6SkYyKEICkn70Ht1xWHmtShkNHi5enq3ZoQxmpHFoXLQ
axTWeK2pLSPittBYtu1gdlx+hVSBPpcEC9bwh7KfUG2YuINp6SxCL+UYZrVzxDGhMphq8+Fy9noL
+zQ148c/F/7WDvi8rvttZMC6kI6t668dSad8Qi+br9hE1xSdIJeg7uP41LU0BXO92qJNEwXfgrcM
M3KLkLDCKSvaL1b31e3aR7TKqJ1SCt09zVCOrh1sx3kspuReZ/JiYFToZXBpUmE6wxBq5+neriB8
SHckAR6Tz5dG5qVGcoRERlOlL/YyTgFUSoTlWx3O2ijOElbktd0u1XnRBAndtCelDjXQaOxaFYiN
1Neg14Omo0fbizD8qd2Pyv2VazhD1gg2YDfvWWCaNb5NzRtaiRvDqBPvjYQTb1vkIAIGQAHjiugK
vHYzyssMGRs75RgP1JQu476uB0VHwkavbleF9QV7aQIvffygUGw3AZn+HcDqX5pirgeYYZvIXHc0
4ffWFC71nZXJQh1zZzD9QW7pCUkdp5DdmX6h4TuV2pMeTGVmhH9eUBfQ/dWConz3XKBoAga9pN8v
zc4WKivgHqFdm3y4UE6YwyH7mM32LlZp2+9Kz3HE0DcmFVj5fYMF9ievha1vLOLpzzfzFk8xeQOO
cLCgx7T39ZgXJZXepg1u7uYeBPaGgTmypZ1hGdEMmA9ZQnT98yXf9uxN+qOWYwJP6Dj4v/r6Rj3q
lJuxOg6x4R7KDup/l/Bf2P48LkM/wZXS5rCe+/KUJdP/Nqjx0iwEJ+AGPJe3D5T1+8OveKjGWGvj
sXNJxgoaOgEjA95zo/qXx0qXGX2j5dL3fANTcZpKC5QMvi9i0kDh9Rr2+fJdW4c7aPXf1rHM3oOd
/iVMeYblsXA9KcB9Xn0xPD0S0pJqZDJ7PtzEIw3zbDT7K0ICrZzZfUw5Pv1Wp3uGWvG5Wsr1OC2i
9SGfq6Ccsl9b+eXPb/p3xsffzxoc0bZ0FjtN4FdAfQsxN/P0lj1W5N8bqGB//Z38Fjk5Xrl07yDc
rzDo/XqWxTKGL8yE2R2I/P3dKulodlwXw9HNnDuIm/gNa1Z9aGIzC3SyZl9M9g+zzD9D+Lwqdedz
n9kaWsT5VskCYj2srs3KtveMYvf++u/73bI8aVksdba2fYFE/gF5GC5uc4mTDMcKo4rAKUme7Y5Q
o/SaI1PKK9V055Qm2VcGzrTR0PCKkB7S0tWaJwFtysf4Df1aK6XPMKyVJMO4m8XY+2Oe/7SHkzXq
S4j29WEbnStjMB4kOY5KoHXgSZMftDE5pA6dGgdeTDDW0El31LGwdUT3epkHZoV94mDstbWOC0gZ
1xVz87SKR0Mra4ftLgdbjifX1Z9XiHz7bHYk2aKBb3uea7/Gcz0xLfjpMt6beVALGsouCZwxQUAx
V/TFnG4M1tRAB4ovtT9Ok375mrRWoep3DQmhQ6s25qTbUHpdt7pi4BA8ycO05834Bm3RAMvylpYE
9j4undCkejeeibeQlmPhjsIcE8sGlH5N6qCXQZzvSTZJSgfk7tgi0lOD8+D0T0oiRsBY5+x6sFQF
vFZfK7Oon/X3Bg+8xVwdy/NYXhLkXnde22JW+QbL0Em6I/yIaznzYCQrIasn+534Ld9GGqBD4XoO
CK8jndeRBhQkRgaJ31Nc0xXMyXvEWmxR54z1S7kNdDjwzgwwSKEq2p0h66LnZhTjneNqSsK5TZ8l
JXw2gzehbqUXSAnI8y1wmeBvaop3+tvn3gCbN0racLBxtHewvH97aQB4AKCWQ9R4gxzXVK5SbClj
mIdKhLI08TyqlzaoBrLOpVrQ2M/q114vrQXtJ9WlL9h+vROx3gZIB1oEeKIhMZJ+c0yUUg0Ofhft
EZeWvwykNAGPgYuVvQzm9b2rybdpl4Ny0fF2CZ1AjPH65G2wNUEAgn6WhCoq2mYNd1hyGyT+ACKx
aOCSUG8jIId0zeQDZhhPzdIUt3ZFcm/qUJddsd6WZredJgpvv8D3yselQke9NEy3uTG/Y9D39hzl
jq0dKHZsIvprIkGPvKwaFraWo63ZsRnaMdQKOhBKp36ila2Hk16+A1r+S8LP1VgRukeGalmvdxKc
THdu8CY6xjmNza4xTArxRZ5z1EyntBrppyYQ4UWhrgbaUzeeQaNy7xnSb9cOlWz0kOmyHuMQKUhG
/GhohBrimtaKiDqy2dagxExtym7DGp/kRr516YnUgsIJ8rwbIZAjmmUW/dodfjGlyh4KKqqgaoz0
ZG6OeUwK5A9ZbHwuOzwEhAao1wrb9TdAhyjFJTAwY6xnrB2hhGr2sMz0SS7YRlOaug/m9nOvhO1s
5HILniYi/m5oCz4p7TBH2/YuQ+xfw4aNoa7g4Zo6nI3fT+fW3bK0NwkbyTqm90UFjCkoXyJpmaNP
Y7nhDKTIzTz5TNucbrbFi67nzg1RDZaH2u5niOr0iC6xvpIz0OiaYT5lDmgtxlF+u0CbZos23QOt
va6Au+/SnJfw50PrbQLrEl9JXmGc6BKx1u9fpE9MINjeGY61w2GssNALK2ffEmY63SS9h6zd3apv
JmJP+N5T8c6ZefGA/z2fcBE1WgacF+hQ4jW/x3OXwpsX5hvqJShaI/vlXhT0+92STrjReeaXurWq
IIPVfcX0Nz0sTE7IRaOPzdQr6sYCS0qlOxXiZZYpZxeIkgMABIP6uy7UdbE2T9pA8/WCP9DaEBp9
vhjrnxS3xSer3dEAiyZ7TlPyqFd7jw/xPUBamz303Wx+0UsrhNx+7idMHCx7g2W6c16qxHvhH0CP
UtP/Moe8PDINeD2iwpHv5MP/klmgsHeFKzzP5FS291PsH1kXzjRFnc9pc+wAKS4AQWXukLAAEWoz
tuE2lrOfFNvVohf6RY8QxNkXwIP26gLDbLqCONV7sPBn/aHc41tnP5rwF8HF2281iH6YrGARDrLA
45+X2Nu450qbjIJ9r1Omvq6RFA5hQ0Xj5ai55pHBQuAmhIpipSq+dKOQirwT9d4kzw5rivyUoswk
k9FfDzBKBfYqfUElSGu79dd2dPxsR+4vWMxweb0KUGgivsDkgDSidhhwGtE9GM2iDn3XFwcLMgtG
TsScPz+P1wfl5eYs8lr2284a2n/+j5dpr26eawXTlbK0wzui5x5QzoICAJcxbeU9G/1/udy+xWEq
GYJi4s2xg4xmAIgsjrO1r1qnOuMeQEQaWDvUju9VxO7rLNghxhFRYHRCZBNUjr9/vbSfQBv7LD2m
aYr+PJtMYmHPGAXTi4CavNSfmaB5yBgsHhqkoSdUh/EJDVJ9Zzam83U2K+8+n9TJNtQH+PTLAc2W
7Zvz1B1m9mhId2W4Kd22PnrzavvtWGfn2sg92CoV6OY21tGQ8eE4n9s7dv2AiUV+xfQGgQnGgDi5
kVWIPLU9UcOYaYCCYA7NxMoD3UinqyWeIzqS3aFPOvNYycS4hsuhgagUHwaEKQFlm4FhBDJcU/TZ
2e60HKe+IvlQUydH26RNIe6+bqhSfpBK7VnsbDsxd+phJVGLqjLOQyelUkMHPNE2tCQdQXwD/Qyc
OqxRY15DULXggRVeHtpVVzMJ0MyuFeaCM0yLuqBLFhtHw+nck5dxD3jw7UrjT+1ofkhSTBM1usM3
rq3huKVt4rtCBH1ERW69s9FejUGE+CZdkjAJiZaopFOv//6yvaTrPa3klIdB4Z4udY9RwhqpB2wR
enKpXFb6h7brGKjczkjet9U8yHZ/gU1hhm4/Yv+TK/J6p3fyMCvTn6XMkbZDPfQ5GWxaSpN5wOgs
D10CZGjWfR0BIpjB3pWIXGPTHtdmNs/e/vF5M34YU/loObBN5sWGSWIp46D6qj4heXbfaTi9Lh6g
/bGh2MHkMQSa16N/iZzCMlBWRWm/Hft09WkRvRMsXgfPyyUcHrTl6bawXs90pgqzaARg2l0teRs2
E+3XqZ8oM9oNMshodDwb7b2q6HVSwEWJnSbJDfUEYeNVhEo0vOrtFJVL1zjdAfAL8dvGGJopKQSE
ASA9DSfRqwafrsAc/1eFz06n5JyD50cCTz+Vjsvvq2rtqnLKK4yKld1q4PIMrUXAvoV5vl8QldVV
643ukWj3SNuhOJamPX3+c5C+MOD+mZhc7oEWuaSWgfS7E8T/GaXZNr0je82OMKhiNMDaDafKNHoK
cX3Y/H7CBCer9OHHom/xHQ/SvGsWWKfYuLiftMLZdl+PHkGnmUeK4X9P+iB5lN1Adpe2UVWk/Uc8
8oYrq3f4OmPqnDtGbJ+ddu6+yARWgr/UIjvO3nhvOAmilkkr30m+rL2N9tt3JIGlZWobWM3TbHtN
plyZcGN2HKGRYledMTFbIr1NUMdOzXR9+RKeSst7fU6c85DyA4DHOPA2fQtLAXdkIwULDXoRuAjG
yclLUjd0MBpiX+vD1bLJlxYuxgkZNhQy/EbDLDEeClkZyJOz6Xrb0uFUdnYPA2Bzj/biTKDaw0Gz
coyqNrs7lDZ6QIqQHWOvtahq5RYy9MxP2nSJCjRSdwt/GbWYlPhpmuzmBkh/47m8x2H5y9bnBkFI
XVuz4mZNvfSTLp2wMXPGJ62pf/15yVzmObx+nDTh4VQ6tILfDPNoPfRvG3VThOEQvRPFhAAnn85Z
Mn/CMDwODGWKaBuF6Wf2GgcYG0I4slqmkeP362sZ3SvMq0RQemyzHH+Im65I9B9MHnKAl73thk+x
z9OEmg3z6RojRjxueOj2EVHvzy1v8TPIYz3QRyh71jiYUSfxJkYc3Qea3XxR5aoibBMfKxrSYbH1
72U25ptoZQpqbnasYbls4NcawBxFCbNgSysSE4e3i0bhu8QPcTfeZAkMypUMO3LH4zgvWmQwQwEi
TpdiLDi6pxXHFNwXYuVXZVN9zpKd3pGx7QoMZfFSs7Bskoj1rwmHGLFAjgv1njWyjk2OV6CbB0p3
xWHt1RFBNe6Y0vw0T8aTqWHwgvD1U5xmv6h1lN+CT91Uo+ZgyIv9BcM53HuU+vKQlm53wD+BcrxO
W2aBLePRpjdwNIH8IoBJFvrEJRevNN7p4bzJ0vZaUuB64O2x701SuC5ZCkbJ2plK6wW1gXu/75Ue
j9tgFsn0Thv3MqLy1VJlJhQMNTq5mC28JjNXiOmlrkYiLHSqMAeHfoJYlt60Wy0CfauWyNDj/C61
x/RGojT3QZcRv808dHwyyeARwQegiV8nLz7PiX0bb9YQCVg+i329JnkTdiv7esqhvPK7QUtOGGoe
6xIVcBzKmd1M2v7SDN32IPF/ikS3TX8x1n44KYM9gNtFfc4H3T4ga06iFEr853kq+48A/kyvxN3m
AevtLTAlPI3dLvpg2Ft3QFw+3ULm8q5AZB9G9DEnr1iJHJunbiu7dnCEbHA80QnLQ8uI1mG/HRDT
ck/Ep88W8vRwmDhmtJSJeYElnTzCSZNdOGr5ndQblMlYK3w3YqeEIsPMpHOaNlrkMZ88GKYElwUe
pJ86wj6k9ILIQNkQ743B+5fVwiKhF7Pz0fdT8vfDabDtssA7047cHlJOjr9k1LcWh1NjNqFjsSH+
HNreXg9UEUY6KRaFuvW6Ssd5HGbwhu4OTyISkJbdAG3Ou4Jz5J7Szere2Q3ibWJJ2YZzMRUvNHXH
8V6lIC70tk4mSPHgMRmMuYIZKgQOHUzPG4/1pqc3i2dmh2Swo7ZRPXYYhAu76IxDU7H5nbkGCpgd
PHWpnANPcVDp6NRDvTF7SAliPLYdXyWzm/5jNRCurXo/3K245+TJynurbn6sexhJaiuGcc2iY2jH
D/iL3SG3YYXmTcbsOXqTjw2uHleb7d6WU1pEoAwvKP+bEIObl8Ipf8iUe9d0zFixc8VE1SYICrXQ
WGn6x2FjrWNMn/99tLYFqVbvJukTjDLj4DHL5kFA8oUjwm7yPE7JlCV4gzGIfjOP5nhs7P00rQrI
4C15SZFxzqhKMfd736sM78ih9aj1ud6Ib8XEOt+wzwqLvh9OsOI5ewrC7lC03ZcsKzT8Yzgzy54b
ah2nCem4bKGnpaAA2ID896cl6x1/GA2LFY1qvoEZEio5d8ECtQDjBT4hT+VwZeJIwmYhXGRiJh8Y
FzxxxTJcpaPu3ooOAF/h+H3ljYl7Ghx2aI1HcKhj1hrWsTeGQwP5G873eOyTAT8VAYuoHmNMevav
qVn7tHFt28J2EsNBrQ2izC72riSmEQevRPpfbvZne3V+VvB1g6I05RW7czqjqTEORDBWsbW6x6kr
SVnwQfMv292zeXwwTbmCxinQemQ6acXzTz1jpGjndVx21/9tRedt9rNvhuZl/H9A0ok658+Czo8/
8h/DmP6o/ynf/O9f/S3edNz/wFFxKAQoASBYWP+fdtP2/oOdHvHb2rNXk0Tj/9duGvp/BGi453p7
WxYcgh/9V7spjf+gDQNVoqAhDwAn+V+0m1Bmfs+dTcYC0VK3UVB5jrHDtb+H4EZvYeVp4xDpOPqW
R425F/EtqQ/227gi2Vc1HnFY/C3TYB+9PMfOvbNpj4cV+N3dQNWMg7JM3Bs5FQbOWItBI8ErYE6t
GBkRv2CyBoSQugtyVB7q7HEmKyc3YGN2DuZba29g7AVNbGO8mKXNgWJPYFs+932YVbV9lXpD2x+U
qqr2CJe9+LZlyzKHwmDILIs/b5gC0lTTEEDaTs4LkwaekZgwrMzx5uMyee79Ro6Fzy8iCfQyBUG0
aA5tp4qPk2y7nxMW+j9WTNmqz3oZ289VMdZPUiVJH6wSJ06/suI0jRJzSH4BYeZfSwD9zu90OeFT
PzsFbm1TtXwadF0dmWPYS/Qynfq2ri3TmLd1+Wa4yAn9udbbuwyPaD2sapFPvl2PGwNApKS9UI4a
daGdJx2Tm6oMJ/0Jqh4WOfiefKh6gQH8KpT3rcWkLvmh06DNgZ1XjSEZkPZxkTD7/g5ajcUMDOyt
/XFOBfxkr9auh8FAagFdRZG5MJbBuHGndYDqWDeNuGpETdky1uqrUmNe+nIcB74AMaaFON1XUZcD
KGJwWZw3yF/3zCAzf6XQjz7DZwMvhTiHq8m8dPV1W2yYQRpkPIe4nNsv1VCXx2lzG8yJLeUk0PK6
BuvSTVlfUpWMX7quxSAa1D3zYBObzUdhJ3l34A6WL9M8lvd126UPBb78fYRNsXdK0akd8VdPnvJk
cSz8tyx4jwA7ajFC11HbVzW2U39tk+Dh2JdBuoqUxkSNk2ZO+Q9rmLBTZHJAYtwIp6173+p3HcEq
sDesdF1/HLop7w+xi+WSjxd+R6+5GcbYH1dHcW6t7vBFoaPcAlXOyzfOT/ecZ57HvAAPp9LDNMZV
y4Jllk8wFPaMAVyf1cZxrpq+O8Zzvjsad9hic3xr0xGPb3UeKlM+qGF2Pxf5wHSXIuWqWr1LjzwM
DO/jfDTKj/BBoCV4g3HKOtu4F+k23iyTnvbHEqpk5ZNT1N9qfMBvHIwFtFA0PTTlERaTqCuXE04Z
43UWrzau7QvYfW/V88GrG/ubl+TC9SuRiS5olJZwUEyIWvAcQehDEdRfudhGkTxSgDJqgWQbSrhm
rBh0j8lHc5Oegmebe0/6nHVfmVjloiRzzRtnnsYa9x0+PEd1EZiN+xVGpVsGeCEyP5zy8YdjZbb+
ITGTxj7AOWWECk776kNXb5i6FUqZ1/1kYtG+4Y6UR0bfqierSYfnNE9QY5TY3ZfHnjiQR7LYlHGi
F4/7T2IzvsaPdUo3P7YLh/KzTdCWN5mjZj+FhwTwYnttGiy4qemHrDCGyschZL5llI4J8NxKJLe0
UuJ011axzRkIs4KsItDsfcQWu5e+lv0o8OWJT9JLy19rp0SUe4lxrtnhG/DDkP7sbbu5A3e3jouu
bzh7KjvzZWyYP3tVMTVlhQh3s2y4uN0lCrq5tqOOeQ2RQjDT4uyKPPnMisLGrPJYlXW/NRGHyfoN
/l151yWuPqNP7EzHp76WRwt/D+9Ay/Bn3pvLEXILbsrpWuEwuyAJULmgl4qn0mSfSbm3TwQbq3os
PDf+4eaaeycTFkRkOx1+eElbPGWrQRHrjrB7wIYq7WunL+oO5aD+ouYUEyI3xxnD7xgj7vjs7zNN
qOYXrTzPILZnUj+6guj4BZO1HJNuHUFopKZhdY40P9lmM433AerLZsjb3lnHk4MjxqMbC/w+xaxW
v1LsFBPdUH0YcBy+MazsezKK6mSUGZ4UslU/ykW1n9RMlxRbMN1HcqJ9MglnjAo2OweVIIachZ94
JQU7QpYflrcY9ilbjPreK3B+96dtnYCWRuvKKbvtaWRgUXsQDboM0RpNferj0cw+6Wa1WPwuWBRe
B2j+VOqWEQoq46pYJF6voHkt4WjGC1TFrfOhwUzj++5Aei9X0UQGnIsvJerH7L5Kx4qAIhPLBj+a
6+85RrMnuL2LEai5zX7Zyk6DNOsbF8+/zlsYeIWH8WOiqellcTJ6/lZVdd+t3sTldRwGXDzjPFGB
qVXNyPCF2Jpwi3dwbCYfZHjXtNIMsLb4Hj+rTT84WZxMoUufoECxKeyvFGEmBzcD5nYWciQrD0dd
L8aA3HMW/OAkDvtqSvHxUClwtjsd6O5b1zFKmW8oFucY/g7+0ojtqq38P+Sdx47lSJqlX2VegAmS
Rrm9vFq6FrEh3D3CqYVRG5++P0YlpjOzB9XozQCD2RSQqAzP8HtJs1+c8x3Wjb3QyDVHK2IPjbh1
0nnoc3daEzr0WkUDL2YEuZiQEdYCiR2eEtEAN59a6+cUp/ohin0vMO1aBt1Qq7Wlkh8ZbA7Mbu4v
e0o+u8jSdkaSV4SwREUf9G1CQqMdTdZrl4Fu3FQ1J/EqZsfO0quyRnGwELWCQLNkWh8I641JCNOI
BAgEDP9hHeVKyCByc1xSEyPARb3t/axw18QszTrjJa491g+13iX2fsxyb7rOPD4/gXNCDh8HSh0r
zoturcdtdbYg8oO309N9RvW/MQeZ8Kzkw6nHaLXGH+m2awzl6YFQKn0Tg7x9yGwj39pDmLP38bOv
AhD0t5eE3XuOW2U9zar91CRU32x2rGQ9wt6GG2qHDsPaylmV/lgam4zwH6wbTZk54M0rTXu24iSH
Uk0UWxV4WS/LNVjXYb5KD/zUpuCBidZFncZqE4WdMDZDE02HOtHEVRoD2m8IzlGF160Xb6YbZ+nB
n0X7y5OhuSrIU+HZ8er8UBQtq1hOhMHdEubh3eY5h/I4l41/GefaP+udqVTQGTBliroVR7tptGwV
DnH3WZsdegbyVtQPNMldChGvE2wwNcgD5AGEZDaXjlEk+C166lAcw/OuUHY4sTrv0otB9gJev0y4
mGoY1mRFEzJdrzzyqh2zfaGIYimcITr9aqVC9AXv85gXthevS9NjA86lNF1RBsDRzH1s3gAmbDCC
rTDSW+8acbxCRNmtawdk99rABcTIMiL6jlxQL+U4083tOEIrpHRxZc61qvPfw24xX+yc1zRgxYdv
2c6d+9GfqxfhAH9g55bgodJcl6gu2af70ojhgKa4Edawqhq16RN+5DmpXJXcGiOMLiwNGoB7Zkv9
4vjy3qwL5yFsG7fGjuigN4wGRGaclSbPCTRdfmeR9/p2aNN1Q2+4HjpWdCuNwvTehh166kM+HvKo
EFqtOMZtQOdUxRwZAHh3Ce4xufFiyyte2SRWv8ymMJOHrMPISijGUh2lqOaRmfVd/kGhED6oYVLR
2UOiogN86NS87JqjYoPjEPmBkimGCA5o1bFcjLuXjKRiHFHc0be+UuGp7IdhwyvQ/Cp623gYSTBq
10bt5/fxPGnPptT9F3PASmgOvv+rF4P+zBZtPJHfoL1jQ9Xk4gyZ78cq7d85fykXLNmZVlB4bbor
Skup1Vjo3kEvI/VaJYohVs8d88oeDOWSlVmk6UE/T7Mdbl+XXAwiOdogQvaZUynrGfx0LaeKaRNg
gHuP6v/ouAN482qIxSFpTSffomsgjcKJud1WVhxLtQtFHCXHmbXgye4tJQ/MzMmdwKgotXXv5/73
UA7FV9ugeYeg2APGaOmlXqxUkZ3txOPUGDsdNpwW8PTG1hGmaIP0TkvrFLfeyER4ZSBo0j6qpnX3
ikgJr1r7c26nh7hMwbsF80C7s0b1U3lvchoN78GuqEt2BAmYGNSzCRULEPP+wy6xnKvISbcjGgdk
VTlxfqZVESpQWs5B8D7xYM6aV5wZpJKP0wtrENe5jihYBfmB8OHtJ537Zj5moQrvoVXK/I5onrkk
c272I/PMaksLd3Ex9vmm8KJ+Y0IUcgRGi2GgU8lLu1EAqmMp5SVGL5XeargJRIgadWFdu5S4oqNt
tEN880a3d25OEobjPm2TjkGuXd6zFJba2bOpSZ4UIIZ550tlC5Zuc5wcmLAk6VsCW7fYwxVValtn
ULx/EBOlfzAXyVi/K7INfmROVIYrd4oMlyKJ/UPE9z6aTbIa2pYys5lkwkReEfqKzsRkfsrKpgua
rhnBiIfgUsLEVj6mHga97EMQ7lhAipuNabfGvtLNbAcQh1rCDJ3pMcaRWkAgcVKd1WstPJBcfZRe
kA+MbjAXRtVtusxst6BsBnLeohHjeyH88Cga5B3bOvW4u/wS8MUR852SaJE7U1crboYCOo7m5O37
lFFu13JSxSUH/+IGJOHZM/DgsfPqY6njptyHcMLUqrMLN37hknKYeU1dSZmjj+N5GAUj1VWStEPx
DOcbBKnBO1zdR32n1qVTJwSXyDChtWud4S6Vvv9OEIrNgFl1NcFR/Dok2DaJmvdG5LnDKdasGc5M
iB9hNWtut2VDyZ589hrtlBTZu4/7hYrcqKM7UC7ciVZY/9DEhOYi12eSwqIHooD0Hhdj1vLw+KhW
V7MY0l0G6DNeJyGoZLMruKbKWAu/ZyaC5sFwUzojRgxDjDU+Vl8qaoQ4tOwlKFj1oT1KOfSPYK6d
gJQewf1vq+IwCKlZsDPzh56QDryGRASeook3lqolhNsbkhnhoFqIhs/W9Xrcn4ygHW6hBgeqohXG
M9E2kcNYXUUvLWsAvg9vBj+eJ5FxI14zNy++XiLD5U+DabfKgVQ/mVZIdpgCT0bQNfq0m6LS/Sk5
+smYkGb73BoWHVMG6/ej0JzyoLW5RtiZC4u1zts+wEhoOKs8spt8PRe2uNl5JB5kUlkL8604pKbS
50+0V6RSjQ42v27qnvjk/b1FTgh/vnKNikiy9lDr5fQRob55UexaSQGMunRnpIZ5BKdDYCk0OYPF
qJG/R9ngwppoSB8I3Mog6GXEnovdUKZafvX7XnIuCQ8SlMYv9iKjzEfeMStiy7KK2VLphaNc1zT7
67YJSaqCjBqTLZWk+oDk0As5sSWRGv/fDy4NnHGLk+sv+5EFePc3GN31I/pY0HN/HV3+55/7Ez1n
/2GaLDBcC1k5o8plfvgnek78IQAYLf4JuGouG4L/Pb40nT/wVsDj+T+ML+0/DBQg2ApMyid+pPs/
GV+aC/nub6t/jDww74kQQQDsAXf7h7wBJoGpD4qnmSAJtSndj4hYH86qprjGlgqXMB0bx0nxXBE6
vLYxSO9oY/OPybLdS+qBoptab5falKJxPd6VoqOTKb3nCPXWGoY9CrMeKnJAJhnNpDXcDw3jltEU
zXqs+/yxjZFUpX5DZRBb7yljSLN1LqqlhvXsBItHSgE7hPc9ojgHEMJGz0I8/Wn4PBE7t22WTQY4
5HMhlPPhJgYTs8zftJWJbMjz5wv1ZBHAhqBIZZW0GpAhUCGP27EdakJivO1secv92RdiDTsUp6Dh
Ll5XbV35470kUo1v8OdouquxLs4EOG9Uaz6wfTpVTR0FiJgDDKLf5OtNR0KCUjakmTfvzLh5JBrH
vFVJUQF70OodveczGYwrRxvPvc2H6Xe1OKek9aJqza5WiX1Lo4BmaHcRoFGAxFfFLpm6r9pU8zV8
oVVgpizBiEC4O1pGnF9JfnhxbLXOmdfmFjnShSWBbpbfnYXKwqciQQq4njz6HJU+ST86xHVhrht3
hOCMIhLhXrTW5nSvqf5eM+2BRVo7PROGbB8ELXDdm9M6YdxL6CQfjSujfUGQ2iNrwIdYDJ+hrVyi
l6x8O0HhR3ZVWDf7N0jEppdViC4DFqlw0Tr2NCxi7IPpz+pJFBVMOmnFK/QT/TotYvXI7JiCmmFF
vWPDGt0m5+IX9jMudgxnqVPejY2m0dSyp9etW5zSxmTOK93nFWgDLVI/Wbt0bM5R0x402BL6HL2O
Ed7sKdko0s74qtpr03TfWfmo09ivB/aqe5ujnjgTlW46Y2Phy9Zp+ldMYLQgJAhnVZvyqgb9nNkj
WRzU455HBI1Uh6nVn8PixczrCQwPAgbStPlvpwepa6uGALZnEAaEwSqmXxM3Ybst47KlqB6NnYTm
UNrGBym8yWk2/O889S+Ewa4svTgSt3EnOg8LcEpqvfnQzLHxPqCw0hlYJxsL3tij76AEDIF+rEzl
kg/JUvY2x8K+M8a52ya+Ee9Klv5ftSX7U9dkSRe03LF3uRT1UYStOqVW433YjYyZ5pfRSQNEdiB9
tz9Am8tfU0j+OK6ZDZxjpusH5oXNXrlN9NS6gLF5VFuqWgZpsKswLMmxuosdMRxct8x/ZCp0H2eL
nXyuZ1ng1KVzip3KP7FAc7aGM47bzjCiQ6/N0wWsffE0d8n05BFXfkz1unguGkXFNizZkk3tNx8E
yLtracQDHnzfvmBYr8/Z4I33Rl+Kq23M/bHTG+PdINR+40bVBNHDd04yd7JDA2j4NjdV/EsQwIEn
FvzeT9akpA1VwH4ucz8mFwQz49kGqHTKSSw3yOge9DvPm/SHUQzyCr7BOBdZFT/D/SHw0LebM4+K
exbaqJ/JrGYLjI6JG7yo3Z1BZvMVcy6BTh1cVdJ/9f+Oyyz0v7uzPMtDpW8J1IYoEsAM/VNfk2Vk
+Ih2jg5eFOXX2mqq4ZC2Q3uVS2xmH2Kdq41xJDHG6JkFZjNlhFdsbOg5G6vrnym6tS2TBslbQA/A
GMyocEYnOgxfn+xHK4neu7DHKYLBw75zSj09dXpxdUNS6IGyzXe1Y5QrMGX5RUH5WPEkPTNaqFaN
5ZOKOxHQwy6Wwa+yn5qGWUDfj8XN6Yl8WI+qD5/qcTQ1cJRKzkHrzsxX4pIfzAgQZBseb8iS5YwI
KGhJeJjQ40Ox2QyAQN7hhchkLQfGKzac/2cwAd47bp9jS27NVjOxf7sajAS430o467pcEr07FyIt
Eb47VmJnjQpyT1fBmKQXD/XUneO6eQzBb7Gu0Nn1TPYRQxuVVhkm0LeSbCUw9LOMS1VgxMWpna3h
FDbV2U14/ROWVowLIrbijC3SnilEYRcEwY5O9BUP9ngsh9Haagy0sM859rViC8cZw9hqmQw91DNx
BnUfkW0zj+7OJ14Gd63LUzXDBTyPte2eVZ+2Z7wz/oWtUfwc67SEMMDlNUMv+lAZjk6lj0o1QGdN
hKZXTGccwAkCl86/GCQ4jCsyDNufLjmR1kq4Iv6FuqoMpoYMi2Z5U9TyznjL22Mu71G/vFFkKvbH
OJzENdPK6b6WiTxbesn9HLfDtR65KnGwtCjTCtoISJLwapY3mGiE/sjAD0yQm5VP7Oani21w+9SD
GLdyOQcQXPgnwn+cU21VWTCws+A5kN6jt5whyXKazMu5Mi8njLWcNfZy6nTL+TMvJ1GynEmQ/fUD
XSLC78jhyJoQ77w23twfSClY5JRjdMq7nnSrzvE+0txUpzrU6qPOWuMuLuA2LraW/kQB4nw55Ojt
JpZS26FOnDv+be3WS/oOo0KsnCSIZANF7gCBJ2EDIqqdfSoUJmT82p5P/Cv9jpuOWybEE6k/9eQU
Aa1RoxCMxsVwLd3UC3Rb2mgvXL+d1+YSerk3Rj9Mj+XMzuAViVZT8GOyukP4J7JuX0XNEJ3NXMc8
VLWJRehB5w39hugYWEcN+XgsiSINLaEXxypa+2qSEewnm3nmZNuzHjQWvSyvQVrhze/ETWiDefHI
DrknNN3Y5r5oN01qGYT0NnaGMjss9B2AtDzfaIzqRqbjlY8EvQ4/F9HbuPZ8rLarxp1jbdMXORXQ
QKIyu2qOzbeZTHIyZuPS4GwhKdLnETOkgfGxMxmDST6XUt67oWKrTTrQRm9VHXRmuW+xo25Tt3vu
hrMzo2eOQv2C3a++WFB22KtqYUCNGq+QRoaB7rKJNEIFe86PpnVR1eOKhDFMOEP6A/UMuRnp+GWU
tPdeQ94OK8W7UJfjlRmVGTht85m4n4yS/CO7xoTzRpkM+rgGRAUqIXX1nRtX93j+H9KK7J4p9+6M
EHtCXLi0qkWjb3r2RqfOmZx9TlxpkCSETXraAyHM3HmJIc4a9/9Gn+uvvGVgz3cUrdIlBZYgvzuu
8+fZqBOoI2MM73AeViORYac0IxpuGqvuxfB0RRyYVN9+ZfAMQuKoRdCSRpaiCyVE/V/68v9r2pO/
Ecj/H2KO06+BC174J/8GOs4G5eMr/sj/113z8fNXG/+j4fvzB/zZ8Ll/IBMw8aOS1WKgMuHu/rPh
M/6gp7NQnhhIPL1FyPInatxEyUKPyL9tghO38B//p1zF+YOVJAkc/DisQnRo/5N+T/wXTgeMDgCI
IM0ZVXk27py/y1VkVNQqQTV5aJIkSvf93GY3lziVbs2yslOraerzdF/kBAat3LohHTjxyl6uKzc2
Dxi30o1jsNPmBbedi6GDcOW6TPhfoCcJ0pLal6uI5NtmoxVNdJwrBxIrmg7SOkddRNfKtgvy6S1V
vzu5HpfrykgQEiA3jejYoqL1Nuh63Jd2RPNndO6or7x62OiKISJ/FesTRUiWbUI08gAFSOTOWUdE
3qKRoV/zjT5N9lPFpi4wJ3Kp9pKkKFjXM+NejYmxdydMSbaCVZPeEyjbiC6lLqx7hMh1yNZ1YKJG
CnFNyaBJCiNGLfp3nOjVvGFfjBTNsjTroYxDC2ByWERv0sLwvPO8UH0JR+vu6jQP1yDByj5glDr2
K9FYw0ecttOB9qfAeMW1/A6YpGU1ypYAVJuu30/Mj9ZjYToHgyX0SpA847AeLuliBTTNp44J8hv+
Zo+E1dkMOxAHxJ2YSDYAoc0N41eLHt7e1K0rLmZhjJdxmrWTKHKYWUstfhUJveujiYjSoEZjArW1
/Fr4r4gM5EHJuDWIPdSBZjByJrRXTYaG1iSPuiY5yLa19Rvr9JEIPckey9+mgDq9pxZ+6SKYBT8Q
OnX9ZhKuvGnVsHxY8QGUfsl6uh43/BjrJHxL7r3MK9TNgHIbkXAfD8Ytcr1ogPbajUE6pnJthKVc
Wb0+PXSJ/p0qyVSCVKZgRIh3qFjiBpicTG4+wwQm26pgQEFzRTu6REEnNmxOixYoMxR4K9bZCXKG
EUgcScKPOP+IUdNIJ0Lj4VPi9cWGQO1HtL/RVeTDq1kLpPcONn2eDy4N+6fBfLkcmsPI8HCn5Xqx
mI/ZTSF43QgcZpfIFCUpgK71UIhaOxAXmgWpsPjopPR20HAXVn997B1oGJFmBY4Hx3sOvQsK+vZC
1BoN/1DIcx6PpOXqVvzTGtp85xH780oiSHkdRGbv+2Gh/LLqg+8Y9+yk2+iWebVLGdBXD25jVVeM
/gAkMnvezOjVFuIRd0yUT49ZV0vkIll0UP2I3MB1m2PtxDAw/CpcuxPrZqtKiRVIxaOsjAxFbwQt
PjJDcrhya2OVjIEB/hirIcTrYnT9hdZqZjkaYwVKld0/5XF9N9QN6BV9HlesoWDIsau6hTGbIHtW
HWJakENLqGtlm+gsmyBSwwNSeGbervZYlvWvvk/uMgAgK5aIBDV2XReQ4+veuo63LPI0SFLLelGi
432zyMDkMBJPqJICoQptZRfhz5y2l5bQv0MKSlZhmvCkV/Wpdtwe151DoqGv0aBk07dbkqeOwz+Q
ZM9fRS2KQCuyWYNct4hl+g7+hk3UgCCqUSSo42dVtec01lyoxQTm4kSZgtF1gcUpe37T+Htv0zSc
MQ5YcidEOl68OANZ6GnIAOzq0eko8XLWA0BD82GLzdvdIGqzNpmYyvumTUgydWmjaqeYr4B1WNwo
FBN7EuEZreMkJFQqZY4YWFZJ9BmFy7DSQ1O9JGlHLqgIxysqqnpDWZtt/Ni2vzrZfNdSiLXee/I4
OaHYxlSajDngxjgZwgrbxzQZoVY7TqDLPquaZFYdcwW/PHLDO2vJPSWKEzefSajJqoM1s6Fd815H
34x+1tkAK+8vt+rdv2wHf02ZcH67zP9qR9BJ6cCoSxIifivmL8u08i+W2AqZV5zGenzwzHZg4WmM
hbPuEOrdWmZ/zxRGFmdcBfqSaDV2MGUzlE+l1BT2nhzpSCT99IwN0GClT9b4XjMd5ibN8u1DlzS4
pkZ9ZMAeuyGiDoZ3BZMYz4gPNkGN420iYKKh1J3Hl9YR2YMCkyvQZPjOYJ/qZPYu89xnd7EXc0TJ
OmxhQQoyxTqzY3kszEU5HDuvWasq5jeZgjnlAtRf6ZKfTuQ1HE0/zNrDOLpqR+Z5eZojbdrm8b/W
L9Penlz/6CvcnZ6JNIjkR+ycfti9sNGp185IxlzT+7AxKywQyAJwjBq4pKAOcm91XoUmBCFNgHJu
VnvPaTSW84OBX2IHZQ3x1AQbet/oZHSfXSvxNrQ9TMr6QfuFSEkhdTStQx5V9OSNpWsPTNjqzVR1
9q1Qrbhr2ck+ylFtZtEgcE9qkuLKeWG4p0Z1KxjXMTPSyAHtHPu11GqxHohbDbpcQm/oStSYOo7+
mgS2rYi8x9j2yqAFYZ6q0+B3H1Vn7PqYEayJafRap5/DgM0DAdy5MhDg2zjx1lim24dYzwAb06kC
+yNprtcB/2D91Pal3icf6MkRaORYbXt3OJIJ+2COfXKNwyKGTiicuyGJ9y7uwQPXSoZJyslfUANU
4arFxHmY2Y4yuqxbdDoR1FZYl+VbqiBh6Gb9OY2xHTQMOVb2DCPe4Nm8SVcaj0lkf7mwNB6qmDcP
zEp/bTuboYDmxa1GPrwdzgevN6yIaQBCsZ+5suo3trqoUbwM9fOOHAb7ijRgMDmUbXt69eeJ6Y1f
6PWHAiTDQAYbwKMdaiayADBCKnDw3b4jaI2vXt2JaxKXzudIJt/CoMXuGtlC+8SL0KImdoYxKI3O
3vkaGdBujLYL3ZXzKAThoyzQgKKbfvFollMfM0TL5p2de0PAYNm+uFPcXHqCPQdgAmX0w2YB/aBb
nXXJU84bKUfu+Z6RsmMxbHUczXuSmWWsrEQ4H1S1mct1wkp4PzJ4PSYjyZh8mwZdHRu37GEs5TgG
+LAF/RLDSh2F/gJvsig42g2HXS232UTfH3FigfZqZrJdMfZH16KLfD5OM+Xad+EsgjiQD6pKi9fF
8PgL2Uu/p/TqTI7IRbBUsxNk4WeyLfP6cl8rf+b086BBb0agEozSgYpmKhPXyiqGhyj1/bceQctT
UlhLbGoYPcxaRskjkAo98tfInox55tuVCVfTbOX60fFG9rPSskkw8Fr3HGf5UAaNL+0NqS3txmzM
d1I4kyPOIPCeusrS9xzdxJsKx++h7smpM4xh2Bt6uWVNztU12qm9yzI1/WgESoZVOMHtWbXwtD+A
rw+PBKBbb+HkOjXf6BDWzOMJOF4lEJb3DILEjzkDdM+lpL07XZI+kHPvf9StnJ4Ma/FW4QrN8Jia
RHBShdt7i1VhvsEkaUYrg3Z2m4jZ+eodK93XWt9hsMLQOW3sPuu5VytcjQHLbkRIbJ+vIKCAVZdh
KhjllWF20lABX6zeHdf6bA4/9QJVEe9c671iKWk6yFKmJk4MuiM6DVOPUI6PKoQLNiVFUGsN1v2O
y+Idg1PxaI9ediAQVgB1BKoFKNbCpWWFJckpiCQEOhm/PXLokUSko6vJ11Uol3jraTR/dG6tsv1E
w/2JxAuFcRHmw6VG6rGSZgjlNc/cdj551Ni6gbD6pCaOly1YFPcn0VzGmZRipmGp2WQ7jNPzC1xj
E61jZ7R79HPac9na8R2aLO+zmozucTBooablkaR5yqachyDiJSyqFHecJ3lGggbz1Bmiq3FIgOnT
/0zFGK26LiryFXaH6K6z/fmp0xPtptKJw97VGc1Cr8i17663SnjHhennbE10+4oMHJcZrvvhIiEx
v7MQEJ/44Bim88jLX6qLsgO7+TBDySujt3LCWrklgJ5RPP3Gt0lK/RqEZS43RZeQBCETFyW6NmTD
qkkz+WKA4xqRVk9IIzXdIy479BBBIwRBD6C1E2b0RVbdNql/w03nP/D5lNexYymxYuLyXsjRQLSw
TKiZf5h1MJHV8150FW6AwusQiLMPsTdGNE6HxtLGnSg4AQhqRX0SpNBUGKDUU3WzrDq59YkZ7aUm
Wg9pQST2DaHVbZC7+QA3nzGKiQTUwrhUNp3/AtXYKFaod54NzVCf9DGiWqVTYlkrWSpH8SigIW7U
xBoe7+V0p5rxzdT1x0Hr5FMxSJlseuA0N+QFenU3ZFO8H2bT/nBQX/B/qby7JpE5HaQ9Zpt6Mtu3
Xor2e4p0r1hrY+U9VjpY4dlKkQCMOTcRe/74UDRFDOaNueMpgp6cbSmEtUtUsRze9rVWHmJmxnha
RfzMotM8EjvbNceMoJR05/faQKuNRO1a+nFzcz24m3ksZ0I1CpLhXas9uCjJ38l9mh4byq1pbcDH
P9AqOdGW4PD8wIi4aLYd49v13PN0Bia5xO5NGhiE1zqTk2DG67BjbiY+BlU2ByIzqqtuZCjSfBfR
gdWwkqGfrKnAYtxzCNClNt1pzVisktwev1wRdT+jOtdgCqXEM0PGHpaKlXPig3Z2gK5bdi6CVaQK
Q6mZDCDs0aUsStVLNKbMVPmI0eT5JMDTS9cxYTTFkFH+Sl5sFSziPVwZnjwwguyeLDtPDUJLJqyX
ei7KaBcRN4G635IXT0PUjct8CTjop7e6EmF2K7TC4RkmbpGYwkRXYs15LsgVwVN9V2PfHjYDnXCy
m6SlqC/cakYuQ1UEqcWsCE+tiZbXcx+Bq+yir7mZxan1vEzfeHKaoWBjVkAoii72BBhI6isxop46
jvmgsbxx/SbesNNQP2qfsk3HLfM8SV/+srMRwZ3ml6+2ncUvfjkg5x5MfdyNuraYTnD8Oc7UH1QZ
k58MFvw7M0ZFRwzXCzp7UeZTsKRHr5URtlsEU9qOK0muMcHSx+k0Y4Xp0uZHDFMgGLn2l4XefQFP
1/bTzGpiU5o0kZHvHF3AG1uV43Qms2Z+RK2oX3OmM2tTy6qVH7aTQjWdVg+t44df1VwjomKz+Jjr
E8Hb7JN7otI7jX6xE8nDzFAKUVmcv1q+NlzzzJqeqtotARbNcHr5rPVb4oKA8ss6vLS5bh8HXvgn
1VH6N1qu9pE7ISdIpvK7Yldws83GfuKxpxJOraORtOIwGWH3FnWDdSocYz65swHizBb9AXwkQSGd
KHdmRjCyaz9Skzf3cAXliSQQADW9qPaZkzjvOt/cZyjSCIqoznqHyfs6nI3sXPdlcte6KmBMZa0A
7RURcgbmDG1oRt+eFT+HUKn2ll1viiYXYKAwg1T0mRslWBx2dffuDwToyKwdd36MMQFPM7ESDuIs
fJ2vPgcW/sd6PNht8mW4WFeZVpAG2KRICwW5NrbZH804TPZO1OWn0EvJaC3jJIiMKf8Brq68zBZL
bGSYDX/JvN1DWOn2QAbctdZ56Zbfp2VJYQkkDju/4vL8922c8U8kn27jy9N1PHno2Ay2S3/v4jSO
33LkIDmYQ2JSdi5VmieqiI1RaY2BzSOkAix/xopUcnKiVO8eSD4M/1sk8yLX+Ye6xXUMC1KpwyuO
z/0f5rymD+VUGO50UI2zQ1zSfeLdHAmvGiy/vXleaTh3mU6ew4aknvFhUBX9H5EoiAHUwPsdW8PL
OKHveR2IM422ReozPxMx6d0fjg2yDnuFZr+il83voD7wySNGe/OkBgH790CuGAfj0y2nsgxMusZX
xh/aduo68WgOo/bVxCGFd+9Fz+iDehcZYJS8dYlYaM2DhagtYSiAiPbVayIelCSe7mXlpMQMeZa/
UbOencjGaNZCVYJCQkS3sWqqoIOn8+C6hToBvxOXPo+4Dks7R2Oev5ls7u/xTxxdJK2BuQwt3WV8
Wf+eZIIu5YTUABLGG0au9kP9e+zJapgRKDQi/bv+PRg1sYf8xA7p3U121jzM0Wy8OkKXGPtISmL8
tRTsU2f3BOBFXrInhxfLWyx4TvPf1b3xu9L3f1f90+8OIBky9WWX7FboUr0bAm/6BKOrxD6EXcmO
WvomrKOlnWCa5HzA2MjJsUe5oIXmMw7e/lATKg62kUloNuNk0lK/WoAa9CzAMhZJw9LJFEtPQwoE
/7j0OWE8dfHGm7mf04qFUmqMdERLb+QtXVIcj8m6qQsE1LJhRrlMRANOE+0z/91kTUu/lS6dl7/0
YObSjSmN8bYkRgVdCtEHEIr92JwfHbvN3m0kIx+2C4htXRKYNb2yTONDsqvcvnYz/eVutBxm4QzS
67cmrJ3ypxY7PVIozFbfnYCre/fv31fzv3BDGbe4bCVM22Q/QSbvP+hNfemk5NRynSTUWpdamyLS
lVBmto3IDuUi/pZeQ6hv2FfhZmqqm8fO6xxPFVB1zRlBtHeRZJo2a4sEUyvrVVlk4wNdT1WuLeak
bzAVamw1iZCP1kgOSW2mFjPAZNw47nSDhHUbgfmTdTEaw9nAINqxUJjCL5y1YkvyqXNwYpndEwU4
MdJ30qNwjMdaxLC2wjsyFEkPCCOIISLcGnr0yDsurmDsLzRm5AdoFkHkbqLbGjReJB/rRnoObkhp
EwrjUKByd+j7oXbzOwct8Z2oDGBTlWVHT7CRyl2EVGSDZJUVXiUqlEC0be2Vw0XeeU1LYhCVTLe2
mS2PK85VH0H+lGfHWeqFDHqDyBEa8P9g70x2JDeybfsrD3dOwdiYkRzciffu0XlGHzkhIqNhb+zb
r3+LWVUPqSiVdDW8wAMkFQpShoezMTt2zt5rl/rd7Rq4IqnXUUjK9mz5ffM4h3gMCjvp18Bvso0P
Pp3JZuYGLxFThZcRCa1eLwbIXdCmEfqFCgOIHzguM4ukZWI6hQftSV45BxUq368mfGPKk/49D3yf
7asTwZ6TsI43Y+NPC4kMCtbK7Xr/oEQdfMM1g7mEYCrAYGG8DQJt3I50RugUxN5qjGV/yhLGwJaI
zWtaizNPJUUnmqXxAoqb8d0nrHDLj2vXpuHp2zROPIs+b1k9iCngDYCDvsKOSs+MSU60U13HljbL
fje5VfvSW2Z8b0SN9Vgl0LkAxIsIBU7F0jQOybe5acNNnTv2hWSVWjuu224LZg3gSiP37EZm8qBF
A7E1jXxMKfDPF6m/cFDJtyq4hOEr9sqNBO+1n9iXZV7c+f5A/lJGg0L93ImgDznflFGHWG5wMdPe
EV2wQjHfemedBqRZkm5d782f8ySzHVGCBD/nTGIZOSFnxM8alsskKmgyplJ+jL5jq7T1w/w5tfKZ
X1k/J1kNLJYdhAQXL9sy6dKWYUhsXMOSMcLqrTesbuVLSHcvPtiOMkNMAqXJsJl97N3pMDVw+ra8
ikKAaVuyEBeQHo38k5OBra7ioauPNV6m7TBI81hZmAs3feVwuO4w0XTYhcCWHxJPYbSYaGDITR2b
xYXd2dQT1c+e7ri0dzFVPVdeCXuuDbE4xs9xvbwgVsJkyI1PVTCDmOx9d1eaRbf81uQQMWi9GCNG
RI1RyEOZTs3rny9UDEh/v5u7JoUFixSeCxiGzmLF/6U7LOjM482hrvBD0k38myqtL8v+288P+VuD
8P9IWPjdlBvHHn/9L4AwsBaaXMv/POB++mja/7P60MiZfx1t//PP/XOuLX6jNY9RQUC1ArZgs0n8
Y67tyd88y7cVQ2oTpIJcNMb/Gmy7vzGVADosXGjxrrs09P/FYVim4YisPfYej6Kfu/k3MrS/FHpA
lImntqDEkUDA+fVrnonrGDj/qUag73UpdiISz/pQxRsZpzzCevoLYtpPgd0vg4rl8yhtOTS7XBEU
h18KSzxZwRKXjdwPA8U+tNLkAxAYVjRT0zGngb/Jg7mpVh3/FToueI8sQOzgsMiCDNejZT+kPdbo
zS+37Q8mKF938p+/l+UJzxFICVCVf3lF/AaJUALTez9Y2fcW3RnqP3DfLLcHq3VOkGOKfZHZbCYx
WWPRdCXrTpz+/JdYhjRfr43N6AEHH+Qviorfv6apR49pTDpvX8Yjrv0lnA+FVnH/55/yB3fccZAw
LJBAJkVfwUAuFzmJ5gT6H4sN5+Unz3HjwxBj2a2GZviLC/sH30kiw7S546w/PEi//06Q0+iiJB7n
JRR8OwICM7huuJX+/Dt9WeCWu4efEnEnuRI8w9aXp8oKUrMaZODuZZTzNVIUXjrrbgFavP35B/3B
xUOWpsCm831IKPjyQYxSuKLL4xvEggBWI/kc4rlap9i6aZ79PSD8P74VXWTc3DjSmfD9/tohuy0K
t3HcPdBxsc48tGpRD205n6mL0Nsd/vy7/axWvzx/pIVga8BawTDxK4s0Nj1nrt0Q5YPBrB0MrX8J
AErcMh9WR/xAixiuUkykBuswF2RwYrMJfhARBYdDj9Vtknr13tZ5v7FTRV8fyR4jNeJVNxQ/8xnf
fF5uvEj7mBITTbpxTvcSqfIc9YyhKiBn7WxuOpkoCsVEfSNOrf7HJsX2En4U/8P3HHe8ArgqWIv/
7XlclKYDonZ3H2p0OYk0vCNKczxDvXwwJo2zjbh20lM+UXqWW5IurXtaNt5fXOo/el59Vm6G/wsg
1Pn6ViSTAxWL2Nks65zj6MTXGuvKyhSR+ouewr9/kk/+A211qKKSa/3lk6IyagafFIq9GzAXGDvI
8HWRf28iIqP//PGhPfHvb4cPktn8yQ3iPPnz3/9SZ8ADsw3XauAskG0CLMuIDzUr/tkSarxlupVt
qKvuQ7r12wTNVLohgQAXrULqAkpnHA4Qd7L95LqYm5tOqrsu7uWrpKY9DCoh3tCuuunOb1rnsm37
4iKN8niva1ATq5LCkrkm0pM1RAyiE3K3OwrAKYcygs/p13rac/6uNnVdkSQta9/kPxT0SWVYyGA/
tBZm/NyEABQl8gaXwQiOLmrUNuyJlu1dL74JRJ684ivOj4R2o8Cke3mYfM5GVN3uMa1a95mRj3OD
QDs+zA04DSNg5iUZFp88YQVXZjLRSGxpmgRlfoxkDN8Ur+UKS2V571g1QqBOl68e3W/CRyuMftFU
BWtdMM5zdT/tNEeGQyza5M4QZXXjiZySdnTppZKqMdcoIO3quRz74Kruo+Ax8ud4j0jGe1NDg8Y8
EPYLaVZPmrElBj6jUBdJW9/YPmh8N482lViqZyM/6N7E2o2A1roF8EJP2I6UdyEcu7mZe3AXIXSF
fQPje8/XWaJXfYRMGeryhlo5O/VFPAJRV9l06Xc+NzNOQaqBOAs6F599FdNOHvoPSiauyWAvBECO
vgW+3euqDQIumW11x6pwmiez0f0jbTMETrksG7UKanzZlG0Tghfttw9eljvHriPobqgqY10r6VxW
vSIutxLoDOLQKwMO2Gz9qORMCBhJ5lB544NABwaYd6c97jeqCS5fbzTyFXLLgC/bR1oqehPjSCnl
S1SigIZw6bzY5D73K0+k0U3P2V3SZUr5HK8TDT4emrqsnA5dsxVWCf9xaGSbPdqIjmkei+StAucK
qjmQPPE+nqo7TlMpnfloKAmAr4MTKL11Zjru5xzSCENiQA9mI/AD4wWCRTcT7tlNl1aaV6dZtaqA
+DwQpaJCsUJvrvbWTIGzYj3Ifyhb9j72erynvlNXR7II3JUdpt2hx+dwxXwgjFeJQ1JlUSARWIs0
zzeeDq7TbgwP0sZmviB0+X2joWbuE3lLBBtaOwI4DSOeL1Hj7DoM6acIZwcuTp3f2Xpo12k87cbS
je4t4Y/ov8t2RyiwOgxGEe78Cp6SJ8lcqooRA7waeT6yGbrLKso6tXMJxnjsCSi7wGXxUZigEeOu
jqlPq+q7H9CwpEBFbmCYS8fRSAh9t3qYYeYsh73hKWdTZcj6UuER0YmoaR0BM8WZXoMDoi+x4vyX
v4o6TK4TbQ4HUj+D99RGZcB8exhAIogSV5jo6XDb4kAUW7Ydpj7aGwDuEThH9Vsv85aGSjMd/MHI
9zVU1i2oRXPnCSRhzBV3Y0+BOM6mcxEQt7kdF/xP3SXOqi9PoYy9i6ZAUb7O54GDAj0QlOJIzib6
7lVthjcGOKELHFf+a+wp+8GaiSHNwpAWdh1AX211DfxHSFLQmTdukerxKnhGeEK8129USXGcW5LJ
WNk/e7RZTl4h0jW7HjyCruuQT876qsVU1q1LZ5gJWI0dxH41EC53ASk6HfTRMafwtuV83dhVtO0T
d76zKre5gtgQ/xhjVlxhIK1jm4/3VZWO56YvBpy9RvBchkRJdbjvH1TlzLS9JmiEyAyuQj957pSv
iG7Jx8U9Du1AnYMsvxVwv445jMDj0DFUD9KENIq+32cdCKnCVsOHHgBDI89I85l3zTCfR7+yr5ys
uRoCvNFeycBhHATTBWcyLzHQOyH96CjDo+GSkpwVw65AuLlqzHbpVCKHmOu6h2eBpGBXO1AYMcEQ
WKuNz5FWRD648p4iad6jGaiYgPIqK1PsadpLWgSFeYWXC4BqfWknSwaXaRCVwwq+pwv0CoQV1iHf
HLUPCxCRSJXTYnsAwRLFBJaP1gBQoRtAngxdcKtFkG/dIMRc5jlXTtHrDalRM3HNCmDk0FXfAz/w
1i48n7Wa5rOSlbdLBq2GlUL/+qzdaNyaWTjt3CoAOOOJEGW+o/Gbr4pJlw/UZeM3SxMAnCk72Nfx
gFWcxYbIcUBqJmL+O0SU8qX2hx6s8ZhB88xUrkaW8yqBvI9W0t24VREIhGx12m9VwRUB0ze750xq
ZD8hi9dTH9XND7g9EJRJEMETxzBy9Ha4T5G5NPPnZMVoS2OA9ZAUXoH2FEd+3Iz+amx2GOucNfFI
NE+n7Ja1fyNYfK55CStsjA20Z9tPXyxhVyeLluXK7GaSbiZM22kWRoiqUsaVyuM1xrpYz8F442bO
Y2/FAvmL8WADhltjpajOyii8XTMTOECctKldFLgDT27aZAyUneoOUv+dGzfVoSjxHfktQdVtkyan
cWoc4pg7pmHwRFjlO13tFc2bfV9Z1j4sMEmxpJDyWwMkGaCYXU5tbp27MovJCY70S+E5zRaFC9qA
KbnQNasFncXikw0p3iYau/6sRP8Q0g/STAbl8EFHCppBITR5CzV00hnCDzWjnHaG4RUwQYr8OMTN
Z2FZxWkcAvMOOUS1Q6h2joHcn6ZZgh/zbfR7pmn0j32ahp9yThmJcG9uKm8SR1dWwc7QPrMImYW7
BkEo/efuGgFGuMuwySDNSXBypUmHCqSHBwD6cFrTWcP7mYtvyKQ98uIikhu8ftzNgURpAVpNn8Dq
ouQcLYGZFmnoaCXzrhhjRi9TjPgC+HY8gJdFwAwBo3izRoupnLbSdqdbrggu3IxUMd88OhECvZJw
pdTpnqd6LK7GYrwes6J5l3nZXValzcDUZHTL2fCaUSSxBUHTvNqNkvtcVP0xl+TKFMajDpa5bQdB
ZFvpQJ9woJBjU47hJuwUM+RmbJFED6TpsAkexhLR2ZTXD04ZgciIPGtT+X39XulhZuemKFhZeEvB
14XDprRYm9NChdcQ/sJvZs/oqhElcvScgS/KJ9BRNDL6M6OUp3LS7QpRNjbRnh73NGyLiHUbBWu5
zbpxUxeoq2C2z3vaw6jJrB7XVOleWTN6DCuO428U9hIGTxJAAA9KGIc2zeN81I9NYsQ7BsPbPhVv
WsWHDnHwMeumeuXSLT7ATQFfadLFhq/nHKBLzfuMROeOpiRpg+4OXQdElLI0vJNfYMiy7NiFfHYP
+DzfQK+EUzdgbSeBitypMd16oR9uVZRAWen9eI9eCsxfvihpZfDs5uiHS8HbPExqOyfzAVX1w9Qi
P4FKgcqwe2QO25+jxXbd1y/QqdmjI+MNXtGjZadXOlZ3IVPkVZybN9nofoTpRz14/b6KkQOJOETj
Dx8sr8rT4veLmcMY1kyGJTODy6w24FX7JuY7n3zZwfbeihEgdWjla3aptaaxvgcQlj/N9jutuGzn
WRU84SHJUfCVGZLsCahY3sT3XRHDjGv0Qz17j6pK+Lt6xdv1fSzkZQSBwrEkGp4cOnKX1clO57gN
Lf8AM+1+8BIYidWRdJFsLRt9bauU393qidYt+4EZwIR6aUGcWkaXbBxJ/yKqrKMm8Go3qOw24a3C
YRz9oO1wVDAKDQJrV4ZlrtoK8VEF9f2AvaS/0XR4b9A4Nh9tlvk0zRBrkt148mOpdn0wQLIagh+w
qziYc9y/bxcv+XLI55U1pHqLMFftcsJBQmaBuxrR9WlKM7G2giFaSinY7Y49ueso8zrcGlitAVDX
K1/rK8upx3WjiYrNSmZHOCedvRFyRGgGZMcdoX1ZyBdOLDyco8WgAKGW3swF95tza7EaDPfOU+GN
Yw8Ira36OxDKXdNS52tF9ZmnFvr9gDUfdem6sv3baLav4Bk8tZO+zlXgrIgW78ChEAKWuFl9jKK5
ZNPXD6J1xnWNkcUak/I5gSCzAclSYtH94RrOE3aado3VGexq2XDT6vSxtOzuPGV9/jjSDGU2JLND
PSDEBDsJwjWAWVNWgLHivmv3ESZFlpQiObko8xBUAlqq8oHa1q2/a7Pr90RI8E1FQvZM0t9IzGmr
KLcL5MBZ9+mSaXkTF6B5ambguwmh1M7wx3YzpeJKc2bZJZx/ToMOKI4U6kirPoP9QTFdetVzVBpy
j62m29NiuYPIWuyCslrLPrz2KA9vmsrotiNrxxa0nrpCIZVS9I+cm2Ozrq5nS+hVHY/pTigOx56u
n+w0mbcdOoUdRnyxUNp8DLxqvLcMzdFFl9SS9SB2oP6Kt5EvdXJrN9sgqglWuKbLgxUZ3Z79VlxD
UQWsV6T6lFcHPTFdUbqwrsRUZfASuuQqhVD7iIVaPXqj/AhG09pYlu73UWaLp6zP2gPAWuOuhK36
Y+DZPre1h4k2tku8IraxJ/aj3zPjBpGR+c217BqMKbRx0OlGsCOrGCv8QDWvqfsa90FgmDUAwNo7
QfpGughZvHVmN4jZ0U8T4JdnYjUKInkrSsWQjtdbgPJlG1fmtI7I7OV1EzE0YmnTq06olRJBzFKl
5SbRSp3Kup1eunkiu7tW24zXdycaszsGDkTvIZHMT/NwPDNPXdI00vKE+aYn6kd9i2hErfucOz5P
vn+A8GvucJlaZPsM3b6wmvjKGev6COZ0C3lv3DGhlJyl8voCWWS/TeKaulLa+ZU/dBS4OotIdjOH
DejI6FjOfb3vRkvt86yVF3zOwntjKDpLqz8EaKawYProuJmRb+yYap4D2N3QWDYMxMRcq7F9H9F/
PJtp+F27c3ZVARF5yuL5neN4fesPVRYhqTM6Umo7YgzSur/A9vBgWfKJj21OcPmODOOdLSkoQJ1h
o63rgJabNWLh4EbV0bUlDHpDum7sbQ7+6eDni2Arj7GNeprHpyjKnYyKAGV4YjlPoEZM9KFF+bRQ
7KBCFoBPYLrBhAUGt54gX3yjV6EfmC37SEij8jVJI/s27mNxtio499HE0RCZXFyfkXD/qLLcv6Uf
p1DP2i2BGyWUxWBO1i38ahpMnXuZNrq+1KiOtsof02M/EiRVVoHaVkhn98DOCWxvyFW2XTM+QUBF
IStrhBQeXE9syfP3oXHEgWya6TkqAD5mSVLT4VA/3LFgvoyxZO3YZrhtsETdZHYAe7GfCMhaTEye
bydHHr9vvqMgftY6rA5jaEeXoC2T7VwU8YXV9wg7jJSO6gV8UuCoDti6b1MinPceVYh1MuaUnOfB
tb01aQ/us6lHkW7B/I9yW3dR/FnwkLnovaekxHbVTvdzjuwRIIVRB1vPGFuEO2mdPQ9KdlsDNSK2
n3a+F1bo7Ms+Y3ecUmfD1OQuUR1rpl8D0YK3sUswkWy8hZyNDb5Zp00pH4JUX6Rtf+3BKTtlRHvg
IGHv4F3N5itd5/42IXWWb+HOKOwijXq7dbPikQ+qH3BaFmTgsXaaRX6NGDLdJbp0L2Xk4802h4hl
zms14OrSPrUyt7YzslbAnkVFWJoM+oehmua7NOir+zi1nSuR+2I7oHhYCY3qcjISuuxNVmYHoIAj
xFM37mBGBzPC6slkTcwF+y9mPy9fzX7eg/IcjG3sLj5oh+SyNf75YFe5Ib30qUqJF0/ZDNAPdEa5
UlWT7YxgKF9Vimh1uSfpvcv6c42fpvuotSRwOeAwue+41B4pcHKJRrDq2wANGkLSW8hE+d7vo3Et
6V+iehGM4WV3dkJTbujk9Cj9SQUjTQ2Za0V8XzDAAQtYeJkj7Aw51Di6ymrvQv8q46SEPOasfcNo
NsaYynLV+1V6JcFir9KqeXSrOIk2kBJIk8KI+ao4Sh383rMY+gftdgDJw6ys7QD8CJQkaQ4BMTLU
dqxKfqs2eh6wla8s2Y1bw0zFntbHO0mzzlGPxLYV+Ia6KTpUQzvs6dRi/fMCcW4s3WxtYntXujPS
dRa7zkG3Gu5MlFYn24tvFfzwLdSRU+CIEZAmWWtkWEQ5or+gu3KbxPoxFmAFNnlC7gY1OAzgthag
ZQIYjBeAbLu960JlZfES3jtqHn/fTVb5RPuj/Ka9pr0NB6999nwvueHKcy6mdbcz+xp/nZMNa4W5
dUcybrERvfXRRgtaAdXkjUTXFayEnwU/6MFS4TuUXBcaUS8WWtY8Mlcb1yU9JtULSj2siJlIC7+F
suMIc9wKM5gFvqWRsWMudcSaaZf+A3tpBxsEgaK3QrbFMTgtgno+tv5U4tDLBSNVrwWTAIb3qpVp
8pCqPtiakVddNvg5N4FYJi5BbHyfMGqOWRxts6jgp3dDc4sOh7w+ZBM3tEXwwhQNQKuwoaMnXXek
iU4tSzjoSB7LTUkARB5ZYsWkZ1yTfrWRpdPfBFm2aZukWZFZtOUEBBm1Lj+7uX7Q7eg/aOJR2XbD
JZApxBG4cc35Odfj09zA8iMJzdpFfbwxSNJF89KG62KK41NY0BNioHMMs9h4bAYj3vgxvUva7uk6
jub4VAJnzfPI2bUFp64KgOjBEz6H2d4xaLxEtX2kgoUBDJ5LzTvRsiuuisYriS0pBh+fiUeOo9MM
EO09I8JBxlTFuC4a9IE7gSEb7IjrR3c2+cQXFH3F0UpUsW3jqLxT/QSzxG0VIcRl3jClpuGhgtXc
WS3OL41cxoGXdi/CsjrUacghsua0UuAbd+oT5jfAKZOYiOPymnpVhbQ1xeCqZ77XvGsBhCyDClk8
2nPf2suJJQPIEBY0bubKfp+siqIXHrhPzoY2rTWdxfLBm5bFMu2XFnJqB/anozCKrAbPM/YJMwS2
N/olT3JM3ed2IjqtTqbiKkMicMvg0z0qy7YfhAyBsitpRFhoDWcg1Clr/BewzgWFjJHro2CHEzzb
IqadpmjadZKgkFVC1hgpkWhcPxzt2A+Ql8RjIJLyM3U1eKvWb/IbXWELW9VVIrDW+k76XhlSHINx
Gg+CychdTPpBiDHCaNh3CvV9ch33RuIS/5G5ZKhBng5vCB11njvD7jkdg4F5TXB9nMB28v/1QLrN
KjM4MK3HHICpXxbyzi+kV66BbZmvTRlah6FuEY01XrSoWQO6EV7VhNhgkawj0NotYuFH0fjtZ6Gt
4pEhUvCUhzkoHd79rdFw5QF16PSoqCQPk47np2Aqomec4LyasDrbF6s21CtdYOd7hqGE5J8ZCYEd
w4ptKOFnu3e3mkfkVBqOw5ZSJNvcncZPa0Y4ZtC3WWtCOfCpeA6u+0rbj4bMo6ONpOqqHgZ4l+Zi
xXObAmmdF58UbeYls7MtSfWpg9eZJgsvQJFVLx7BL6eZWpuies7qfUoBiDY0b4iY6OU9m5f+6HVX
AC2qxZ5hg2GvpKzDLWUe+WCp8T2m3UO8OzIKejcCwK8ZQo0L0+QaHQfue5Z9TE5FmZ8Zl7Wc8kL6
XTLOKEq0lZd3MLtr9GZT5nFxJE1IB7jwldUO2dEZJo/g0Kg9xU5RvicUaaQCmC0YkgSDL2hfL87u
G38QghDtvLhiwfAAasXcOauc6mLPMXm01r1VcYoucplAn48zUn1myBBvZlIP32hYD2chgupO9m7x
Iasug2GgkRtCJv70HeldEUhZXoaOCzDNMnv7E7xD8YGkb3CAIBTdi0Z68pwQ/eOuMtutFaE3FVgb
4oydYIXJRB14VH2UgrZz38gKQLhXkIYE76kRt0bdOo+hm+fvOqwfTZ+uqG6oSPqphDmDi9nEgSOr
9IzQcnoFcB2565reKTKxmSQUl9b7fGha2noS/WO+4xjARe6QZKeISctZnJKocnLwWaZg3jAG8fWE
kBg+FVNX1ohQe9hHo/YiSti/Nin9it0wVzw6OU76DJ01mw1uNgbRkMfFFfK3kbGV7qxr0bk07Fy4
XGup3PC1q8sg3UCMe3bMqUyWxOvo2Od1cRtxo7yd4zXOQ8OAcNqi5MQG5g5Oj74vn96SUA80V7LS
xRbnwpRdMzGGi8vTnDT7wGTPBIzQjGrt+lp976ArQX+n5L8IA3t4UO2ys/lq2IdYiCBZaNM/he70
o67hwDE5HsYVR2veE2okvgHDBNNS66Jiy6WPPTLHcV/CbM7ea/SjtCxbSfr6hFTENC9lSwuTvcBB
9I6K0Ik2Lh3sn7YMBh42/+LebPse6eDkmBqbq42HoTNdaLlgzxd/hpm8BVD9jpiEpbUG3yDMjStE
jK82qN7qyQXaM0IwWPWMbqaLNDUAeA+tep4rpg4MMTi8wRPP00OdpfZ7krXiYqodzQF3nsz9tAT0
2mmv1lnSTjuVMQTikdTHIewYlLkM0844UUa4Yk7HbtIEzRJrCFOttIz6KXGjhYtKNVFE5afdm/6F
NBz/lKC2OqP8NTBoOpzWprqpr6apMzbMajnjT+nOUeD5gEiYGKLjIoIl35SflYf6eeVnSYy1W95k
zH33FgbD+ygHKQGQ0hgPSQ6AbsfcPtrpxnmVEKluDZU4b4aitYOX8XKyzOK9k3ayEMkycZiHwqf5
61TPeCyAjoWFeU0gvHEbwij7CyHGIn/4veTFFw4qKDZuCzCws8gnflEsRKlwyzICOMGZnuEpJ+Yz
dPvoJmtLKAjMZsUNNqbkQfQwmf7Cte/8kVwCCQpTUHKbEN580ffMlqG82B+9/YQh5QZzVH3o64Yp
AkD3vT2MAt14xNZaCETJw8yWUnddviv71IQk3rylZYNx3COMAGwi9gDNgEmPijQkynjmzZZ51uFg
05bJlQu2IsfYXyunOJGpOl+1TXzdWD2jCklv0Eapla07iHesK1TA7PVAfYsutfb5mBqw2sgOVgFr
WVeDAxSDvB87DgdymMxzFau3RGMUNty+xVzIgp8U2i0w9S9SqdH7q1Bfa3HCfLlvPj1bh+BVi+6g
u1zaX+5bzqPE5XOo1tFQcm4QZ8cZgQd0yXTUJpKlAebzZPvM3c2pmy7ippt2fralClg0BsOCyw59
d42NUHurLldbDCr9URDhuC5G42JEybz1MuTRsZ1Ay0/wTvyFXOYPlDlYBxB9evwTfc6inPvlK8Ts
JWXv1/5e1GXCEQdzU4bdfYwuZqO9NcdebXo25zUZt9HJFKL7YOLVHWuxqPVouEl8j7xiC+dHo9v4
89/u32V70JYcwrng5PooU79c35AenjJJf9mTYMUaOsK1vBQEwfzFx5hLzuLX++g7KB55BVjazS+f
UzIwdpqg9PeMP8nq6S3XOBBu0G3GMVM/LA7wrJEprALoNpug69VtTBE6bmiMpxdodvybbPJSZDO8
LKXU+Q0+DzDkaTAbWycW92WbNo9/fmnMr9eG9VqYUgKEQtZL7+eLTLMiroWGBM9e31gsCrOl5Rpw
zAjSPl0MHJHz6Kc3hYiLFwTl5D3nAE2iPotOkzOpDWKG6V1iAvhHlPjf0l//sbL6d+Lr/5lE+38X
iIyHdBES/2ed9uYji+JfFdqMUP/5h/4h0nZdmNLL6wgXlOxd/vdfIm1X/UZDZIF/mQCnsfgA/vqX
SNv7zUNFy9thIgoVyuIVb4qujf77vyzvNwcZnO8vgnuTn/i3RNr+17VCeOwQBPmhuWOX4rj0da2Q
Zc6vV+3jOpqnVTUgo+v6cHiO+ra/scfhvjNq4xYvAzCCCKrQxQRKnQmBSZCRxA78ktOSfa2rIj4G
qd9tif2Ra6bJzIWdFuxTFstvo4IdxY+PVk0ylOcwzrOPRAHG6Bq1GWbf2FZJm24UEalnwK/BPaKX
ggQ4s3kCEpG/Fp5KNziROYwFaXqeCnmbFiTQZCb5xYgZhkc7UWIrGGahF/AhdKRtcVcU/jM5Tcz+
BzrDhICMW2XgYYf8jp7NstCUNSXwxqm6E7kd4ZZGyGaXrQ9/1GCu1LU4o6BMbJuQmj+kab3CxCcP
cZBW+1b4w5M1AQQCgpV9+kGpL7GLRD88leOqmfA1dnR57pPOyvdJECA8dZTtb0iZcGPwyuS4rRBl
m99TAmvWyqHpKSoPWaw5orpizFjk6wbP83dsb2zUGWtqjNijFy+F6fqQhkgIXXmhWdOc6eWVbPuf
xA2yqTwja8BdmBwCbG8ue1qIBSqhnw/5/18S7qfy47//6/U9j6HPNm0dv7W/vt34GQQVw39eD86d
Tl5//MEf+edqAEYeqprNG0yAruLV/n+rgc0rL+k5IiRzqXl/sWzY1m8Ln9D13WVD/91i4OPYsAhf
kLZ0SYsXf28x+Pm2/7ppMohW0iJ2mpJ1qVqXovaXyiEMQ5zW2qI3TKrZoTbT7pUpOQMrzw7OoLea
i6ECgpkZTnEBuS9ayVyHx3r0kgvSHmDkSskDCN733SeGcA2P09ixO2NMH5Lxwkh1RK8cJFMtZXBy
cpoV4Ti/Mr05M2va2B2wATXmF4YBOX3wPXflFkG3qv342p6QL5Li9EgA1nvgEB+EWO5Es7/aW3lm
AmYCfLirmKUQcenF2zhxzYdMxjgtqjTKTqhn9RUGqPlGm27+Rl6mQNLBGrSgFw983nBT+qRRW4tt
ZVUqJ3y06Oaua6Mv187UYTiFEwVnp8sQkPGpQW6H+QrwQ0mEJgWeUxXhk5M3w9HQhb1xFYq5Suco
udLilWlCe0pMojcGMLU3EJm8fRHJ0ab/UnA4R6LcnSMMugcD1t1FEQ7dLf05iexEW0SRtIn1MKHP
COtxvIthgV83kUPXO+iLvZG7Z4t8jYeWRv1HRZrlcwxf7xvpj/QrhOefY6+yYb4W2N9VEN/1SW4d
fWt6TNy+OtMRQ9uTVvKIkxQ0OdyNyz7y9OMQjGIfC2EjJQpjLMMQ5KoqeR2qEnQTwC1iU2PThEM7
uP2d4yewqMvoI4BAvSadBEx0p6pnFU+E9TpT+abm4HNKJm/euP74BKflkEby1HVWuo1L0/zWL4gG
suLTc+IO/rOjxvKSFgCUwpwma9dxsHZSwRaQIjNnI4nkNX0RZhD/l70zaW5cabPzf/EeXyAxJICF
NwQ4iJQoUVJpqA1CVwPmMTElfn0/rP7Cvt0dbru9c4R3FXGrdCWKTLx53nOes7Y+iz4iQZ+tO3b7
1k+qG3AGzGppPx8r04nPc8meD9cWvQPCF5TjGdZdp73vuD8J6418BQ8PEQRPisI5oHBKRWtce1Ta
kCjZslRLQCMabb3SWFpVD7THFucgXekdMlaNi7IU94RCIOixAmLrtgLA13ReJ+Z0vYN2NLKxTg1t
j+zPKPgFYSezgjuKgzi906ZV6JKxHY31NKAryp9xdvzzMBKr7Kwu2MmBhpG0gWUyMAGfZeBR5UAU
OCiQWbLMw3Ome+85IJ++a8uq/JApaAepMi7KrjRiTI+J2OY9MkC3ooesNSLUoscmNLTZRXJszK2z
YnlJMt3RxN7og9WN3r7MsdJWq3fP83Jf2fioPZ4nd7EfO5ELN9kdWNrrpd2v0CJbnnp9Dg+YxWg4
W81fbqr3tLlkp8RdsFiNZnFpF4l/yFAohDxLuQI7O0kSdw/utz4RvfHfi4wMEUyyerqIrJsf8e+/
w0qmIjuBLK5uVe195lMtH9a48A+wiJxdj/Oaw+f6FWF62OEskP/a9ZGF6CMZJyoXy36Iui7WTwlw
aWgfBYV9ZHZh3VRftgumMVuZDAAeh2KU4IJlO76mzWzBHCKL3hf0eXpNDq1O1+JkkjY/ot47W3pZ
ve/BL2AyNtK+60ebD5PpiW2ceQF6PnxVcIIWhweFh2qaUB3dZt3xPq4xSem53uRru7wmVexT7JCz
LimU2lnwTI6LZ2ShV0xqPzVcO4vGRXcRSskbAPPE48d4ffCT1d0lnq02sZ14FDvoBdmM37YuXDb0
a03ow0iHfRFgiTBirszUQTl7awTqfB1F/mpzqO387UbfDr0pwsoclqPJ1udV18ASpqZob8EvT0ez
W+pjXc7UyVdB/RckwuE0s6BhcVyYj3zI23STge/blHOHjRsPqv1LZo1nhYMmhlzAL6MdzUn9s0o4
+GAm+PYunzAFL7jLWf9Xv2wc9lsouHtqyTTUJ3XAuQgbo6jdNxg0F8pkzzrjJ4/p+54ytiqTxnG9
+jJ/65NqRQTzARJBJNk1DSyGuC8DjSHIddnXpQo/6cjnfwA7rzJsxUPtsgP0ym1hjuUmTQIQSvFE
HNm7HXOXBkaoeiSvnFO+klBgan6q12k5ucyhDtkAZ3jiEptF1Th/Fb5dHGac5VEcT3cA8y+5jVO8
yIEIIvn1YQY5j+UR/iibGs297XKCQ09aQ+KK3XYEg/sdJMMlnbxfuWT4hNxnwzcvWv3W5hwbcC+r
3D1M2JBCtdLZYQ5mpMq4ZwS9+jbNWP/OGA8fTclEzFcnzoXzYqItAMcue7hnJKqzVSXbxlCwrog5
bxXkyI1bxga+K5Xe9oaJCRUkyY2XS1Iz/OSvbhXY7wpsZpR1EL54SrAgjdunpDT6ve7G2A3FNIHG
qghYvC2rl5w6ZLd7j5LsUwM79rsKHPIr7nJ9DOL6K4uq3ikXDZsrbgCZBhWsWsatNMe30ZrOcV6d
xjlfz6JK7mjmBVLBJyWM2b8TaKDiyaRsj0N1EebR6DpWTra6tQHdVAsWRgtpeoMXhiRlvu+5N+Gn
oZoYywKgdbEON30FxXvxWwrm2RHwt76FImGDhbjgVSyV1T/Zydzdtv63t9jzT+bp+AzZFJZV7Fon
F3tQzS49G2REqdPwAaS5/85X049abD0PokiZtLVcOh5v+bQ+V7U/PNOuaxOR0EUFLLfMugu9Jbiv
Wre/M9BeIneoehfGmjZfOHqugPp4IfwClnG2NBcVC+TXSj1fNM59HmrCck9GkS43la/Xai8TTWWb
narnNr36fTv/3jfckeJE33ghiLZSncCIkpjtN+y25bmtvDI0FGHJ0YFtu7HtKriAu31ZvOmhQahn
X5Seh6yHB+BfwTbjmxh6XIkgku26sC9ITs01KIRHGC/RXQ2+Mdtqs/TecleV7Easm8QtPvPUIQGa
kFPKTmD0Dqzex2ier5jU1WHJxSer4T4F8rlU+bbJ3WvcD1M0FgNtmI+FmX7yQHuZ++lLuc6+W2Yg
jEnS7RKQt6HMceG5ehU8d5nC4nSLTdyLcrnquxYTTBjjlIxs7XTn2E13Jbu+NJoXBMwgdcYzTTWI
+W03Y7BQeQvKzLSfOX79W40V5FpsZDhbRvga7DNTp5OesXZlQFuUEWXUxh26VZkXpjj91OTlunOm
2X2AjsEknH85CQNstTjjaeQXHXbleCdz1dBCBG5eYfXbuMqCWgnl+Rhb9PxRBbQcbGMyw6Y3PnIt
2wMOtvJ29jWP6LiTW1pFWN0qHPPNmrq3dNOKB8bv7uh7k3Vomzkh+Z+fKmPp3smpeS/USvsRlJ8U
Sq0GfsFqxX8ErtHeB7EQV4f1h1/WfL9BfyU2EFuCU3iDsqqv9823TvYf3dS4UUY4GWgFRvQBi3ps
CuPVzSr/ra6uXpQuBa4Hf6mSbYJ5Umcoxbx039DM6DTJhLzMWpObyGuTAvCKqIjsivIwdN2Bq4U8
gPCTvKhVchtjq3yAFoZ9pCkj+1rb3qZDd0uYpX+HZiKiwu1QUnvZGRw8dhpaM2gDEXc97x16B8jo
xeGME38nvSIIsbW7GIbG+Fet0+5CK4cfEbSIH+nats+SwsQbZrD5sbHK+hWEj/rjJ93AhNWPloFf
b0IH/GpAFOEDlvVP0LbxfsG/wAaXCZrlknNrCcr+qPmrq4/MylJqga/Vd2L2rRNLiOwpwTGesTnr
shdlljwyylZFGFOTs4BWt2e5Y56Fp/lcEzjayFSpm5hqxIPpgcWpnVXQg+pZ0WzM1ZfTjcHZgPvw
ojHaUzUBUUTao3oPVJc8Fl1ePjXwkI5s4DF/5iKbeOnZS7XcBLZ8YsgaquvDtU4vKnd2+HYx54EA
exkhph9gBM4kIaY4lHNXnx010Kdtut52jePvuZ57GJrY43d1qRndFlgudPb672Lpbfh4lf04r1Jt
l0F0p0TlkvlTsq4eXPc3V9Zuu1ZJ8N0OsRUFXABvUhb89zLJsvMk0uzgOgMDuVN3x4boM08Nh4BT
3fkitLKHwpjrLW3ZoIdoTzpmhnABNgX52Vr7+8pMacteXHYR3lAd/bUY8JVbwc3gUfOAA6n44Qft
tnHQeifq0unoKAdwsnOpf3D6fg74FEna9UnYzn4SiX4RsLcF69Qp4fws6/gUp8mZUAOTowjuLDiV
EbQFrE+0or5mBnHLeS3JXUC1B9rv3V3LuNiC4M42K4rkUc9P10s+e/D6u5vbvetXwanBTUOII8VR
QdjzJU0BbW685VpMxGcOtDOOdtlB4B/HHmc5I1jY4Vr9BbBOxNzlppfEdOXG6MynXCfxzol31OEC
POiKY1xNl3yWkZfMHC6akZzmayMR+gyMvdsNsBA3tl7uc0f9dQ00XK26+ZmO9jUiKqOibug87tzS
2ferIHddmHUbujZv1JLiyqHPJYScFISleU44P7cUkprX2SDbNZ1hbKfWsLbc8+KDn1clfcZZf5mu
+RQzJfAyEejZQkWuDjwp8qOY2nrTTZV/j6XV2SvahsPaTe4mMjnY1XuTxNkyinlTWhztFPJYViSa
WGF9CaxXy2J4IhkCUQ3OcdmUmHlaXFwMvoe0uS18wM5jMs23FUdhgetmmZ6Um9fvFW4JcJwQvD/7
uF5hi6ce1ACgUGj8tJRcql4A2nFI4VU3dAT4NMWneGgA5E3npirqcz7k4jdPwP7cGiXX3LTnGwfE
6VPnKJYkFAZ0WupaXrArO9tu4t6yYRvL/RQrEvujvhB7dh/D3msT+QgfniDNIEfCSkia9uI4e7Dy
/SeJuQCPVjpm74iYw+dSkU1TYGcw3XF48tIEp7gTzc3AN3kILHiKk3RwLDVqiPgCzht36fmF8GL1
NHSzcy48q9kTSQKVCGDo3uZ3erEqi2+GNfVLYs3fbZlbW25CUHDJpt5rwZ/GBbc9i7IJ3cCFZqRq
Q9zztBVbjDBYD2Pc6Vobt0ZuEuIpnWTnMVhsAtEZVPuJAGx05qLxrHB+zmYbeE9euRjboIJAh0hS
YYw0t1a/UsGTuJxYdFEfpMaFQGq4D4OheV5k8dG3M9blzMCvnH0VhZPfeB3EMJrYQ7xNXbsB2KW4
/Ph8hj1b6Lsx0L+brjaOGAvT/wsUzf/BKuT/pSWHxHv1nymap4++pmaz+Pi7qIlAcf1X/xQ1/X+4
riXxvcn/sciYv9Xw3/+b5/wDIRPChM0akTKNv4magj0GZSwwCX2+lPd3Do2AQ+NZ6C38F5pXyNb9
Vzg0/2ER6LJKgVZqS5aAsAqu//1vmqZUrtF6QzBsXXV1Uul7cLs/FDLuJlYORjxcOGZ/iFH2/5sl
vO/9+3WeROK1hMv6XaJ7Wn+KX/72f05SF0wzhCQw00GPMOYRBnAcnkWzi8HpxjKBz26wnkL38zJj
fVxUu5Q35ZSu50xggqCgRi8hLMaFskiOtbfG180Ji7pF7jPTGHKSxOVTZirtPzhlt6jNaILzst0Y
uCDB6v1KDcbRSAa5S1TQrpua/kcKEhKyCLK/n5NSRlBCPnMTztVYkP2EpRgOBtQMr6tRICtO/sRk
bWKZpyFdEA6WPuegEqwzloXCbNEYzKOJKM6eMnpvMy75fLb9/DkBI7huECXUngVNddFusy3a/Da3
c3VXtLwUC3ZWsF14QOhrKzL+8ayzAhhzN33S2+L8GjxFf4YayS2jqPS3LGG5dKInbuDm0zVFcB5M
7eDmEJaB+GazCB6lOwFIXlNCe2WzF7M1XjS26ShucApTn2BzrwdkvNMrlxA0ZMO/nw01/MQLzV8b
yscZCZJ8CL6Gln3PVs/SQHQNTGpCV8UfLd5jUQzl7lHh9sZ95uiiJkSX5D05Iu5s0ADSk2Wb82l2
jZrbJsRPm/zTGbXJuTc5YNOtVWj3AWacx95HmbeZwow3tkv9sCS4bcIVJ1W9WTtvOEqvQsdhAq33
jTMutxPG8x31z3WY84jY5dmwnvA5t7+YkD3aulsF7o+9IgG3Bb+1NRi+sfEKKHj7EZRC8wCRu8k3
qYOfjvfBOGC1q7sqdFQbULLXjHSr4inCyJia60tVWmbRU5KQ0PxhaUHSuC19fc/fm7uNNdfi2zU8
lyTPOBEKdIfgIZUzrlITlK4bjr3MQ1cYw82IW5a0Yt3kE+A+LlQbxYJk7/D4baMmYbZ19eRRk8IN
KI7kRF95vAy+v6HJLqdIwGv1TVyRcoY54LZ345gOv2FY8EaCo/6WmHRJxrDEP3llskdV1MG9V7jY
gTtdajI2zpi+Ud6CDzgbs2RnUePm8BwU04O0rtiS1UrFAfQwuDxNWOA3wz73FRpOlzB2pjIGBAdN
Mkp5uGytbLF2uSr1k9Ws9mMt/KKLZmENK0s94IJMKNPy2dFJBho7mdvLFIvgt/Kb9LXPePW2jt83
d0FZEnb0g0S+TAOKF9Z9rNmjnS0fFd2Vv7jO0D9h1b38wB7fQav02EgKxFI3lGXeE4MWnfg2ULOe
0qGtXiY3jy9ysb23erxGOjFyA2dAiTOfE2STEbV1IgA61m711MiOtIweSXnjqGpJA+TA4iJlU7i7
y2Ax5LzupYHfffEs9qlS0qJiWv4euxUidwpXdDPBV6F+lHFknyKzP/bz1IFWTszytBYFT+KG6WDa
FF6VEE0rZ2jprVaU7xV+8ZLrKz+aNFrODgYzz6dp9jXzDiGjw9oZWKcxRnmak9C6NnFn/DxyrBD9
KYfPH4yqTB+A96HT9eC2CuqRxHzJGt9+4VdK0qMlYL6RfivhOMv+KUHNixx4BFuWaNWlJJ+1XVsF
mL1FrnnDbUar0sIx9D7Dz/3NYc5v1G9rg221J3BgOH5lYE6fEnJdydKSRzD8arlunGZs08PCd2q0
w3FMJAVHfIcBfHCqRupwimM8koWxTiDXWVKXZo/uRydBjmg7BWxATDZx79mgWDRhs4NPzDW7ZvWl
zfwODP/4YOAqxnO9uGyD6Vz1tzG83re5WtuvLllpQa9SVMVNRo8OrR7wcBF9ynR12dj1OrkRNFOw
RKNO4FwBDU0fGjOZ0y18KPvYTDJJ96q0h+CoyVbhnB0Fny62K5mMHNrNP+YYryd1weTOASPW8U7V
qs02s/KcnWNz9YzmdmW3DkCeHiXeOD1iX1MgVjsN7T0wls0g6uIG7qvULtlPH/cL6I/eH2971Vb8
E389Bjkrttby4zveSf1vbzII2ha99zLmfXWcYIuf1tzkIDaVLA8y1TxBi3rUr5UvOPRA2c5nZyj8
elsVnNRrXUiykgVUD0yvjvfVEKB7Ap+JT419LE3XrYmbxhu9/kePU3rppd2mYVbnw3Ziq09oiO4g
flBICklTvdb0PR6TwieNnXs8dhJZJgXF1+upsmoTY9qoTtgj7a3Nd44tmkvVnMYb7GOu3qwMUn/R
XFSeHZqxyOPOcZMigF37t63W9cwD9iT2dACH4w8z0R58OgQXfdtIDUHIl1P6auLJ5hftlxlZLTRM
4BqCnw1Ps36zV/z/HL/tw9ITwkvMRb83PJ9vpZXA5PZpvn3Hpx3YrA9Wj3IhU64J5ZCQV0NrFLS7
qiuPEx6r2f+eRwiorGwRY5fYejA95X7beqZMI87WXy4fpM+AfZITDiaLnKUp95aTYTv1myEmmF0O
/deacYEO3Q7XehgEBho9vzTrkqFi4McgsDiaVlGC0Zm8d3dM05+1QEWkwbUDCSPKAsrCCEOuR4hb
FkI86+JcFycJ5mgtSAfxdMkusBXThWML58qyscYeRmsztMZgIpQV3j2KeNOFtG07y03p1SQiDbt3
ItVTm77YpeJDoDGeKSP/6KwgPjdT84rDOKWYgLBHSnEOtHaFq5TBgNqdccB7eNKpI58owUznsNNu
KekncPJdmy6UAFW8EmyhKNgbsbajA1j+Z2cN9qmGbUTXtCcSihSaQGFgNOTt6Ih3rB/dr2Kxnb98
EoLlgVajJtkGpDG7jbAYEjYUdAw/Phga8M2jR70ovl//0bQl9/6R+AX6RZHEcD8wS/LpZHeOJD7b
CDb+dO1EN9mkEnUZF6NBjXSc13noeEdVoq4ZhK6rUMfksdeXpqJCe/V5XPKAFz99EZMOFKAvAIzW
yBvG6Cz3MsuUFZm6mljfaFRl6mpQWuBt6WPWZQbx8X70ocw7V55D7189c8Xw2+4mqKb0kRq/E4M1
WWgrnX/AkuIUCKwKQ71YDfFE9MRxDsnUMps4Yp1/zQUtuaE2lK1udIy/asNbYI7DIkf3uNO2aT+a
dbn6u3KWc7nJ1pL+stGmN2+QlvfFRb9HIoivG6oy6ruW0Pgg5M6dnPQVsYyIEw3rxNTiVEBTwqc+
mRoyO35S4hw10czNIIxPLZL23XShpSM9UWYExAUcPIgqv9o5GUk+FWdUF6wt/zMyH/fUKWBokG4a
VTbuV4MW+Aoo/iEJ3CXfaBgsl7xFK5lZDuws1ZdbDzYuj9wpftCx6+LEH/115/fVJy044pV3og0F
EJG8n1jmglfzggdv7Ht6z5YZcDKVf4+r0FmzNQcyRAbb6TtrnHn9+FC80KvCcVXaNmh7X+X6lXJD
9ax6NI0oW91FR6NMlMDG2o4/AdPgp4NnVW4aX6VVSBeDSTk6t5sf21csslYjTZ+dFqWCfJPl3MGG
1uwu/mR4LN6FeCHmOo3EqNmeGFRbtGtXPc0rh8qmreN2jIxKe9kmrpOUoXIYFuswOvbiE0df9JGm
HqicRGXpXdU8acFg4SZ3HW2nPMbqrjxXTPNVVKz5ZN64fdmjbsrsqS06draaBfFKs8VmBf2LntDR
5jZbJF0aEMN00XXjbG7KWhrHoownnvc6YyHkpTJ4bmIKKzZ2rJkEeVCWHWtUUMS0YHZktpOVbfom
a+kGiJC3eGk9p/klhgq3dGYWcjsWrXlaMNdOWxgOAeAhdiGvevSpvamMMf0uvISKoM4jg76pEZhB
SUsT+m/ClvzFHMFfzIqEIBu65oBovqBPZ3xGa27GhAfpGPjInSYxd1xj3ftZX9sibKMuKfNJoPtS
EcJ4GNQBEI629n0KvubY4XBwBIIfmMfuQh8JKOsBKRYQQLYyYGPpS0Ll9MSVPRLop9LvB9jPFIw9
e8BjACaU3yR5FpJ6i59iDhe0jBMsMHLoXTIRhIHYyTTDxAgJszHwj2wGzGPc17zhYj75N0Pu9g/K
Ttpi4xQ4VRDlueZNS5vvM8sxb1Bd3TY0mvxLegq0AaY4ceKW7F4kFWzCXzGPd81NhdZ3XtLiV7rK
Khq4fG0be97j0S73WWMMkSUSi2WZvFd8AO4zI/a3WsKNw+thcm9g/OibSaWgE4ZiO8Iz2WA0JxA9
lhQBTbAGChsCWN2J+jKjRj/QRd9Eg2BqJJitAcPuuWeXt00Nrg20DmEajXlQg8iEbUdetm7Kw8iD
LcyZLxNVzA+0b5svYHUsqh9h3lI0ol5ZLo8hLcfycZIswClO0Tu3hiOUGssckV2VB3rKgpvYwz3D
fGKh3lIsbkZB3GUnIQqMPH3mr3RxlfU59ZvgSO5+dsIGfhNmS7/+pthq3/mm+mmJsD4kE1aSYaqD
98aY/CNFsfab1bFs93mAhh4v0NiXxNoHWj1xO2Vx6m75ioXxsEqbVPZit5SVTKlqn6t+MPGDxGwE
50CLZ5v07amMa0pmqfo+eDKdftF8VvyOR5omQZJr42cavVr9xlRUUYpsZpO1q2PfxEuRAwTgJLUW
GgSdxLzJQBh9GWwZb1luMllOlG8IlGlwlRuB5j7vKA8iigrmlSJZh6YM4XeUl7jzxB3nukcLR2DZ
MddMJoWouD4zW7/NXHyc5KMoWMfuETEjqSPkHI6dgW/tfYC+NUXLmMUmbnCDNwWJBnC8Lsl8Z9eA
GV9Cq1EIqq032nTc0ElBV9Usvls3s+LIsYJCR77yg5uAAtMAdtOsktCuU4bo2S7lt5/YJfy8KT2p
+WpdyFmQh6aZMpiOIpef0NOp3KExK7sgCzSHYbTtR+od2cEmvsmRGPtEapMY61HYtgoTQkZ4z91n
WczlPC/rydqQ3TdviUu1BzZvTE+Dn/Z615Ck/xw0su7+/zs+6yEDNPCfOz4dyhcwaf6vHZ93H+lH
/6Ho9Pg3Cuk//92/KqS++Q/4pYidMsBeY3pXq/c/FVKLMmn8CPj+6ZO5er3/pwnc+ofJWciJYOP3
RgbkH/3TBC7cf0iuSkCJ6YzGB07E479A6hYmpvF/l5YAWeswsdk2LnVEV76Lv4uk1qj9ZbCMZauH
FnCHRLePlkmxj1pT5ycphoADrCLuFC2kSXqcx9fHjvjzBDJwK219VujcypTbvFU4xIPzxMnC36iV
9Wl3UlxHDvvGWxyef/2fZ2H557kYG3nZXlyqr18Nh2XBk6mdubl0Vl2qKEPg4hZJ3S19Z7VkjUg6
tu+jPG0DfzMQDOYiNjGFsWK2eJ7/60hJ9yrSWuPWyQM9N+JH5I2zzRdpcYkvxuCmu04MFvlfgF7F
OlWRSGfH5RItuuJ+Zt1wa/4ZQ9zrRCJqPITDgLgd9W4zxef4zxBT+zz8H5nd3zB7EJ+bDZMJqPMs
7mhzLOnMylJ8fuvSOzmLPFso8tXXscridtxHPJNYzHZJzkTl03e16/9MZdrqcW3MU57l98o2EdZQ
m35BdLBvDdPWyW6lP6o8GH4yF8d+aaFTMcGR4JSkGNqNVlQLbWBiOxdrEAVHh+mM1812Gg3X0XS+
DqleqZpb0fvphb1j+66Yc91+YOJVS3GllwY0tchgVkDERulvAix8r3w1FOQp6R9iaDKw9cqWqXv9
M4EzyziPheZaeVf/mdEl4OFgg/zI7A6ZBx/U3EgG+1ia7nrnDF5vEKvkMkc8ETPwoUfCfu39FRrN
CIBpukN00LQH/rlx+PQ4PdTLIuYw82NV3/rmgHw4BSUSaTO14oDqyF1GIR0HN6aDDefEpYRLCHzL
kdIP6I4Ha/GHq9eigbCUrBZ/Hv5coEDLZfEObNtUEjhvFIVpVWCJbeq1En9i0i7Uaac0R+XXi1p7
vbJV6dU3nPT9V6NisRx516HhA6vm8jf1zLSEp+AXpr0Jo7CkKAPLpXcloBrcytCNYnnMcxPzXSBG
GrDE6FfbdEkUugn8JB3qPmmOmCMwE2VtX+DMyxAoMu/BQ9X4pRSVd+EQd8ZNMor06M8zQroSVfvq
Q9N5ZNxUv1cqOU+BWxymxqLGr+B/bT3FhATgEpTZYD2DLkIJoCieW/Jotvopq+31C0bmegevmkId
oIypuO/HBDUCW5g1by1MttNhNRMoQDl1WIfFaVDJSA9W74OxdvdB7mEl7YOWfrHYDAq8pa7tPHc6
bYn0kRIkE0E79LAFVeLeOpRjuVFL2Qw9PZol9Wm0ORPAN1TOXd+yO43mtNFkRvMq+z0EeF+3noYn
Rv0G1kQmA0wdDR6UDe0I8YuxlvF+9aj5rpaGGlc6MTdln2a7JHaWV0gmVdip3KcZoOurd10mfG5a
WM/3qMk9/c0VZnaznJ7hWOQpsji8ehx1C4Fxx35AY2Tic2DkHMYJ3xK9hWW1yYFyVIfO7JxfoirU
SemZElYamoLtOgxsV4sl87hg2Nzt9oHu5h338/SvhaYmTBrg/ohlmAImBJmv54zg0A0TAgkPB/aM
sUFFt0l2e7L8at20P9o9cHhWJf76wjak/sQsMAX0pdhLsoeQS1y94pbB0DtPWxwM8zntGgM2lIUY
MWGrmZ/aOYuRbhnCnShlfFBop1XHIG/F7XGSbTnuF20LCxagSeoaB6BEWI15r4au2SlISBofMP1b
YcCq6rdIYq/+5efKMPFW8UHZBEhvUUzLiHtNJUv/szLoWibgb+/dniaAOn1dM8P8axhLGictaAQo
Bf0uGNMuShU6B0d4Rf0Z6iyV2knWHdiNIKApvFgc+wWu207roH7GKW8T6XHadTs52HoqPGPPdOZd
RWJr9qYtgG06jEpK9y5ELSlhRnJiPPI91zFOZDvzD8AlzXRIMnMs7hw7Ximd4sgBB2BX2xasJ/SE
sR8f4qxInrmK1GU0JQs16Mqmnz2CG8w7MXBrmp/R6edfgV6RiTA9ZQCGeOUz5GVHXsrlWpbFAgKr
cQZ8G+CFvs5plpu2j1lnwfHhbEANZPDFdZky71s3mc/GiJcik1vwDNiZhJfR6TNkwJ1iZzWQw9kc
LkvTZuHEfKAOEMH7eDd0bnCoiUt/SfC1r/XYNxdjGjJqdbts/Swco6Sh2nMt5Ch6IBo6jGEuhNOY
r7jhnaI4KLdkTZBhAcdSKVfL2UD45UWoLXiCM9idB0WBFwNCb9sffsctKvTpxnzWyAV3jdnODnyc
pcAuW6BNBSPlIJhzkuq8yCZ7tP10eqGALjgWOgmgpBnsO3NqrNhB+KyH7grqsZ8n/JR9NOfc8TdJ
gW5zWLAifnsz1AziFuIMKxCVpDFmJPtmLdhC1XOyNpGPNL4RGeiwe4dhWx8gDbfBg0Y/nTbG7KV3
SIDBu3S1eyEYeursPFuwxlWPYxVww6JxNo1iLnl7m0MuipPJOOQZ13/0s7/ytpzCrOXMtKg1sn+7
PVpsmFg0Aw7ZaP+gFMes1BZiHsYqSPl2U3FjLjNkmesDAJBk/qSdHIfcPOZUxfdVHk6LlT0aXe0d
ReeZ1n6yEV6qRBJ/Z72zIV2XZCGe9RR5iV3QxulSK/Q6F93Si1cMsGsMzCXhRumUKO2/UzEk0LwK
uEFNuh6WyiTu3wboiNQWstMt+ab3edLMeFpYVu3hCc0nI50TJzTlPGxrL9PeVuSZd546AxI1bo4v
Z5bpe6r0M8AVtEQrJ3YQelPf7LKldVg9SAgr0sPLgvhrX+/F9mqRhKkH+VdnpC1QY3jwxnHK8xvh
cH2xqKm6ONaK+7DIxDPM4Pa3K1LVnO28m34IDdczs0FhVfdySNlupPlsINtZK3lk7bcV+xEIyVyW
i+WvBMb6F67SbHpp2Ipke9mQ9u+wLFEfiX/O21oAPgJiRqgtt7i7eBmTJBg1Jq+4/bKTcuoYb6x0
uoGlz37SYJxDrAT6RYN1bU9PnelzT8wKAxkrUI190yyyWjESdo+Taovm6PbdpDc2sfaL9myWAfaa
3qGi0q3nakU0d+kH8OI8soZyqFAlHAraQi7TfEwYxIeHbO1T3LyJf6xhmx7iYLbvTcfBnFsNMxSg
hc1w3LSky80y4VnODPLVo5n9ckEzb6lwppi8QQHh4PVfDEzsgLg1IKYbnxhm/QEKNmj3HLTBs85y
52ucOjzRidPX9yP2wZeRKDS4Qz2Low085VZZDRbhskvEKyUX4kUyq10705N9UE7UizZVL6u9W0m6
vEyL9BJ1om0X2kXrfPKApG3Lkz4gRN+wX4dYfVh9F6fhMpVgVgC5tD+IdQRkMrc1NgIIiRG68cjA
gfm0fumSMXmemwKhgXKNdGMyLz6B/1tovKJ5z3pbZ6cLg24t58/BoS/NIYUWiRhOOTP5h1hWGcKC
eMoLS9wYls3Jj0MQp233L+ydx5bsyNldX4VLc/QCEIgAMNAkvc8sbyZYVbeq4L3H02vjkpSa1C/9
5JwcNrv65s0CIj5zzj5oQtROn4xuOsXsGMYNAr82uoR5J2ZhomZHC81i+bozWQvi0BA025x5dhcs
4SU7/gYUS7Gp7VIMx5bO+rEua/aCxB2bmLFiI1yZFld5MMbFfTXW/j3P/rSbOma4i9jhml9lU9ti
wwrhoEHbOupJLTamRlUQJta3pRTDomIevAUVkQF7KFdj8ALJKWAabcIEXaRFNRs5hW6cC1GCYusH
pqkRyestMYSlCnBupC7htzoEvK7u3uO2D8tNW7NegahqA8chIVMiaHeb+17zpq2P//W14LsFBTtU
8VIghM93oeZqCsabFZL7rgIRs0bRtLegYWR4iHBAuYtWpPZTLzqlr7LIMsQSBBIb3MSxB1SrXXDx
rbk5I16GKNradfGrjYOXbPIQRvvUy+lNhEH/bvIp1CrqA5wnDt83xB1R1FtLVMM77l92OSH+oCsy
Zv2RApcTNpo6ivW2Cg6eyIdv2H9gSkY72VcQzcId6gbrTNPgeIcyKszPKC/EChFaKlcUGYxfAjzJ
TLGJrX8fzFkHYxKxbfJb9HCPlIxVyGUAq2jHYErXvMxGuegJD/jk9VWnOobbsQgMndu9Q8m+84Ig
KVYdGPheL0FgML9Pr6ZOMbT2IHkaByA7ntrQEeti5SMYpauivVFECuJjgUplvsuGC2wJ2o7+lWEY
WPmxTUCYe4Dsx6fKqw30uY1wo01YZ8FXV1Zy3wWt8QaL2VnVgax2ccExP5nMMNFgK84afM/rCmLh
KpWOj/6OoGwgQqyIQPGYqn63tNK7+kTSbHFeBc8MFXEX+CQnxxsvStTdVDV5fSjJYsdkAtaVeamf
qTX7bnRGbe8zAe1MaClLGTC/dArHDZZ+E7pfoQvXU9T+U+C6FTr3CNZPjsaPR3eyN4x3AT+RnHAY
a2SdjlVmBIOGCL+7Ul8VlVLVmrs5SdYoyev7ykOeL6rWHldhFta/oiZQzcY13abCxZMlc8vefJHp
013RI+VstbBNxQDXfJ9LmjTkD6vp9VXC7+GH8fN0j6SqobIP1QktiGIL41sYV7z+jPz16NsuKwqA
N8W4LNNuF1vqV91S8MQKY1VoZmh5Aroks9S3JEZT8XZKvExT8MXjxgIyZdzYqvAr6UKMh55IV0no
8H1HVMgopS4W1sFDKms+UJcXN4dreBM2lf9OTQHfjcNPPVjxhz67lVA3SQr9TKzCUWZrw8rlPs70
4sErGn1bzYYiDk4sKLXYGmFmf7UINUhorKy9KOLdlDmsAVULMK0YimwTYZ18wA5Dwsjk6J8uvJ8j
c8P+g7khc0wPmuPGbUZ92CUzX3zNIdn/mlqFXzwj+ArNgXQODeZQBGcQtZJl12vlh4yVM64nVcrT
2Ipqlw/U9DGD420UFf2uYP/KY1LEt94R44XYFFlBcyGypUcy5jKUbabvMapjCHJUkEtppc7jKJXC
KwmsUNWZRU+MvLYvYn1lUsl/JxoWxKopf18mr6WLKAwSoWzPteIQbVSUR8tCYCreprnr75DUbMme
i7cZorWFwSyYGTLmqifK3RIBzVjDSvrdc7C3W5W1jH8cEbhslXKMg2M0vRF6oO6zHOkd8uCoRoZt
jfUi01vS6CXHJZObLfmw+970C5jCBuLo2ALKxb4EwJfMM4odLbU2AlMt+M5GnrqE/rS1rfK1r/Sj
bYwsXHVpy/vEtSDbpNVwl+gsbgY9SJ1lnMWvJajiV5KBSA1pq+rCKNtYWxmJ4oVklZQQqFbAd1tS
0chbUEq1ljZIw0I3F6UY250YbEDNfo9O2raOozQNCil3Yt2AMD9DN0eP3IXoMHzU21zGG6zvlHfK
T08cVLDrp8Z5yTTcvijgSnTOgjBP9i2PaKTcDmdwNzwqRb5CX+cMs0u3lVfHJ38YdLwaz32ikeLe
ViP5rBnwaeJoD9PkF+ZxMKKiWTNNY7Ub1G9a5OiPUpUNHibMNU9T51Lt+bF4KYdI39qgi/mtkpVQ
II0HW+Y3a7tG8HfAGEQZ0gegiKWU1DlTbH8OGf5Xjb/IkBvMC5op/e5G29tyPuT3JbEolEOedklE
iRTL61+aiIu1NdIMwWBQ5Fs5IPKPEnAVeWJfCukB92xoB5qFG9DeLLxehkdUcdne1ivnW2/EjShw
AKjsESjIvPGmQLGsBw2gmVEnGvaJjvmRhvx6iJq9GrBGL8Z8Us/KTOWbjLWlXiNX7Pw2PNplU2wB
5GLYJMYrRIYhx08gn+IJTZX+A70GA8jkylsLxiki7bpBh86W5Bx0eDD5bwU7si9+ldIw67Um6mFH
6T3+BEjyb3EtzR26i3Jd6Wkz3ukxvNCWXLLOaTAXzCwgKqlJ+iblsI2aKI5C9jkOTcudLlJ2vTIz
uPT+A5L4/lfWCoZu6IBX/v+bhXDKq4/0H3TX//vH/rpYcMUfFlZi5MVE+dnAXf66VXDNPzAIOcJC
WM32QBesDv6OlrH4CbTa/E/o0rAljIe/o2WMP0A8K+nqjmPws0r9W1sF/ow/E5gcaTF9I4QUj4Zh
SD74P+4UBhRHXCJcqFlnscmPs2Lby5JYo8i4iKp296HXEZiLhgdp0bdJsXH2ZfrfAb3Ia/wvPodJ
AQBK1mJuJWbi159k2ML1NTpDj60GSSw7HEJo1+JNPi1VSzzY0Sp3JVlBaXghNASZhmSJRw7MGY1F
sygr8diWNjgz7IzPE45APTuKaCgYR3OCeo2z6pV9LIgOWPQdww/Z3EEF2xoeSaOyoEjW26e+jk5Q
KelTsnWU1rchHq597B1MUTCeVxsci5AjSGeKEGNGMn5sQ1Gt2Z5/WJxaK91u1Uoqlud0/Jj2Bv6g
FUKRkfyW8LVmR4uvZxN74y7yxY1Oldnh3K/zxdZCNK9MExEucoJubFpFethTl6VcBnicR/Oca/lG
wYfonBctnu6p8B4ABh5qf9jRQx0yyONRzBTDLh+GQb7BAMZsPsA/sNgtWPA9Edrkzk5gi3LBZTPI
PyiI+zn+Lkd/12r9yUYu5zf2uZLVPcSbrUmNagzaqjdNVMQ2HwNbwXJs4zV+8U+4Pl9hCe+ynUAu
M/X+4dLy9pxedMoTClF2OOVqsKdjY/RnjeERlieOpR5CraCSwuC8r/R7SAFLxqoKy2n/UA7+zcCG
LfpFxLflxkhBxjUqR1SZdAviKcU8t9A1VMH1Q5kNP1iT9kOtv001HshCZ6DfF69+H25GTn+zFHKT
EuySerTotvvE47WIJTkHyIot6CKroenwxXYXn8wqD2Q69eJ9BXSS4U37xB4CJe9XnqaXWu/QZhEH
SPu4yocJOVRDAEAFiiD2CB4fmvdIIL22mmmhD8mrzaNZBuoJFLYOZzr7ysuKoxv0Yl5HpLfo2jqN
ml96w23g6R4XDTkoKlvbrE8kSkKIiY9W+mJX1XRlFR+/dFN6rGPrzhsQ8jpj72Kz9Pu9ZeIjQ3Zp
Z+5KldmuCeJX1Xrf5PqdIagU8qm2cCTh86EiKHS2TeAFtH7aUze8WEbWz6PyFaJpOA32qRuQ1Ci5
6aRgOoccpTgjzFjWVYCSyBrzk8UYEwG0jx4puDU0i2sk+DthGXTwtPD0AGwznODW+caJloLR9b7O
RLaUkGk4Dm5hiPnO94aXYmp2U6w+6QfXxFgli1gzqnPpGvOsLE6WoRJrwKWr2gk/ZeJsyvhmGTp1
pnGH1QGLmbVJ0L3rTrrrzGTBTq4nGEm9aNhMmaBueTRsDG1muhdI5RedoTOe6dQlb41DYDIgN6cn
1A5yhWLvLVTKJrCOvm+SoPZIGU9RfJj11jTBWk/E0HUZmpEy+KU662Z40fw6mVdXp/guG3kNXQa9
sfsOuAqdhPzKY2MfldPdOHeKWEDSTZxkO5np/SkptWiT2+gGDOwZ2AdqZvf61aftWmfGrVITRYbO
N1/yPenaHoXEGQBSD3ZRkI1adRtykyqOInmTxM+nSQQYgtluOHvesYlS8wYGqJriM5cgrEb1nAKj
UfyDFZkrm4QCejUO+TEPqie2XVcva97aMS3mBVeAiMJ5nvrxwe57n/XxebAbCDeILtLqUdfc6yTK
N0Lj3s3G3FAun/SxfSvH+CUe7XTbFPw92A6MGo1tR9dhh+b9aGn3rsPXkxolm+fs0LRMJlvoPiCy
crIt7Sra2U6/73VnZ+I0mECFizjdMvYhAxPUZD96+6wIoMB4vPlZidzFKJ1v07Sfh1msBwxhXfbj
hjSYYhkQBrcGO4ptwch2zuR+mC3iqhJLDSlexGapADVtpD2ZuTgNwJjXvGEXUP4vJbyM0bbLtZUC
89XTmqQImxeDohLd1FvnerdMcx613jnpXXMhMwW+DdL3bV3FZzP395NvfZfk5yz0yk9WRlifJr5W
zUMr3fUb2CSMDmBLIFViqKxpuCKDCusFsm1mQfGRV2/fGC1GWku7MUJiThH4MXNe7WzpiBphnX/B
BcKBmdzr4A/5mv27mmVQafM8gIIP7HhdKRtPHdPPyTqgZlkn1UEFZDESXLpDgwUe2jso+daK+AmT
xprWdotnaWH3AKByDiE9Zz8ReFva/FWRvwekFBH98NJVxn5I3FWTWEfWzbu+K+BXZyvDJbfKcdRe
D4c5OrHBRfBQej0OVWs3hpcyb17GlGyhPtm5POlOYry2SXM1e1r3CTad7W7DBoiwrL0dosUJIUP1
qLzmo4oJkmFQH6Nfe3HcivC+djGv2jIXYHfSngz7NExilUKmAv9b3WmTOKO933SQaxZuxCuvSfsm
h+C7GI8+gG0UZtdg+Em76aKDOo1I0ax08dN4Obhq8pZYdh2p32ibwx8GCV+Bb12Fakhpqnbzdkkn
nktvUdjJyn11omEVtT+NBMs+cnQCcKtldZHlwEuYv/KKPCM9PtjJO6ikNzA4aGqjFW30qdXbK+iO
pcglx4sXnCWHFvPOuwr4gN0Pl9YFH1Gk11Km76mvJatRsz5du0SlYdK+j2cbJh8iAbGMXINVSw1G
p/1op/Y1iNx1At01hj88VdknjcAx0M5EnxKKBBCPiAgM7AWNOGLRBJkDMpA+fDDTg+BQoDdjA1u0
E+hoBMdNy0g73fbiTEo4vXNy1d3wu3O6tUhATFkkLVl5swV2QEJPuQhi/Zz7M1jGLWFnx3doQKAV
q/uWDIoAjVyYNm/BOUtOZv0UWfFKlNqmqKNLEdU7g7Z0Ibrw2Q4BOWmTuUaeteyjmz2tsha6EaHA
eVp/We5wDELy50q+wMo8WdhigZAle5gjKPqSo0VQmbLVczVUny7gk3XDxniBtutZllq9ROaMHTlK
nxj1WHfADAm1YaHJfp0UMEV4ypYx87LXqkPM/CRuEHVmlrwVgXrzo/EXwbUvdZds4YEgqraq5you
dnkfAediJCbZ55h4pgaKmemxI6eSVhUGKSErMr0viywFd7EdDbm2O+YOOKh76S77YDi5hO4ECLnd
/idh/92Gd03pHvrUvXlNeI3qA2OnlUqQ+t0PU7DJ602gsiteDWSuZjWAxw+4PxA96u19y1W0GvMW
B+52IirCNl/8Xr8PW53zwNkSlAbxfdsIuWtD6zbhIyyq9jTo6V1n3OBwrxOG0lP4rqHqG0ojRlki
ES9/9n2zU715QungY2ofDoOLOhGI0I+bPRPZSp/sH3oDI1WVsxuhkShKJmen0Bj9ReI8qt7fOFbz
EcoMNxHYR1IBw4VD/dBq9kvciJx4lOdylgajmGjNI+GXyzDiyLIoSYEPHcpUPRjpYyeBT6A7WrZ1
jCWCLYbLYZ0++TTCyww5zsG1mYrY3MgV0J2D7WXxuXBU+kuDQ7zOWEHuPY+9EMe027zKPs6fS6aT
uMJxKRE2Nf5kYDhubqQ75yoW3VfHomPNflffSsk0kowDr4PJ7CxNRw5rtuj6L0XS0p0jUnXUiZ1g
xRarFK93ET8jA3fWiUGo0NQR3TpqTfCeUg3vkrDwUFRo0lg3BUIS0rnNdhkgpV7PUeoZNKA93Al/
ZyP1/eaPdH5BwJ8+USDpu5Tg4y1ZCgYGsUpsDFx/VycYq4OegebRNbt6oN+jPqYwQ8pbZfVdmcbi
EarhsNTITOVXGvR7HefqMe8sf99qzKrsyueOQwW08kbD2fvsxONF2hFQ3uZFecYS6K+5a5jHkbCw
19yiPpuZ7R2Sqq0PLsYHckA0Wq+hIoDBhs11btCxLTNzPOeoKKhn8Eo95E5jP+uVPv4qCIggelp5
Gx9J0tUi5uRtEJN7QdVZIqUSvD8OOpNPJ1Ltq5YIiTi5C6Kr1TXyUbpRcO8Kfbyre7e4GH0l7zsr
Gq5V7gaQT587Zr1osKqtOzXDvZcb1hPxCjDLsnA038jK7TdY0jnKpiG5qzq7vfThZJ9GLsx3GEr2
Ls1bh33zwFq5mrJbm/TNTRpNfSWiOtqn2GnoIVnEu/68u82ddsOkkOwV6nqwHwXxwx0xQcIzDXRx
ETk9AQPIdG6ws3iEdhb4HmG2SU/UIBufF9H6zEw5nt4jmZiXAvHEzgKNeNSmCezolAFwSsJbzk4k
IHIiDOSya5LxapojN2mRjqATeDJHdlz1mBLnbGAULqdfMolI1+trLDWF1z16mnpysukK5OVNhcnO
koSQ57DPppYshibcaWo44mSE9NfPc0q51HS4G5bmMvbn/tXtVwbLe0jo+rI1rC/FXlKg1LCqeM0w
eUkUxIYQaMQ3c+ga3xDxAewe1MXxLX2bedXLYOaPLHT2oe5cEqtdYSNZBjMPKm+3XUwEWEW0d+Ou
wc+9MrpHEe5jm6hS9dhZ3ZMH2KAYSZtFGA/LLD6NAxIrrK5O6Hf7wsBBLDUz2RFnEONAMK+j0y5m
qcYyj7K1WwbnMuxrpMMU5XUIydy0NsjBcJFp5qpY1+0LKXALVitHN8Al4zobP8l+iqx++pPy9PZX
UudfENHf8jBr6v/5P/C0/8Oww7EURnes9vSa0DvhXv/T0IVAVSomqfqdSl5o88PjNLTDFX6NudCM
ZDzoKisvQ+5Pd5xPwX0fKvloRHV0raAN9YtaZUQ7x136ybZzvmrmt4a1vnuR85sUzO9UPL9d5fye
Gb/fuPndyyc/fiBvnQFKzqvZzu+oM7+t4/zeJvMbTEI7LzPBYvWhTWI0gB7v+ji/9c78/lcuBig4
F+U5dWt327f9HNeM8WsP/HpcZUbl3UwhmX7PZ4sxnzLTfN74HieP3hAVVFq9eLRZvN+VRk197gdB
86BHef0AfD0FMKiqAyEpyL4mujF3PulMT3Lmzaefms9BsrucX3MqwLc5n5LV2IR7hsILl7jBdfz7
MGU0Ds8p9M11+vuwbRO3342xE7wTESYXhT6691YUu+tAmPFzJwIahr6ffXBBr47l2Ad3lpsbvzwX
sW1aYkwqIi7535cATHyUpPPNgMyk+/Lm2yKf740odMcffb5LUGqic5rvF2O+abTflw6/zXyPdsRd
l/Od5My3Uz3fU56dBLNY6JTPdxhwQpypXGuIyNkSOVM9fTEkPDo2Kzv2O0b93BP09OrgC0dMGibm
yyhthlopXNa33h183hq8/ZvCZwAV82yuW0Xu5pRSwJmha0LiyOAAzBaFgGGyWZjBpeh48kRSbgqa
tp3SAhwyFgLgDyuVbb7LsQXQ3OSNsamlblersPn9JwpcqITW4GrgntbsjIcpC4JlnecJqLJIoUAy
zWMacUhsVe/QrypCgTjMGi1DdgcM5VPomK9FAjKOlYgsNyA2qUvoFpYt3nsGXiny1gjbOGuYYlh3
ZXmPlVrf9Zr1Vs0OcVgKdBJA6lcTj++YzN5PBFCu5j1GUfmYNKSBaT1ZjTMI6tLrWbN2aNi/aWJe
NEeXZ9G67rourCdoXFRAaBLWOm5WTtjAWYaln9w78AVOTjhH3Yq0RjkZh4+2zqpSEXV1wHn9GBrR
o1OGwTEq3XiX2ZTZbaoffGEg2iGjLdiooaPoaZJ41Qn1HqLr3MG9/AHMQrBZOUGIY2K2No3xVFF/
LPqUfx3Kf4CbtXuVrZEfoCGKTaYGCzZCbm5xzVcro3OBrE7W1glylEsZdrNALwmGpHtAU1p9JK1+
R10IJVMN5YLq46nIh+fcTLOHHjv01XSSYGsB+8IwB233hKgWcVPs59tmHCGPacDIRKSKjWMTt+1Y
Xb3pTN41GBfWwqtzOjDssBiu6/c+6+z9aMThazhlCIYSKghZVNuELKAtnEKy0aFs8FgR+FimKYms
Ro2BtEC9PrOPlqBnYFFG0ppRjymlRaHTzt9kCYHLF1RMxDUCRXC8HCVRw294pGslhFota7d75Ofk
3hd4PhfCFNYTYkUIvY309ibReDuYwuE59+wvo6jTx9hkDeQMHCikWLERTn4ioQgtUcZyMFC7mppv
XQgOjJasW00am+CrJoGPvMaaq70kt4yqgJC6MfwcR/O1T/AfRmfM9jwRZrgcM/s2GbmJZS77UfV0
T3K7ohRus4WWNIlAw2Sba5oO/1JXZrdCVoXzV58XtxmatTy3qofOMPUnZM413avxa8h1sZZl9GRX
xBFWHFyacHo6Y8joOL0IgbTFcbR7zPDkR2Ld5pKA+RGuGEhfOtCIs9M5L3dh0+X7ADfgDobF9Bo5
c5PpC2izQ9zxc6hnpmXUdNM7ssp0BSM7WNosr5cWG6erzRruAxC62GMT1Y9B70b7pLHqq5fbzQ2F
f3aTnjZ8epw/EHtLG2EgFVU311blXGWJud7qf1decw1mao29RyWorbzf1RknrvXkzCXbvELftnzj
/3HH/EtrLIFt5U81ygpS0F/+ugC7fKSQ1Hcf1fiRffzDDuuvP/M3dpD9h3RRBJOFaJB7hAvl7zss
2EEsa9R/5YwR+h+Oayp0ML/BQb8XX3/fYdl/KGBxrmuYVD/z//NvGGOk/Y/llG0ZhgnyxpXgiSBl
/1+JHLFhBmYcB9k26kDF2Lrd24QyZukmm6Lo1VdNS9FfJPtMJSxZ3JLiWw4W53xcdruqg0gXEd37
gN4HgEhnR+4z9T9evD6zL9OkW0+h9OpzzwZvP6Yi+sxDTVzayh/2SHj9nUqlDWeXKQnSFKOxvuJh
Qo9bl21zURDYHi07wjEecthw4BfmuXJU8mgSUgpcRDfZ3gjjVpeCNIOxy1bIaNK9P6shVOFFz6kj
60OFKeFZL4LoHFG9hiPKK0dzuyWyZXdNpC13ZARxVrGnYYdHLKeIBOm5iYPpzpfgtzKV+xc3FNk2
rMOceQ+WazRq8Vo4Q/rANNBesOJoLq3huBganZUTYLYZEb2fgCEVZxEE2mFA+7Ahf667WGZH7WzH
8UPX6A31jz8R1qqyCxKMevZUGKz/y+4+yYJm38E8X+AcxnzcygtaQvDY5UCC+9C6b0ZlCVzLWYek
1LTWmom9J0nQq8iZeNBUxexMb6YPN0VyLQgq3eQJDhgTGx3eIujAHmkPBzplkzzZ4ifLmoJw+qYq
ERekcf+mN4P/3MxZGWPg1Y8uWOZvMm0mYmUdtv4LnLWM8EYdj+1e6W1ab0IR6G/p7ygH63esgzPZ
w3uEPcBif2eFt8zpvFPopMPR1YJhXUEnHOklJydc5RQTaIeTkWm8Jsh0JimwBOrcTphiujb9MeYw
Cm8+3amnDLlj9pedxJxfgYygfEhIW4fqkeogkO0fHKyEGAcNtSyxTmfc/qyztKx5wdlKSrDjti82
NeNzrgMUqme/FNzVY9T15o82cHqmekSFHbVlS+46VdGdaUZfQeC8S2l756LCItahVD6aNNirtgfu
N6fQG8bSAysbL9AMy3OH+hyZhWNgDavHA+IP+5oW7jbX4qchQGxAmeJ3pw4v2EdVt6QumVaPbN+B
WDwW8V5GyRrKhccQuqZZnVEYd3iR8yvA2XEzKjUcShhcb4GolLPG6aW92vjanv0iifdZ3Pfvqat0
ICfdsAhITWeJ5jjHXpQYz9x+FSt5Fw5GeS+6IUVlk3QfkSjLZ6j9wbbKW/FGbcuEfoYxUBd7tsE6
NhRni01BsOJfLS5+TcLLgqW0fxRB3i0nuyqucghrtKBF8eK5EiZ7gFYbg+3sB0DrQ9YwWCmv08do
6aWWQTRZagCt4nS40v4Mu2YIcj4vuwQTKZ7RP6s0tA94kEfAyuznPBvTjyIw4BpOKPOLDBZEg3nx
UHc23lp8ejJcqqJQ0FZ88r29pDG+vbgyvh01Nt+tkuUZYNuADj8tJ2MpzS5Zk7dalMSJ19Ww7JXe
P4VVkJVbeGt6ssxky1IDbzBmZ8KxS3AwkURiT1s8M+3lPNAhSxc106YlsDkjWxs/3aqwsKtDTwyK
dQM6JdxMtuZcGscoGaJzFL/ZKMXBBQxgdWDAViwccflrEKuSHr1eFcLWOFRTH5yacMhfQfWCFh7J
ubsbtC77qtNp5jdlvvluVah6FllRB28DmCALfVQMvcHOqIBZBZss60ag3njZqX2eDLqFS1wa/WuJ
Kzg7kKMm1KLXcjA/PUuTbZM6KOpbF+qFnzN3WDSysF/bQKZYu7HS3/Sidc6CgFkO7d4bORhRJYVL
rckGbEDd2JKBqQNTy0xXe0O7C+qJAAjiZEejHoYze8NU34WhCVdC6FpJekFE/zkMjRjWPoX8tKzn
vmM7Zg4GSBxy+UMINKtZ9OQssirzqvpTr6ZZsdkqFRArK83moQh07WhXU8oismiqtc3eAS9SmY4P
LEepSC0zbt8wh8GYSkE54G5peytcx4iRl3GrUU3rtZwr4wShmy+EBLsNxuoAhkLRkDcFnHUIVj+V
prIXDCj1FmvISPqjJeGEx0OZ3Iex7b20SBTOqN5+ylGrPmRIwzwMxH+iPbJo95IcQDVq5kMr2+F9
dJhHIVTq1Dte9dpZ+mDW9jrKTLBcdgLyxujse9IAJufmx56WLeDiId2N7arf4FXjL1DZARj8xG1Y
79ujwt/G4fukRai5a0Cpz7oVZmB3EqteFUzt+0UP3uAbqh/O7zkJc6nCQF8HQS/BEnV0pI1lkIBI
/qnck1TCe1/xIrwWdAiPY6PiY5/apjaTVngA88DKxy003Y4ESt94aus2OMdgNUigBbvOflZl0Stt
Np/ZJvD7gO3Jyug4adJxEwGRyJOkfAF0nzLcIjSyWHp22sulcEHZLBlHQ2HJ+MVpIjHoAvSaDyg7
PyH1tgPGyVpjumQacLZF4xnJS0RQxZEz1PjQjWZ8YUHq7BModiNT7yni7KXzXeJhR2nAw92+ufz8
Xd0JDw1E7PZbW0rtDXvscMSQoT+lQOG/jW6QWzIc3Gd/GrQn2q3kDpOCX+MNkx2rH5GeBUxdHEge
3yyHbnONPIhk7NSC5rnrrLFZTaHI37U4L4gmgVrMO1qIBxkGToeEONY+sxJXO84AprygA2felOk5
lApu2yQfIYL7Yqt1XVSto2ZE4BGFeVVuI5N5BpB14EPksX4DAnbSF6P3dGtRjb19D40wgFraj3yT
XTS1iybO45sbGBN+em+W5Vu+7I9egyzJiaLgrm+CkCkZ1N1V1YcrjEPJJ78rJBzT4BTP7DG5BfBd
LSwGkPcx3o+CGRq+CVBrNIg4ODKMWThc0BiVmv5cRLGA+Me8jNCVCTjV4Nk2AtawctsTch1iTuOW
DMcVhIbmqpcwVrgVwQRhJA4Ql8yLqtQdsJWFCd+qr/nFc0vE6V3Th+4qgYTQsD3J6humxek8DeQ/
LnTHqu9bIynue8dj1NzourlRleHMfjYkzGEwqhMAWhJyLW44ngw52jstao2NAcKpAJsYo6+YQNl3
NpJANtZVdFWG9AzMXJn5MZFb+qyVyIEWhqr1i6oGvhE3icuTrg98Q4VVhDtj8J0P8nPEL7bufCzf
jZpn1xh6vt9gJCDVsv1f7IFBfiWt+xySercNWORw+DXmJZ5EdE5GCbFJk8m0jXpCErhpi3hLs83+
No3mSPY8qt2T5w7OcbAaaBGTSau5CpnHvPdJDGAmyWrxkxRu+u21kTjQZfqfU2OO49KvJ/eEyQXe
htD345Rwzf+nafxXmkZEeHOy1P8bqfDUsIz/y636+Pqugz+3jn/7yb9BFaw/MM+Yuu4oWkFOBZq3
v0EVbLCzAvQq9q3fwXrgDv4mf6R1tAwytBy4xTxX+H/+j/xR/EH7yaKQcD20Rbr6t8K0oOH+Wf1o
Ga5JR2vrSlHgm4bgI/xZddhgvVJVK7ttAU70ASDTeGXZpXh73LD61NyJe0J3y+K/C/9U1j9H+hlI
70CgORLMhEkR9E9/Mpl6MQcygi5ltd4mrIQsPkAuj1hqOoPVdVuQVrEMq759TYoIHy0CviJeOnbC
UYSWWVdbPSmQ09WVSN680iM1ZzQyaELsXZulU3Ew6DW2pGWcenW7600gCcuyhfS5MPoGUFXBEO9T
4M4UzVhlW5MEkjdEFcPHmJvuM71DGqwx5XZ3Yz3i/GGhEB7DIImZYxYelQhNTDsDkMKNNLhAnDQ9
WiGbdPa9I/t/clCyz4iTgJulW02IO1e1l/8v9s5jOXKlTbJPhDZosU2tqJKaGxhZrAroABAB+fR9
kNY9i7axsZn9/Iuyv25d1iUzkSE+dz9OZhFoumqH7CniQPoezX6zd+BLXNqytqp14rk+sXThx6/s
jAsEEl/ocQoXN1Y8/Q2kl+/pAdzFfWYftY3qPwzJY5h0wY4LAOzcABy7YVVvaYr9YKjJO1qD/dyH
BiGRCFNSSdSGOwk4WEQ+EtGO+1DVXMRH6mttwOYbMXR8YcsUtap9qji0WXERp9mjHe1vgOIVa6B7
Nj1YnElBWJHBZkVyCiRFv2qWglzO1HuiMkBxPZh3ipIiNkE1AK3oWFq7Wh+JhcLWKlRH5QywLNm6
HcYmqtg6SF9rNoVgm4eOs1FjTAgU3y0UYoUhNnW8o2sGhCB7u9labddR+aCIww7kTmfwNevOq+xD
jkttF9eiPCVl7u8jOmQYWNLbMw8tKQIbUBUeKcE8hA36t7Z6AeLLNDaB4Rv3gLto1aAv+8piqvJN
5ULZEpRuUGS4FLQzaDAdiLFhUiINgluONnkIXmg7OK76ngIfqkCNWQwNnzzXp+jc8C6YUuuHXHr5
q4MpC9ZhXnsObTD0pwmZX0yM90AqWzO9z+wIL9RET4HpGqfSqetTMpfyvQxJMxJZaMkkmqSEZpIJ
aLaMfun4wVYgfR+blC8fS6a5TLtjjm64VPJqY5dcFFxS0SazXae4FKq09qNFBdceJ374XHpG2xDT
c81NAy7S3nqQjszVTEbyzmwhCTLHmfonZpXTzhXJJE5C1PRKNATKPpUOJ47adj7fEy8jJd4ERnyd
htA8mtx3qrXfENSY+UAdcw40ZNMQVA9uVLgvEphIvGQouX94YYcxlDYUXE4WMf8Hp5T9WyQaaBDM
u4bn3B9tqhwMtx22Ief05jQNXAhlUzd73ymtt9xJmo47j+X+q/whjnauY08Au5gqmfZqnjzjSpJ1
2PkkM8+5Qn8k4W4DZ68aM2euUsA46ewUXlTaGGdG79au5n8O06M0uHYzhA6+P4YjxWw8xO7064v8
R5XJxeqzfY0nd9dNtoNlAPkVPJTz4LtUBTZud4ENA+Zj8vNLpPHmzdbiRjVp2ihnQx+yurmv/Fk9
Npn5m+QWpYOyxS6jC3Ews6C+q4Ig32H0jnYBVsWdKAO6xmND70GXhOQ8R3urh1H+zD7+yKk0/Hvu
5LiUyikeLrHKsX2VsXBX6WCni6xLT1+WhTY8rmpCFWsnz/oJYNafuGAW5ygIHsaA5N7KU5Z2NhZk
HP9vI6elKSTAfEKa3ij5XBqcV8UW9RdiDGeq1zyZaH+v+u6JQaWJKSplhKa9tD/N3fy3dhrWDyVd
d5cska4IJvZdzxHeczkhraLREOAGRXqEf10+Gia1KWvP6UDnyyG+QknDwNEbiKK4+HJ9zAXwbW2U
3b0a8MJsE8mIaUz19BC2pGEnLTFHcXEKeLLiltr2XvyEfYZnqPLwgIcjP9gysSxSBINstO3XsJDJ
2eN9pBdn4G8YeYCh1yAduLixRHwAVwxssPROukio0bD95MQM4h+7U3oPj7veFy2cnJXPk6KOmZOP
6zpucrFtGZ/CH1QCR4IxNe0vQEZSjmADzAvjQroi7DjTapu0RjbiU+vF3Zj0V+CV+TvH63xbBA75
HRyq+yl1RpLFfGD2XoMb7cB0JHO3fd+H943Oy7eA94nIvtUeJshnxKh991GNTfwzUXPgPqumZJnV
MxNJQKSOOa7S1m+J4HE6wBcN/RP0eTvfCWgY66wzf2ooBkw71bwvbKs/BxzVx7b6MMYOJm4yIl5v
ciRg+jhwjlv7tOxIE7g1qQ1uDal+GXIbBEVsZS5yK/4+mHctYlI/NCAPqqcY4uMq6dJ2A2PXeERI
ie9HY2j4S2NyC+7OVC13l8q1NnYjpq0QR+pusu0Qui06IzuT1/YrJ08FP0JyF/XmbxOMfybW9+Og
IC6Hpj0d05nsJ7VD9sEgyrtKxQKctgsatIpxC0DD24e9oMBLQEybl9mMTEYa1TzxJpxIbKlK5wGI
B5Zn4TC6QO3p16UxJ9dyrKel2mdnDPE25TS/01NnX5KRytbC4PqAFyn9HYWtcUz1+q5QIWhfA3iJ
HEdqQFQDtVpRkFYH0Gh4h4YtZ0FnjXnX3PTj/BoXPS9keevD5IUtmirGTESVZqzq18FLjJdIUkiu
IwR3jho4qnxy/BLaP0bMKKTRsBbbMG99vJs2PtPK9Q9+xlwJs+SjMiY+vqXtPgB6Ip4GBGhtt/3o
7qn2ZJoyBoIcJ/UzjtMSFVWp6505LqjPBf2B5SfyPHLbjAj9tI62GdagcCurePhERSmugZ7Ns8lV
6p8aPf9osOUckWqHd0JjFIDbo+x3g2dKsDZjR6YtMON/ZjJ3B9AXIfpbYVN5lZkxd+XQSxlYWsmj
MKD3rHPRmydfuON+tDPnG898c+kJ+T9QV5IPqyX7nfJ62/4JDZX7OXft8iTsjrajyPLOZthbL1OT
xX8LFeNRgEVZ7sNWpDkLkxUf0RC8k+ClNrkp4ykVjpGe+Kgg1II97sVemuQ1S9O23hw3jLD4YMha
ldMYrRO7EL8dKdh+XVB+KXkTKvJsYWi82IGfHbjMTedszOZ9ZU79BxEcmuQaSgxXM8cHSkIrahVV
F2ETN00ETi9x5pc8m6a/XeaXfEyZol2JZ/TXKMGThmcfDAdH2249cLRnHpurN4oXzPs4qapTElvm
frJ7+lBmdFEGW0QmPgAcA8QowZ97DPJe+qF0Dz1oiicjcjSnSZ/6XCXDu8IKrbMG1o/1bKDdRzTL
5JJ4CxN7praC/EzmX+wQzNG2Mbye6HUOwAJPEjBWVjysqQxFL67pzIRJ2paBDXlOOurScR003CxW
3P7NAoqFz8OUE1+8j6Mggd/AiMsmcLC2y0lffaBNx6DmO6jCynp1/J5BqGy18xLHAwLAbMDOeGSL
YH8DA4XvPq8pPigJTqyLgnrUiH7Jne9U847GoAaOGjizoIi+6aq2UFosumioAd5j0PN3DSCDXw4t
pBrJ4KZrev0Yf3Qjg9HSG9pj3fTqkw/tfDUixWkTc9c+b/mPhIZpo/2E+dYrJWZaEDA41Vr7fiA4
M35Lxx6bp2lMm+LZwAsabHQ9U0HadFzw1kzbsoH2JazwTDZ7jKEBJOdw5Ye9sfcgDV9LdxAvY41X
YjZyG0qTL+QWyITYd4zVnoBMWZ+djNyXbsSqjMXejj4WGgt6VJpWz6I0kt9x8LOT4bvOd+PawF6C
BgkA0Jo/Xk0OqH9bR84nMUgnXIECbq4To8KDPyNpcGBTFquapxuBXpWzZLcg+N993u7vHG7Rq+eb
fvsSli6GcQzlqIpzNtiEwpFnthgCIY45U4bPyhMTleelCFoKDsABY1jjIdx0DMszzu2q3epy8okM
53x64eOguEj2w7O0MuSJ/KZUMCSlJs9wSERQl0I5Xh0AQ4GwJo7NonUUDNr3lRXVb5gpum+bKxGG
q7q5tp77lBpU3I4A++pFQdHo/hvBc4i9AX0lC8A9iApFf6EKvmWLDmPV0gvBzE0udsFpPPWLYtMv
2o29qDjCDdEorUXbcRF5mkXt4USdXMZFAWoWLahbVCH4Qv1FS8N/dJO63ZVGsLe0DKgLyZbgk21t
ukVjqiCF3EU34ckjr4G9vsYpOYYNzLygmOKzXPQqd1GuBBIWlslfoy/Hp642YzJbTVuyWtvoLcrv
o39dWAOT6Mp0R0xKbJDE4CgsgtmQ8ckpFhEtW+Q0hAvnrsL6cgLyUT7lEo6iuwRFKPm8NhxnH2Ed
A1hL0/ovg6uZHXSwD5XK/Rci0Po0CwCAVFcOb/lSc69ofrwnj589yrklxtTCINmWVq0vY+wOm5bJ
35HsdvLUMwDYOHUqawp5h/qx407606CdPSVMa2k+YeRHH0X70ONTPsqgee/MEeF2DKFiQD53uu0o
o3DdUiO3yxeBNCExT5qwM9f5Ip9OiEsfJBJsFDymGCAroo80aGKcHaz5iMLq6C8K7YSn+itdpFsw
jJR7qFjfdYuwqznloVssku9s1MbJWWTgWPHI94r1Pqhl95UCH6fIRaffkx9CrcoirtQWRqC7MOCy
tkJFcf+mizKdLBo1Yke0DYclu70o2BAgd/TWZXdgfOK3YtG5vUXxNiTPlVpUcL3o4SGIWTBGaOTB
opbHAQXNRt8VL3Bt7LtkUdUhrSQI7GZlv4ScJ+/Nkj2PcFTs/IYi54bVtWV7NoVCbYGXJg4GD5pF
nqE3CI7rHOdnk2vSfYZbv+uxxl4eRqP1nHtT/RK0NokgA5QG2JGuqUhHNRWJziL+HmC0gycSrC9n
JVufOIgj3khg5MxmAS9CmfdLt91lIPO/hR64X3nERn96v/IXF9ZMPieQ3+NgkdEi0P0ufYY0NJvJ
i+CkhgWMtYNvKIOojTVol/aBewXoa20tv/UOvJLqobUAc4FA0d9d2fVnq2+QJOhp2OLOKg5Tt7h7
gDddVLhonyKtP9rAhLqXl8bVK3JvDeArXlnBWrPEy3UlgfNhG/XH+8hAmMUUTOLRA109rbpBWG8V
tw3IfKDz/vWmG+6i1py2VIYTvonnAfehrKbpPecOCRo39Q4qSCnp4IfHVNa7MRdqOyGYuOMUAFCY
JqRPO0qtlyCreIBSa+Z7MJS8LsQyHOtCVG9u2fxTeQoLoAmm6ntu4+mf5AxK363BMhQbBFfKRm68
3jCIpaQ/uWCwZckc09P0DZpoAmTMZ3rQmoxHkpnLYeyNRUae6NR7NuPB3hPsN84EGmFpCtS5Liq8
DSz8S96RoUm68KpT5T7ETlxeQGkiHDlkK5duZBRuXVVnEFf+kV5sHgeDod9pRs6gKzBxlm0Kv7HU
VIEHxYqtSvFJM+bzCM31LhXM0Bl6tHsris0f9G3xg7wFiSknQ8nXF82Z3BoyPDeonU8NyBXG3+M0
J9aevXm4LmJahbGPKrbO8IZ9YUTuKmco9eDZ5sMyE/o0KSWmLrEeLAc1q8oeONmVWF1Zr+4SSBBM
uxQxY9AJrljTrAxLORhnLPOAdjbOmBRvlMfiq4uG1n/iaFDgQEzy+MHOUgp8h0AdtJtAqCqcdOMo
Mq9hTGI5KRCjNPkHYmWzps077WR7dltmiQRp7fi9ERCnVVurz4yqgLsMX60ipAS/X7m99+SkXXPX
8F+D1NbEj0B9nDuzJu+1iiMZnPFZBAdHUnpqp5M619qsz6mbhlcfyWRXIX+LjV3xOZ1Urx8Yrim9
9Ry1OGphVWyb3phIjbp1thXuBMifRmBtC5wowjZ/DXzSxz6e42eflQk9Eqc429EMznkO853IOrFr
PXN+iBTTNzKlkj6IrAzvxlzXT7Mx0rTXwRfaI1VXB5/o3zd4reBUe3X2inTPKjhK1TBvBDVdM7zC
S2jU6oE7gf22VKcQJzd7zlyBe3AUm5mW9K0DNee6Z1Gyahuvocbym02DXFlTKXg3KbkAn1uMT0Fs
F2tMk8ZRF359MqQp6Wiomi8z5QCCb5qQALYWFmN14Lq+J/zfPFD3pAkqhkwVZ9oiFq+vd9RuWF7g
yw87p2A73VRJBnxnCmO9dZ2Ez7iElLiGMhPvu7xpLTYeu6eJMlJvtBFZb+FAmXDRETiB3NUujSY+
UmpQkJVduUNav+SKw/gu9RQtBzNOlmpn0Lwqzz2dm4xka2nz3DL86FA1hfEOyUqdQkgvzJ45ROfr
JMn66zwlbXqWgZ8+J8GMMFxEBsPe2fO9YZM1afcvC8p5P3eD/5Xb5NLCEaPhLqgKo9lmme8XO48i
ZCYhDVxzKhF90jhdFDpXBZ4/Xw9RatORFEb1e+di/uoNE20/CgfTJX3ekk+aGfW/pO5cfTROPOyN
rGoeiHCkiLN0rDz1k5gZt0FDfawHBnFO75Lxy/UnCEw4rKGi04OavS9DOgkG7BGV0Amckwrt8g3P
Py7vKhzBhPkJVWeVVTBI0UdehXmrzHqkLFcFVGXISD5r3Y8bilXmF8aX3gn3dfBI2p4RQzZQqi26
2VArDWntl6kBBgKBt4HkZ4t0YIBYdzdGMLQHZsi4QFuE5Y809NkgGKFOd7p0g22XPKV10HUbcFPR
S67j6iLItru53+YwgILxLrbZCQ6Kbaak8CPRPyFgHrlOoFsBPZYlpEemzt5TWDsORWXDRLaUFu+l
F8lhUrvpJR0nG4f+sx3biP1YuJF+ciZ7fmdwPjwZflfBrbQg/leu2mtVO68O2JUHp9buNsVVasIw
sye61z3ozF0xcS8fQsDwdZ58pqNfnLVBpVhLwKlhBGkl7rkJYVHxFhT8mtB9RIc9p6y1pmLnY5pJ
5q98Dte7hMTx3kxSchoQmlpigHkEAYAX4kmSEjLWgkaA39hKaDtKsSw+gwIFZggFoHzOUgy/oxFz
gY4ImrOdKirCooSL1Fg63n0rLXVthDSvNvGMh8nwMHZMcdp8Ilin97SckQnvyQ3cmcBcGeNUKqtw
8zbWK4EC+5w2kS/WZZOS3VPgK5FosjI4Qe2N/2Dknb/riA/Pdkg4sK16E7/Lpp/x+PgTYQBy133x
ztPW4ycsUnYCpp7jgzKd+M9g6GWB40PkWfxLAd7LI6b2+c7ELnRKkpie5KZUZ9Z2NiAVmb/KBf62
iSQ7H4V2xqtvpPXT6LfBaRRZc3EH3R8p6On+qc5daJARa+cQRk1AnH4c//pZjLu6wODnYqhZa19X
B7qWg5PHuo2SLYtnd+y9k2FXzmomwfxb4Z6u17NPRW1dmNUhc4ORM5oom2+rhtqzFVifr1yRmH4v
WZ68d8KnkNPZn7kOgufZbvmlZR1Som8+hLYmrnjxhNyRBsqAq2VSCMVr+FzhG/jDDlSGqywYohcw
ok6MA7O1061UyWNXBuoqZe6hHrC2gD6kR/IcmVoTrwwK8CN8kRXjmRezHzz6Y8U0wZzK7mtmrLZs
yL19BylD7eKAW8lKVENxpSArz9ZJlNnQxWI5P8H/5h3hcINKn/pPiFvVsTAtqg5tr8ZvMJIN6xuu
Gq5st22LP29Ohvih7Cf/xJcJqmEb42e0aDzktx9J3JM0T+X4zZU5vO+w+T9OY/nbWB644k6sG7x/
xOaj6c7XE07RgWaPVgZynSXR85RSv5j7hcfOyOjyqBVG+JUzjDgPbNN/cWhcWOEP5sMz1XrjFkuv
YWuogbA2fUu8Qkw4jLSMj5pj+1eQSBgvpkmkyYVUenU50HMTKDyjh/HKLtePY33CKLXUfkRCfYp8
bC+oq39km5NYrLXyHhJhB3eDL92nkXHGVxWErrfKrRh7huiQb5KOp2kwxYFVNV4iXLiVTGYKedvZ
hL3inhJ4swEEYEll4AebeRFxtg1TufY4IpxJrVbvjmDLgkPOkSVhwokDecBNgtoiyf7Wb+ip+ljy
+m6TRsvDCDFyYwZ4+EO4n3JvOp7LbipGRCutyy/fwV6MdthtC38K//UUuJ0HYym5Ybv/NIOE7hWo
g+Ric9Iup448lLMOMnQrZ+64wdiw8c/KVoxyysbZhKg5jHtr77v23MoFLanhTBs0SLnMSIAQMse4
01AlbTjRDVhorZJnD5bizoms4SWF//8rh2n8STm2vuDS7UgZ5OOy/tMocvGjDHDe7IBobIDRE4im
0ueNESlHk7lcDG19xmLcd2GADkPAl40m18kd9H3zB6cpMPWhjiHDtxMb11RF/pEAgXnmh4LByh48
Alt2+uPkaSD8WSXksVUeKFvA+FW9wnk5vTdQYNFtkmhn2zV7ftUkegu7Ho6bjG3shzpI5zu6Q1i9
9WDnpyACl0NMBYuQB7LiD8EyDLK+ieKH6U2yW9kkxRbg6eTd17RQAlbQTq55zNnFVmXlZ0S6/M5p
LhFZLUquche+JFGnCBCza70WfYuOYlf5eeyDEbthbIDwKMYy2HitWv7BwIduFXep/Ypm68DCQRAN
1mXleb9Nn1b3IIDdJzYvzi4F2yWGHrb2ozZLK98E9jx+MG+m/TnPjBex3K7KUINBFfBn1i764Hag
7GAz4jC6C6Pe/s1hbLCJFdEO9FmbrF2rA83p4SJYRwyHz3NpWqexasb7yUTxdqxlSA45nzR2a2+x
9Fh8snp7a2TDk2swGU3UwO1afXQcwk9TXBXH0KiMrc4tLGRT0/+1alIwHceJe3tZnQnwhZuAzrSL
QbwMBAv/b848clNWp8wPPJPpvRJJfpe3A3EYbZK3whaOa8rx4CF19Uw2t68uMOwXkKZlbF07Lo+F
FZh/ihquAx759lKCwX8gP5S16zrF7EVWd/6jhEPExYqCYzvL4cB5nTGx7IS3+//eoP8bb5CFzPZ/
rKO++/5Npu//nTnov770v8xB9n+EXuj6AXZd4rBYYf6XOYhOaouMLBOE0MYhg33mv9Fo/n+EfAHI
IGxAkRVEfCP/HSux/gP3g03hih+wjjjR/1MlNSGS/2kP8i2cQZQ/UkxNN4fj/Y/ClZSm+HHOZ7Ub
iy5xN+Bdkj2u0uTBoE39jamw9R42gsxWSxLhkt4YzWGFwyMc0uy5cu30oW16QTngMLmASPPoZcZy
VO9jeND+hdW0S96EkBChDaZeb32cUShb2/ZmNBw6I9CSmCiPrwEAj7VOuv6hrsw3SvFGA+2Gpdqr
yxcxV6idhGMemDRkBxsJkl5cxiOtKLvHMmfkuyKCA9Na3fjWzQ11bcMRYFeGf11pWjLxcA3mmnbA
CV9ODC87S/1Cnmwo2tXow9Pub2xtHzfGc30jbmdp2z+XNw737A6cmqBfw+cOb6xuWxRMTbk817+G
EULznpDv8BncKN/dWEXRqb/Rv6fBtdunCSjzr8uRJd2znuX9G3Js9CvnefyZbyxxu42aEowXrGME
A2hs6QKwZUKTQyHnaAiRfEaIgekSaEkXWdl8IehbL9K3MVYsQHPQoN5+gHGewJ4zTvWNfE5Axv+Z
2tTtj45fY5hoYnTsVZEszPRkwaf7C0jdujHV4xtfPZrMF5fR2idWZASvBcM+miq4x5gAm12FDfvQ
jdjuMXGBIArGfWlcoXYHc/yeVwUYqPbw/BZMXyMawoFQewsSXljA4Z0bJ54hhH8l6GPgXzYr82Qg
RZLnK1jPUTaKFexWFlHTgT5fd7hWwaBi4l/g9BgKbHufVQOF4nUmLm6V/4FoBbSzQo7fpHie1vOC
ug8X6L2iYHtlFvzcFJsyweFECyh4YeSbEqqPSuHmi6IM390bTN8ykbu/koWxT0lyTzJwXMZsJiOz
HhL/6IlNtND5zRuoXy/Mfh94f33D+FdtcvE8yP5B4EWfbVukd6DalL8tGGbtGx2E9G2RX+GIYxQf
fcupY4VqBt3PT8VIbYYLwpe0b5UQmAX9SX1gUmT1CcaYsQ/CucGYXwh1ISiScmiormE2mNuUSGGz
dzOYLLUTvRSu23+2Lklls+553qMh9BLOywoaSijj0DmYMbcltsEuYeAOHm9NXQFjOzpCSeWOljHA
zgg0pckD5LsQS4SZYpeyIRCsajpMPtSAgISrXGi5kwQmxkszId1uknxohrUZ2tzxuS7bS5XEYD0g
8VvBqvZb/9Mhd0K6ADirEZN279x39IbGuPdclbQMSdKk243k6byN2yt7Wuf+AOGOY9pkbrKRNxpb
DQg2Puu2qMZ7twlEd0dUfsjwlmVcQolIuNU1CYe8XwFbtcCq8nSFQAOLfNzFgs6gNY4Qs15XU8Rs
s54HCVQOJwPRVO8YehiSnnMluVKnho6yv0M/1Ze+kIoPtldz0ppmq4BWnXQwJWSW/wWbEbVbJ47b
moExTuqN8AL88JY5MwlXodGSS+msuOcmXvwj+NxwlnIG4NxZnasjTybHoHo5EVlcuTkNcEqqlvOS
b4z43NwoiNJT53rtjxMVGF3KhEs9HuyRWBd/xCJBMVO1nM4aprUkrnILdtxycPPMuhHrZBGJAo9q
1PVMvNDegAfnmJffjnwskAExbtJTcs2PCHjudkDME4ziq2LMmURm1E59ckQJ73qazN8lghbFxVwV
KBfmzAkrPhpXdL/BivHhcW9GBYbAt/Rw10cNjB+DtuB1uJxiM9AbTx4j4bWbVPa17KsEg7/2MkJF
ywE4buxI0es+YiRopvSsOU2uF+fai1XZznsJInFntXifUXx9qikHqisZLHDUHpdT9yigdTkGdknK
qgxkHhHO3R6EW3SppYaeQw8UjbCyZNLmVvWDgS/xm0bj8SsdLPeNw1d+9Ls+25ltH1/ZLdNw31iB
ekGcHH+Y0rq/9nJ1gEzA1c6rniOWpXE1NEGEt6eXz1kHoImkelKfmiavwYxDrjkweYTjRa/2nuhS
lmKH0lCYvIxGjF1Y9Mh9qgDARKtSs+mWS1G+XI8imu0hueDXNGOi3dlygwqCkgicZH46HEy7c7bY
AMMNvcryUJY9CBFEtnvvdj+DTGZlu8niB9amoC2QNOelizMnWduVsOrLVDpzvVGcHF+bYgCkGY8l
e1fV1+6xJuNyJmrKZVLeLpbTcsf0YLqh6E3OXdbk0UN1u4ySNvnD1txeoJ0x475dWofl/lqPuTiD
5sMHhf+hunrLVbdMbX6v3T564HvRX+UQmUiKiiB3N8C7toMmOaa3W3TMfVoF2V8Ut+LVJw+yHeCi
6nveverTnE1Qap429hm5yL20XYz0sv7tl4t9slzxObmMlNdUJV3NDAGayEiTYyUxIlRWhwcqkj2f
t2AxiS0DBhM5gmqDLpqeLG7r9XMFL/lkM134wlHMAyZcOMcrpO8Symore8DxvtI/ftO7Xyqs+yfw
cb5zBEWff8hBCPEwuZrSFjNzqx+5zFRidLiKZjNJ55i6jV6gBQHU70UfEMqduLgS7Gd8HmqUJNra
+XVKPNKV/G0sZjiNgn7TcpUnB9fwh3msvSc3owfJGxQrM2+u9YZhEPaDpsuceTgxsE3NwYxaTZJ+
+2ke9L9lhEokqef35jKg8pZRFSm2+jIs4ytvGWTlEhb9SgUTqTmv6LNXHBvVPllGYOkyDENr8U9R
exME2pQgj1XAcODuyWZDaWmv1kHe8x32CX+If0lHhxbYLLQO8C3fgAiZ0jWjM32ny+hOqzFwt0r1
leAT6za0u4wTxaEW1i9Y8ctQ0ObLIfiVNQND5k/AwQhZXTmYJlwFBYYINBFRk0stGDvyd4q9HWXy
K8qRxvEYVsMOJHZqreK8B33jNfVnJTWzxJQRxnc+ed7ZjeP42+k6te3jlklAyGXwLCQDolVtUSIb
8C1tBWsm3UyhKd91KJo/sykb5Hi6jO7TBF1uFXXSJ0Y6jUulPP1QUbegO1tJQW1IfhmnNndd5s7C
2dqukI+s+tOmxe8zHzjsoJKbZixeyUYt687AMqls4s9+GTEramPKdUCfZYDWnHFqvsI0Y6shID0/
tGXDrKXuxu5bawmB7TaOLps8f3BSu3UBIHK/Zj5N5IBqcybYurU6d61AnryKWUcvuP/zcM1NYL5P
p8Q8VHKs6CVlSPJhRkCpnnNizI+0TTnFlgUm/NWcLfWKsNwU7xQ782MlAAImhYxxCJUaB6Z0jIXM
mBgTlubQPJgpqHZPMwVceVYbPKVzhoIRVoP97C8aQe2L7g3Se/rMJDx8HG6CQrJoC4WtvX5nRtgu
OZLclAndU2zY9sJ/7v0IiBwkKg55eNkePBgjf0oxOtemZqE++DfZIzUWKH3vGb+seNmO/dnfkRrL
/qI31ctEwHuNboqJMg3/CvfU/5Iz1fTrKHHIqDZ2i0tg0hEgFBl85kE/P5Zma/zIsMyezZs4YyvM
XhWE939RaKb1ZRZKxqtZeeWv444a7ihlUMVcYLKklhguFxMvcrY3Rcgn6L0UTLAKHRpIcAfsa0yV
xVT0EOtqtTe1p89l0mJJmFLTXDde7WytqWs7+GNFcTLzEkurW/TT+7xIV/KmYgVT0ARM8FKYzJas
8afkQY46lrZbVKv0TC4OmbjsPhgi0pa8qGbzop+lld18xYumxtZUn8bECY+AkVh5XIHFZgiQGSeb
UWW6aHNUBXAeM5I3e9Ht3JY0Nk8hiUxEPYm4p3ynPY4ixmgJG2bnEiffh5TqkdOb4r/xognCkGX9
myJ6zNqR26Gh3b0sdbKnxtt1N/YI2VZEUj6OlZccm6xWOwu572CpIT83Iuj+DIsoGRgTPEJC1D1n
l0C+uOx9Oz8c1GEoIvHFcUbRwp1c04qlWS3g1GkmvDkwfV4FvYzPtden+zpqcbThGrpQlMdOjUS8
GdIBmJGvCQ2EWMnZiXOSyIP+zbERDhB+C7KLGY6drKGXYIOzQDN+bQ1AqFN7bhvGpxj1s1Ok8v57
Dpvf+abyFm68bKfcxuqkio/+1DJ0Mux5zxVI7FAIudWmi3AMmKXaJmSI1g0JylW7yMoptp4nXZq4
KZtxbM8Qz/QFibQ+TkbdZJvQa80HjyjrujBw8jkyfuGxf/KJgPdj9+bMg/sI1ZsaLlJrayvPawIT
cJd5Oyn7yUXGxQ2uFeYTXeXrjNnsm0QpfzeFH625ffqg4RaQnanH7xSrxKM/2wxeTRLfoJn94ODb
g3uUMbj4Pe5K5HlzUep9JPu8Vu1DXrrMCMCtdouwn1cdGr9J8OeLUyeSQ+55H2qS/U89q7ty8QhQ
tVBumptxAG+Q+LEXN4HguLGmG01SyIPXgIMekOvFf5AVffeMo4Z9Lmw8OhXsbtcU+D55RA0PgHdp
30s/GF50wNl8UsxwSd4a+vM/2Tu35riRbDv/F7+jDSCBTMBx7AhXoW6s4p0iKb0gKInCNXG//3p/
0LTntNRj6cy7Iyaip9WkqshKZO7ce61vweFFAm7Z5Pdp4hm7WbSfvSKJ9rmvprPrh+NjGLk595zO
3I8oRI+ExkD0Niz54hWwkfB3R9EQDA0hcjuqkbuc1VjvkFgR5wigWaOnrLEsl1lfoMjFB8gRbpEo
Ibm1cRs2yCIj1d3SQWz0wzeVh516UtHkQQa2i4KbSWfHOGgqiLm2MQpG0no6pktSfELoS3uiF3Ye
bhQQ9+iOaCbzOUyGkvI7g+YGp+qTjZ8EZUNufW3T78RwJ9cp/AZLnHpuN3sJitHcqGVKnrN6GmGW
eoQRPlZVWxTHKUKjQnxQV+08oE7Iryr3pOgAnZh+2twXJlHcWUzJ5XFtkLxFrmHthmxR5K8PE0IM
Qeam3uJKMx6tlnFkNw6ILRCcPxIP1b3ZecIG0Fr6aLvJJzJ14rNo267Y5X2UBeZIn4V7XW4FMizd
J8Qy3bEtFtSC0YRpnejrBjkiErlFHWgrC2MvJgNioTfqwntmVG6bh4pTU2zaMF9LxugyjtU+GckC
2GSd3y8gn8wF3cHgm98qc+pvvMUJX0ya3IpgLRFC+OhU+kocUHNFB6co90C/sJrZ1ZRfkeAl9NMY
dozSOmuQFz3BwAZHDWkf7fmsd8lojCjDZx5yvGi+rjWwNK5vB0FzDgDUkpgjjWoCarl0Np/8ghNr
P4408rOoHVGlCOOp8kLvgmYJxq2fktXVl8MnHrmkuWHLl0x7e53eWqFwvuRp773QmTFhWLUllXTl
Hoosr25cSHJfnCaKUPv5kbhMuOb2BPrkXwnXMsJj7YF6o/3QZJjLmIPQ2/F1426shobBRlR2gxud
Ub8VNJAUrzEPQ40d3T6iH5HXjPu9iWk1IIsCiHjFYBKfeLtOQPK4dxmbOxOPewtoiegCUkDEseUm
lu61mr38MMDnC5rM7ZDRNFX/KsJ6LZVRn3HmtHn+hEaV2LOQjuVtwfWFP9VYi7exZmFuOKczgKqu
dt4io8VfDV5g2mbjnFHhcETNysUL7cR6ugKtKT9nuVW9SG15r4skgoyMmdi4Kz1cttvWcTy8AaKd
994MCI2UtL45UYnn+2Gp4LiHc99yvcNhVG+xV1aIFGIv+uQgFD0Uspc3uDQ8THcMVI19p3oGJYnn
fpH0Pww0UXl2xvO1CoeoeV7T1mgRSckebmgtxZ2GhnbMEcptWMEifyiMvD6OIUYb2NrcPba2H4Ek
sBpZXKzUguKF/4OHRIvMqXaDLvGdh7bGGoOpIdTVicDcsN/12koPGSo7YtLycPo4SC5Y/CRe+9zP
imQy2YO/3Y4KxCLD1m5Bm4oyjqF6RpXc57H15CkPN5zTIToIS5RYZ9kOK5TOHdI3BO4LfYtkMqz9
HFmmsQUKCvXDV/2C6b/n0sXylF6QRRMopo1jTqjWk6496AJVMA0R3JaFB8WHbm3+tai1fY0yj5Fb
nvXIZHSrGnmb9FH3XPtu+lKPJpLxfg4lP+YC6nGbGarFkOP0eC1HlspVB3yNGRnUeRJ2hsh/0knD
bX6y2X6QI6fQvEb43b0N/OTCPpFgwzOtigWaudgaUKbgHY2YOAmICgMM6SSd1JfG7ZsPKGnwnWeJ
ZlFnNi29TYL/bxvFSOihpoK+wzbfMBEGWEqMxgQD+jzZDb1SUui8m3RK8OIr9k827DRCyg83UCwo
Iclhw8/REReXF9Y6l4tRWwVDMlQ3qQYZDZktmz7KMMXTour+I09SY18a0+wPURW1/aUy7cGlXlbC
D0jgWWUbSRrvJ3v14YUheUpbjiX2lQkar/6QItlB5VMyKzT7rgZvzTEJZlyCWnBkVqGlJ1J9M8CV
vOBo6JP1FmlE26qZamT6eZmnOztOlnubUMmKiLW6aLgy+W1QmzzzuyFxwusRfcgIOhJdT22mzDTH
TNP+yswVicGuKpiB62lvlKPZX+aRMf7WIJd4Iby2oo+WNCbNpFZJ9oEF/8tNu3SImnJONq5gK52F
nOCSy7nIGwnzA7PkxhwjmkUwo5EkGFMbXrd94Yb7XFvfhszwwLARw5K4aKSIcSyJzUZ11JHgRqge
EFbgc8WuZdsEVNXVxn3EVcN7tpMFr5IcwOh5aUeg9GgNxp5rvZN8cwjG+pRTkLmI84lWpYvrIN0u
XNKFR5U8ZLk3HxUevWEfY8F5rpIefii+k2e8yFTShVeld3mdv1aGCHdlgjfwlHKI7HC8dLAbuiEM
evJb3hjoGF/LpJqfUvJyjQAYD3YLxbY7n3OOwgZdeU6yh+1P3rEe1152NvhfKOaaz2bq6Q+LOTXJ
tqxG+HvU71eGxbBp25XrT9SFvdiI73GQMcGQlkG4GV0LsZ9oKAAPZeKeCre/a83ZRnCnS0EMmhqX
o2DhPnT1WD2Ey8QT8D2UMl7zKVeZOAOehdRK4F0WrPOaLMvle6zlMipUdtpo6URZ1Rp9GTqIywCW
rpGY8fd4zJCwxvSGZgOxmctiEaFZfY/TxH4k/CsG2B4OyIzEzY7ozbh25JZO4vxmEssp1nzOykyL
DXHBhHYykKm5CdSIx+vvqZ5ZGstHoolpWnyP/cQ1Fz01tuU9UYtGZFZ8jwiFe4o1l1Ft/SKVWX7D
d4+IVTT0AbZea+p3u00JHfUE+aMQV2j2131CruKaT+owQM+pKBtiS///fPa/NJ9FzvBLdsPlLWvj
t6/j+3v1V3ID09T1+/6E/jl/WDjeMWthX/QEmIZ/DmftPxDhmJLh7Pcp64oD/HM6a1l/KJNIa6B+
zrrEVoTEn9NZ7w9bWiupT/mwFhxp+v8O9W8Nx/oLukGu/AdlIR+weNKYTvo/BUa5+J7ihkcqkKO+
8nV7YJiTXyLdfOpa+CtAH4CDjQVglf4QeggAsLw+x2hELmU7vIox/dhXDdSTZT5gOe2PXd3dpRGB
RPwUK8jNwL9ctc62cfPXzmPGYfrZ6+iWgT/MV8KX9qboAUUgctvaY3r7F5LG3d8R0etg+R9/evr6
P//b9x8Og79FEeMJZYHB+JFLkXIsdNjGnWDC+ma5PeC5b0VT3Zmk1fx7r0RfC9KGZ/loTC2HkcmP
rxQZjaUGrZ2gtUrMLeRIFcYFC3FAWFbw65daqR1/+akUQBHG6Nb6DwF1Q65D/b/SNlCijhqZmMEO
MHxRYc3wRRcv3cwopfGtUzjgH8sl8G6zllWg8MhsTekMG0X+DmAmggiWfk1KVh/5qqei0NcGqdOB
6zavkTGeubK+2XHgMIsCfFp+blAybysR07Io6svsRM2mcJOR/BITtEDfnkQL8bcbsmnnmMkYxOH8
JoflY10nn0StmPJkpvubX7e1fnL/+cl+/x14vmu6gDFRIDOv+/F3ELoqHmbBRLD0vEPMtmtpbM1V
3O2rMjz45Wul5ZvhUcASlzWtfCln0F9zI37/9Yfx/YV+fCPKAngiFBoLG1PyT28Emi4aycgldKDj
/LdqEuUHQ716UdsEKJW+5H12dlJqxTw/N/3yVLrzPfoEdRBAMDbat+9F3zxSpDFuYMQaqbcljT7p
2dovufvwmze7AtH/+maVlODa0A5Ic50Pi59WaZHiI82A6u1McwE+gXNDmeOTM5iPtSGvMSU8tX1J
DS+PyyQPSW0+00pjrO1wA5xi6BdpMFjLRmGU2C505Fdo81jR/v31+/zbp8v79NHNQaPgUXLZ6X78
dN2oRoeeKINiNH+suPzuR61JihrJknN7SGYtMbgMpjeOpKrLmuXTUC+Ps252PUrJX7+Zn8UrP70X
7yfIvCkrhg90SIKwgDBWEdHgW5AxOG89+9D+9uW+70k/fUY4BVlNDp+Uss2fFpTCzuUtpI4GgjxP
DKlgor2u4UIzsiqcR4AjNjdFTeQYAxxGFpAc8DoANIk/qVkIuAxhu4tGzajNL17DHtlg6+912j4R
rpmdbQxu2x5K1D50k3tfm33Q0YfjRnDxutY5pjJEUG5RFkN03cx2ae3GqD97Pqk6gA/0znHqNYMr
2odzju0C78YRZDMmdheWId7VdZjC+KETy92vP4gfN3MIWCwKWncwhixpoSP6aVHQpMwJX+WDWBZn
tzjRPq1uppRLnr7+9QvZf39MFJkCHIo4Ezh/3Z+ODQKFMFyGPNMiVQAFs/fCJcjF8Spsyb7AftoS
LzeNj069nLp+fmCc8DH0dLsB3vwJlQyUyPZrpMDowCdvcvup65rrqcz/UZZ9mf5H9F7e/WNN/DUA
wfn70vzxfVI//PUgYG4LNa2qM7yD8jJb1M+ZouGf6teQA3qjzAEgXQUCPTbiloZ1cd2AG9h6FQLt
NXEJR41xI53WgLdYiyMCk+G6aRtN22DMSFvzQmTpkjsbvoRn+IggaeruZijHAUADRoSqgyZq2JXD
UuOFpTmg5l1m5JkYhMnImzFE1InelXbXHwqnfJm69C2MK5vnaJw/zW7/bGNbDxYqh2+6Yrg+hVGz
D/s6OkPaXfYZrqlff7Z/X0RUO65D1cMxLThBfvyV0X6j3BBE/UVueMO0gk1w2CakOYeVvf/1S1n/
6rWoOdDQgUq3XOunc5pA35rWTekHA0bfq57exJJU4lw1cBhjBAHAGKCXFvN1G32LVDJuS9GS1O5z
wI5dCWp/xj8tUre5Q077mze3vvaPu4wCWslT6/NQUa/+tMTzdLC062VhwE3/agYL6Brnpf7wm9/A
z5WKksozfTYxxWtYtvrpN9DYWdQPMo9AO4DgYdh3nFHvoQ/pDksSl/TE+4cxqqq3vHY/pON877Zi
l5poEpRT9Lua/LdN3SSEOrbTnde48YX2ecakUjm/KSj+1TuVnsOhyLKw8Qn9uC5IAwu5piVh4EmE
b2mi9yAfuKITLok1Oac3ovbMTgnW6H5zvlDJ//hJKKhlEqybwuMOUfKnT2LwdLeUaBcDXanncFRs
Mc1W+2UgULDg/MWlXP/mJa1/9ZrSsm3poP5kg/vpc/E1uYoqI94QiPdB26v2Pammq8pRIrATSnvd
f4mz4UMdO1AO5Ju9MA4Ijc9dkyD3McryxpsKDGGCaZUiZerp1+vG+dsGjMtZokxdN2Ekst/f/19S
bCejRg9nd0bQeswKob+G9FNCxlgbnPnAjbKFqDIW0TjZ31I3vuoX+YnW7bQnreVjU9NOTKWDCWj4
lsYx8aXmPhoQJRhZcjfK7FDFpAi6OEj8qvwiOW/hwzIMQ2B2KvnPS+WMV7SbEaBNLVmPfb3P3PZ9
1uZTPzsfrRZK9Jol3WSgrMIRMgGz21//BtSP1zIOOxJauLYoilyeHXh/P67Hgm4lt41YBZCMn2zt
3tN2PKoCCQA6qHwL4JXQXDe+rqYo31ohf1ISDNbMhDd2UfvQNeOD0+DwMw2b+I3M2dIR5IBX2Eqh
hKoaMz/RMyN58c0lajsSv2c27xroXDPio2T6CJETq31CP5bcO8xbkfc4CEDjdnJtwTxg/HJq8IgP
KT2x0cSBCaLpK07CCjJLfdP0STDwRi1TwyGfLlOaXjJs0hAG3Leh6+gXCrLOivHQdZJc3uxQcwfZ
TX5GewaU1d4hgn03kd5eGoBAzDUZrdNTQDLGtI/BKYlJgmRCe49f58vYRLclkbELFPfu/Tcfxc/P
pycol3k0udqZwvl5Z+hlERaqpsMp7G2NyFQdh/K4Jk2Af/v+Sv/9hwO9/Y7o/1Iig03WcNIf//V/
PZWa//3H+j3//JqfvuTwXq5xA+3PX/TD9/D3/vm6a0rBD/8CTwuI1X3/3swP73j3uv8bGrB+5X/1
P/6Ze/A0V+QevH0lQDVIWh7/L90PjRB3zWz6f7Mv/zcpkM2/1rd//85/si/xWfrszS40XE5UtrM/
2ZfyDyVNV/CECDZvroL/2UHx/6Cl4dHY4OTx1pPnz/6JZf8h7fX856+Tjv3vtU+sn3eq9SUs6XNg
eNL1uIr++JxKVFyD1ae4fvtobB+xuHtPsL0LJB94FG+RYHgAwwAB7guTCbJjdik3xcj9TU+Ake16
TvxwolsctjRzKFfZN4nD+vGdmO4goYL5WECstn3OPFQWofTD0xBp+6nPEv8y0YBm/rQhyhmwWNkf
PTy+5KOC0uePQFBZWXkos1h/4tyD2B0nM8AoLmKBjkL3zmTGcVqYewaz7/c3MQFqJHjXLtl+tWHf
xy3S0YTC+QTTsKGpbizdlt0p3BlNNgbCVTPhgXg9Y8Qvr5btKJvtGtFB6s3+WfZAIja+TWJQytfP
CIMRaWILBn1jFDYCUudGJ8I4Aod2oRG1nXjDCpFfuyKHtdzVOWPVyazPk+yIPsZ1RRr48tXKGvfJ
ZxEcylkMuBBHcPR5xiUljbMEgtpYfkYz3Z4Id2puY6ezrsgTsAMZE0Ynfae7i3CVBQ4RfDsTZG5e
VscpQUSiARV/mHGm1psUOcPWSS35anGvIuvGtD/Eo2/s+yoTp7QQaHQGYV/qODL2fIl5ICxABuUY
N8eWa84lMsR4AlHFoHPO8etGbMRO3Z/nzlhz2p1oV411xRlV2xl5ToXYw2Jyd2HnMCJwZffkAncJ
/KQUwdrieSTAyGUvhF3RzPBw6B6T3NOKhR+tJrESAoXGZngd6Sx96pmXvIxjPeypM0NcD44JOxAr
Zl3CJhV4Wr/WOgVfo7Pi3gEGj0ZRGv31WOnmKomEE+D72LfTeO3E9RGs39kjtHsfTZgLBlPdKqDT
+OCzyNouOPltBnAbZHcoyLLCP2SCK0Lb0qVy4hn2cUxPK1yybZtqRiLtXd4nJP7EYQ3PqOWY0U1y
ZIgUB1XX1DdVlnWvSRphDWi7EuYAwFbmRsZnhYx95w3FfKNdfwj8kfVEFGazd1bOX8Ucef1/8mvU
dISvTVX0stg4YTdYmudrTr2C1yyte3MCltLrYbqFmLBALsAWPi4VuGW/uKWf0xBn0C+HKuq6+zx3
5SHPneXewYNJ5YrnUQsYrINckjtik4pbrGHRTtiEZJPMLE9xDQ3BjesoaArT3g6qW7NQq+o5L2CW
+okiqhlq867w9TfIpNEO5Yx+Ch1F5NfcqIC/o9z2cS2Pw+Qvlwng3Kl0O+9QEAOwE4jPyZfSCj+z
QTJXE5nedprCKuBynhwb6FA7+B7mdMAUY8Lqprre92Dusc2hNbnRoHkCo5oUgYV61ni/cnE1x2iZ
ek7e26Q1xMMwIcUv2pupWpYDcmL32iud+QAVdkBcL63ryItvfTaZHYTiW7PX2zxGbx2ZRX8eLJF8
mcsm/oaSrt/6eYdT1F/C9RoLcEMJrqjs+kfR5/IK/xoIy9EB+UrEwh6dqrxlUohIrXfDh6iASGVX
XnIlSQM8dmPff2nIC3lgZ0YzpVaJbd0j31fwsvxI6hiLW0+KFFozmZ3wtW4nFj9RDqrv54O71Jom
ZpTCb2irGgQspoO92/pedVMM5kgmZBNh0Btp7K68xX0aobbG3ou+LAxJoAQQrDpgg6Yg2rkf4P1Z
YpS0ssJngejzlsDlctnarl/ipkCQAvkmQX/4EXlAf2/YJcmMNtDC5xZUBpbYMLqVXQMrnxCq61DE
8549bT60c19c4aaNP9KswXLuRSS5kCkDl3gS/koEQoC35aYziUtcZe6Vcogc3onKf58zmUWnqijq
3dh3xZVHpvmrk/j0hdNSE/XeCaygnpLc2UGYrLHz1bekzEgyC5em+6ZaryW1Y+leteX3x0qWt0Vs
vKDjaY/FWq35lnTRXSaAhKvcIlttln7H8784H3OVSZ/bVFS+OroheDgFdO+bozqFY+JtZ60LkrVW
UqJhhxNt5TrM7/DlDtZBh6MznWQ6D8jtdWhl79JwuUCCDHEeaZMJyv/KqN5aHoW3MLSL5zInvbmO
JI27sOSA3lkNr6b9ZfxQpWi0OKRC5zkahtdM+8Z59twpPCM2RJ8gV/Sy2yXm1kwEAii5rv+oagQ+
Lg+JNtaYdjsls/xmzbb7wFHYEvKs0jy9h2ZanjplJY89A8lHoJsTjCqrBqA7aL/+FulWELEALOoF
26hgVOjNp65CNjMngzzLefDefa3oD4S2mR4Nz3IvYeoAtGBEWj/asSuvi4nfapbl6jCQ14ll2qgl
EBtZg56W9YPDbk07tK6PjCGGfdRGtrsH3eCBn3G86VosIdGobkIcLWQMJGbkwnXDqLAomLl321qh
Sq+GDEbd4J1TO203jgOG1MzKsEIQZNbmS+k3ycfRTXsbawaZNhudR53AKdS7n6QZ18Vtipu03HUJ
6VEYEDyTFF+jaTcLFod7q8DibVgEsMcYPV5JqQPMh9DsEVcBYyirdfe2mMrbMDcirCd+fKKqyaqN
HPgrqLXGlOtxMwT5lIyHmv7SmUaet6VKM+4RjpYHi9bLthiX8l0lEw1TmEYzmdHh8KGZrCINsrQu
UDwUGb7dTNvdjohYyLtLPGgaprpE7WaNfYDQ/oQ7efocK2MMymaOXyJbt9dYtfXWiGPCeTXBSwO/
4O0ycH5qzDe4Hb0T2p/llrgGGTS130JCN7VBLeYd0CBhWyt0pqHeZiF6gHOFVMJhTjISUE6nYxmv
2jKNryhnaJHYFlBhygb55LR9jBKx4nw/QLG07rKa4fA4k6SQLaVEqtWI5oHv2rspmOoGlN+81S58
itxU5zFqZxi3c6TJtmna1yqUCNFSdz5Zqd3tMTdHHEfC3xe1ywjaUjn2ShJQh2V29zBsaDHjv79I
A/18EjUJ6pdN5bzH5mnFuUqzf2MoswFae2Wr12YYuS7lA1I2B8fAZ+rLct9ZZE8GxTQPL0Y813d5
A5hcZCFpjlgevZvS4LA8zGYv16R3/8CsIg3Qd+SHNHTpTEeRPLhm4kFzlUN9Q/BfDA+wtzZWr6vd
FJrWDKnWtMurslzca+nr4S6GcIqsCDLzGdto9jT0IfJ/8DgHd2jzU9rCmEMFK9pdWpXz+2BrYsIj
MslfvI40TRgrAJj9tFXAbE2xDiotjEu7UoNS301Fa6bhxsXcuCkHRlInYFvJFi4kuNcw1BikJgSq
S9lUe4nA50I2kHmTjgpo69hnzxN4D/sKfwZCrdFS4dEPwzo/pmA1LkxH+gpdnIvJitagHCzjOIjB
+syEQ9w5o91SVyNufGS3iV0Wbt9XQcykKwCIjRI0HK6yyL8AI9oLleU7ip7qEBERdBldt92AaTbe
FlSE7WEAkHlF4MdbzTztthYI6tEI2vl7XygCcNkVOf3hNCOcdrg9IIOag8wxi2uVQ7xpjcF8rpDe
33HA1efSHIF1+Ea3Z1zW750J11mK0f+bm8t8l1kCMrSLSQeXRY8yZCQ6F32S8YzUkD1knkKybX3c
uYes0i2QI7d+WEbphJups8VNE5r+NvGX6Q3OX3g/s4sfcISZSJoAvBJCw2gjb98bB7SwjMw6QP1V
cXJGIUXnYgWuNd6EDUUB/I0zhjq9S+dM7QaIBx8qG5OI5KDZ5GibSbwN1fUc5/Ezdh7y2GRHd52Y
n7y024mfeukujRshrssaxUZi5/2RWCoKtyi2T6bDlM+ZkPA6eXFGuPRB2vrdCL3bbgD6kFm4L8Fg
Am2KixFyh8fJlKIcVwp2F1yYWzrD+sswN/1tSfUFmCyMLvGSxUfpReOVsj5nJPB1XUeUGl5eE2Hq
EQVKzF1qGYMZEeje4kCC9AEYLQXpHh1lgisutAm0JCU3wUhB7klTROdsSeR1pCLrjCit2WSpAJS6
gNgKchRHlIz6qzfWkbVph/Gp4mGiMxOVW3BV1XaNaAkIrcnuI7KwTmETOWev6517x9Le1YA5dIdJ
zA/IukoOIU/7GfUfVHBRNhYlaGGuy9DFcMDSMCaMyCWZX2EuJUjU5MrLOkBBY2B58QETA2t63hKu
lgdUHclViMRw29jpdG5s1wwgo69eCBKwCX3XFlJkVKsRnkZ6qVnjMDOaEAzWx9qkhlicwcPjJNtN
JNP8FC6a/Q8I17MVViVJC3o2VhSNcY6j2n81gWYcUCZZL41Hye6TZYv5bOkDpJ7RdY6EbeeO/nBc
yFL45KFEeEHsWD1QAafwWJLhOSvC8iSKyniwht59yJY6Y68E/b9xVjsvWjUk8OSP7UyKti8WtPST
Z2H33Thd+RUiPepoB/JlDRxRh24wm+Fnc+LsQz0KzNXd9onxVKe9QUrRIDcViVNHY87VCR2eD8Jl
9B9XmmNQRDVJrBYF7KAKsWsZPwauqi5mXBCgDhRTAjCMhcMt0tQP6TBl1AlF82ZJ1CEaqRhuocY4
tcI+Qj4xrkzBaKdATnDT+V17pfzswYXd73oYqG2nuSntl9qcrvvM3OHx3dud/JjF420xmtYxi6dH
D8EtgW9kSTTHEHwaxxL6ytAiO47S8KWJ/Fet/cAekreGxsY2b/AvRl4RP6RTr49+R8+RY6a4ONlo
s46b8uR72RkrMqzmyVnOEpXtTrkeUeaZd3BmIhVQYeXH0CyS0wgb/yCG/tEUBK17c4FUIOeCB7G1
ZipEGX4yXS5XS6yzLyQvrwxDlS5bwsJkkPbskbZpHGPU7oGLDw/DPYg+3C/hecqZkhq4FY++xU0f
qEqqLpjIiCmYVLC03nBq8gz0ljpZfXy2tH1chK53wHndD1WlsFjQh/+QpA6SwIbUx51rzxyMmdYa
gi0q2h63a+/ulzapno3RzwNPcEVZJFgywDHVOS7N4bFScKOBKKWM2bYecOXYTq86Xb8Xk9tcEyxm
oKb1zGLHBn9lVl5QN5be02JCxMtgaFuLCRhZ1szXi20NgWTK80Xw8xGV1QN0UcXkwDDxCLJHVXAH
gNvdh+ZgBYXyN22Uow6u6bvLodv2AssW9qBXIQ3zAfEDKiB7wgmpTVfZJHDKZt8hBziMSVFuRprJ
JxMb0RZCqU92MvDKTdW4qGYx6shKjheFCecyiBLIPG7yxXrH4g2xCyCR7z9CDQySWNzNCWlRXfKZ
6fX7HDWQoMyqpBC3a3ybrozqY4vSfM+xaWxHN58Yehom3WY9QngeLG7ZRnLk5Dpm5Eti0g1GZ6DR
DUKAe/jR80oeKKV3nLbvcrRvmI37h1bRIDass+thb6TW2tfD8LG3x6jZTkJkp5rj4LGxzPlGhPHH
XtgA4krjWSS+e6vTqXszXFEd+e+bIqNsQSldn0TNbYwSxXicfHFdijqo0sncqrKSF1xj4SZ17Vc2
cOSjZu0+C6GtwECpGniz9ayV9AOU0M12aeI9NfS2If1mLrv33lwzFTmaN75C65r1HnAkLb9lyj7J
ODkBvNjGo36qZUJ56Y5keCPyrjnA9zok0UKLQ17Mr0aFJtJbNcgJSWPJJnfy7pFLNhEXTnKdQhE4
+FZ3NzZodwVZkXdxKz6kpT9v1USejZWb1IsWHSPGh0TQtcl+giq9dRI7p5VnOTfTJIFj42wNsgYh
slvInd2aO9mUcN+hqV052cXwzXM1JgmPY/G4ao/7obgK/dY/Jm0P9s0n4LHtez/oSwvQRw2Szy+6
q3TBRJBz4YDqOR0lOs1Dh2ESH8g0lyfk4v0ejL11MqyYNJgW3l29DNGnKLMgzivxxpX/SaAZHu/s
Cl5V/VXR53qCxlCeLErfU0xnaFdMAz6KnAs1MMe9OSnv6Ngg2Yqxv4007Za+L6tnQbjaEUx7j8/A
8DDeVVW6KbqhQTwHHcBWq9aXRtgeA7J8BEUGnt5cputyWQ3hqS3rk5RpH4A+SILCny4GkjBQo+nE
B2VGh8pGo6psNeO4qkTyYXAn54Z1trN7tNYybC9k1C2bMjXpep2W1PZ2fG/72raOcbK5KaLfNWcy
2xf1pVrC9giG/9EP00dtl/FBlWl1aPwqe4aiWgU1E2swGrwvcsx2WS3DAC9Cv4s456mTmWGleO6o
wqsHJAPDhvzYHTY5B3YbvLcTrodqW4/jR7dEXkDaQ3yCXeFcEwGcBdEQE/We5lmFyyriMzuOk/CY
VVUox+kLwdd0U76OXHq0D0VMh6p2vypaXSjtASECoJru0zaqgZGt/XDfVCOdVOyLth29ZIubQfgt
i6tCyKnatUmKcswIW7AQITGyhxFkK46hkTyhDGwEkUP4reKsDzQ4PaJdzQZ/oapsg31hzq1rpntD
dMFKei7c1HgO7WrZpBVXj11LJvyT77oQX2yY/MgzSp1eppaSTIWVdRxGyzyTn1CwOgtNRN80S3Wj
BOlRYdTWR76F5GU76S7c5e3nBNLuyeokiN+4onQkceTCVIwWDgSce5tM2ls4vOJQx016QCZNAWTJ
2oJjgFssGCrtXsyhCxqKP8E4EpMVXYqL37j2Y6/t6CqfbfuJjb+4RT4RHwZU4njpmro+2KkW9X4y
wU4iaKgmHD11xdGH4WN2ahzpLox68LOzHb95kv1ik8Di/oDy+br3mVmqeSzu0hpThTU576AIxGcT
HEoc2J4Iv4Z5op8oQz6mvptt6qy5t/v2Cd7m6n6j4dUv4xGJZ7XPqJ3PuIVZri6NL3LrhyOe7AJ4
W6KOXgWzv4pCczeUHauI9mAQzdlyB7MLAoRJnjymHaC0S7YmbZgODTqJnk+XChAmQiMvIy+sqics
X3H3YZhjzS+/eUmsGqFUooH4M9G+wStA4JPR1p8cfNMxMjE1HhCxowVHQwfu2eViE4VPcez7J2S/
lDtkCkuvP09JmrLhTenVbKtvCeX//yHvPJYkR9Lt/CrXuL5og3AA7gsuGFplRkbqyg0sRRW0Bhzi
6flF9cywu0bZNSMXJG1WY1XVKSIC/vv5z/nOwknybpUiQfEkGIESQoIDfJjlHCbtTNar76zi5M3B
HbTBO4/I5CXyrwE+Dbm37OzPIqLksHFp6R1zZuMmmZ1jC8vyXXshbJBSvanOkjuvAsPClCSWkwbP
USiMiayIsmQ/atvacepyNbYPMVPTE4E+99a2ePsVvhEe+lEaOy52w5rh/dLFbGRHFlMbv+5OFoN6
Kzu9dWZUSeqy5naftoVxqyew57wej1Hl8eXonlgJaGwLEoOa1XGChN/ww2fVEpfh2Zhr8wSqjDZM
cPAHixT+giCpQhmifJSS2XvrmpwOGppL/GFgHRyoh2nsxJH+igfWxhAS3GHTaB9YcJc9kiG5negV
wbqIbYn2D0L7c4pBeun2s7mDG95tbCYcnoVIo2LdKc0zefDT8qhKp4tQARrBm3nA4mt5PJBBqlRP
5Iq9rxIoy8ooI0X5SjPz8sKGB0RO8lNWoL6BBFWbisfiTRe1wR2VPvNhYskPZq7LlnTSPrkh2dk2
UZteqHcvsY7ZGJ5oXPO3wsVn2EzOhfV4CiKhXzZ1DIaoeZ765NXVJUJrW+EGLH1MDpeg1dFqZsHy
0MB4XNr0gt07JtzoGgPdikx79OzaibeDGMdIM7bliuDSKpwtf1VHlVj7sjK2eacWYX8Z2TWBGIqS
Q8Jn7T0fgzhYZn7F2N01aC+9yycgLNyT1dvsxSDEmGtZdYdQC4kBttkD8MA+INw53ko4sNxWmBZA
fxJHD3Kya0vTFSaSo1dsHZKKvIwyt59NrCfXAYjkpxyz4oPmKIh3VW+XJ/6jyaGQ01NHjg+B0N6U
PN9u1JTR7GKQGPqcUwYzzsOBJPmsKYEv0mihms58dePGoPYjd04zb+Vnqor1ckRjpwOlj9ozzwU6
cuiyyN68UenPyO+41yEaKM1SKE3d+UjCJKYriujXs4tD/qzpFA8XU8qLwI5piG6ht2P3hTLAmJn9
pCVZXruPxnLmcdWY+tuAC+ipj6yo2GY+OlUR4q9AyRT461i9ZefQhQi4dDIAuYs5zPGq+DIWFc0e
fvwEmK/Zs45ijCuoGttwoxY7HwzFvPDKyubvQqAlXD3o18QvPkGhG8tu6j65lhPrruMywRZufxJ0
414Ehxsxw0iQRNrelEdtdzFPipL/rXoorzeTV0aMlKb7WhCzIUnLY6C9MRyv/XAyO/aXrR2Um6rX
7lfCQL6ZtfD2Mgi9G7as4y2xNExUmp1w4w1Ys+PMvfSe4IkW+SFvlNrn1esjz7nWKjXsn6Ir/YK1
D0oXpSGto7/z2+k3RTfaS99K4h2BontvFKwhs4DsXSJcY5kESXbTgf55QFmLNnWZ0x5DtnYpjTrv
YHJ4XszHL9HhyvewMftW4H6UJTmntcjM+tAahNPsTtEQhSq788fMOWeAQ6GMBHJgFU2fklMTetZA
x8CF+Rx8I1ikxNiCAC7oeJHvRQQIQNZBcscbv6ZTRvX70i7ts6mjd0VTHAFMZtpFP+hvouroWhJh
vU7FfNdHOlvZVa6gclHKG0RAqeB9zat6eq1iaqzoQXPs8paNYMm/r62nsKpXekqbrYrl/FzoyITT
C6YWyNKwGkcL1E7WHJzC5dbhz82OW2C0aR0q9frK5Fnfe280IkbTOikglZtKNzeJRPwakcDuRRqA
H0gKVzyybJo3wMGDy1AM8aajZ+VbQF9eNiM6pCqg8rFp8ueClq0lmSYMp0rFFxqvna12vSxfQpsj
ycsWxZuXyRwovLQBpmKdJslj1JvdPbUreb6GSBZSh2WbMdn3iZEASIu1Ch3OZDf1l8HsjA/jlFq7
2O31VoyKC1p53arFexjvrE4dKJbXk9rn4rH2Fc7WCkMALmYM7KS+ian1pDVFR7k7i1lrlcSDxq9c
PXIzY0rpRLOVZQUnYUj0Jp+yeDWl9hv7t+DIIJKcMqbJZV5zoZmo6Dq6FY9anVDWQkeevoHK4L74
dBjloTlsEvCFOwxV/i6tquZYzVa8SQF13keDrbcsGZA5u2rAhsvUUm+7YggeIlLrt8iV/CgJS0G/
LsSR1bR1x29VMB+Iqbqxrk5utmukh8vZt7FRVHI+FfPo/5imIs+2bF+4A7J1I3PcUF8lxcy7By0V
sqHoz05f3YGsWhWoeTf12Hl7kfkYv03PLY9hESLG1aY78xca3WOthuai5vJHjRusWAweKxW/dPqv
DOvApjOyYOeEFL8syraytxCXrSMh211G39J7qrHxrJU2Bp+4bhE/8/q+TXadbEdEBI4u9uqLMLe4
to3BykvaV1Mk0TYSMZ2ogxW51NMg0yHusL8zV/gXjR5Obu+thxSE4qKx9HEin7CUddF/A54w3SUT
52NVE+TrIi4GjVMefTzYOJQ9l8OGnTnzfz1FMblBmnDIDrTOGfhwtuhK845dwya+Bthzd3qyMjf9
mo08fmxV43+xgVMnt7cOcZ84mHObAACFtIeGsG9sQaykdPPVYCF7Lq26gUheWLwrLGNlpjAWBpV0
lO8Ah8byHHtIwcwMn2ig3Dzs2jmHNjBjjEEwq2SRn1n8j/syKhScjFGYxzCP+WgnHQsmw62xbhnf
gmYksR8xbyy9UptH1GdOG524yWeAWMk1QQze1hmsZIdnR/EC9fULwtA3akQ/hlFlHONe8+QQi9nH
tQu4kOM0frW4f5IgAjrLU8icdkPDnM5do+U2hfs1ldxZVqGK9RpKfHEhf0Ccu5DeGYqEv7arbNjN
RarnJUpft8EhWQp6Xwc8GQOkYZLEA3i0KXOWPy84KbLEBk7fhY0XhfJxaaFihO24k4atWGUYcmvU
o30phalPvsHmteN5dI/Jw1jOKP00HY3jXeaGYmd3XfgadYXzBJskxetwbdR1AJhDAhV62/ZXfdxI
G4tO1OGaPgPByMKLKPYAa7+MXcxEfshJEMPJzxcazPvCGsIVeHubllkKbjvwN1gxZo82uVL6ycqr
vWIt/fZHYsXdqiuDGghfgp2hSbN5bTvWo4+2v4xNiwJbnqZUDU75CezknavpEGu90l3Y7uzfUmuE
hzAexw+dOeTGWznIC3DegWord1a3Zmzl9yxp1YNtiPGOBbb3YcuoOBoTZBRRmPqQND4tCmGY9Uun
pIZV0N25n5zutUWHxijd08ToxGO6wUnTbDlK8bvA3zn3dn5Pni094bDE3KEgDIhBPtc50PkWhAWj
pByTpxq/zt1AwfK4MHuRPI/1zI7AkDPmJmLipMLmm4Y3BCyVQNNbOvn7Nkq3Eaigg5vHyJGBlIfE
dW+rIM1ha+YS8NNU7NEyNATNKucTMQ4Hq8I4A48VfbPxfYpLAXy/BiT16DRynBfDc+5lEwBQqoa7
qAmLlR9wi6M3DRfr4EarfEwuEXvCGDfUjjZdPj9KTccpqVBeyT3c0rHRLAHK7R3G2Uvhx+gGXKJO
asppnuXy5NxUvip36H6fsq0ehTkdw5CFkTTcA3wAljZUzva7JBjN16ipQcdludq6QuRPFj1P8aJj
J70vkuJglV4PjSPFEyLccRVbdv2cpfyiJJ1QC67JNdUjLKpNlg/UF+BXqpe1N2SbkOrPnW3E2Dpg
LC9zs642QIcQAEZaYc1FFbKXjYSZXXhMa5BkgsQdJwfsDhDAx97W36vGQutpQ3cXxNS5LjJWkbc8
t9wl/q/pgJ9AsJ0Ox0fdheOtpGlxp3pAZ1gss/UcB0hSyirua4aL+6Gb7HUI7+IbjCi6R6J+1Mcx
p5ovUpb84Y1O8Azxc1xEAF1yFOmgTvnkz5R2xK56KeJsWlHMhWoQlQa0AZtmuytbKSH8uc8j375Y
sRffOgUBIjVHMPTU4HR3aAPRZ0bxDB26FRlwByESu4PlHSevFa9WOow8z+YW1XB0aa6dcMuDKcjw
bcXsE1yhPutAiQODSviJSMgMkVylKKdOLjGX8JyLQE+pR/d6lYJezABX1kKVZvdtDjz7GXUj/oY/
DeRZXTvrUAXGegap+T0yhHVPOxObg6DMHoEiEA+yE673BfwxR1X+g0vYdxv1NVUfdDHe65D1+bIS
fXboCKn/gM6gHwqOVxYzU3CuVe26eCeyfJd38OqMJAgOfe44Gzrf2Cq0sjDh+kzDN2QW74aVVbaW
peyBbwyiPbMxEA95zwXcKKf0IS2Nj6Rt5MZrOD/7LDhAJIGq77jNOaxH690tNLJiymdmAZqO5JwP
r5EiOTg59WzvW3joEAcNimDg6KDPD32zygqf+HyDkFElalhShmf9sBMZHHHogK6oDDoq6NfoozuP
4WDDMi445CWfw6Gpc962XPW5OqMWsI2y74eyDe4Tpcp1iBHgsQjiB05XZh6XuzTHr7Nrct9nlxal
xzbNxidviGYK2CoWT0bWsbNmrF0xI6cvigYdxGgjiF41QKNkobJkQHZA357x1fCIio1042Pnhufv
ze9FFXtbGbG9a7vcWSqunEswqRxX7PoeUMO6nev6V3ffVXuvzL79gbmGpFQZug9zbc17ghikk2zo
CVy61KFKBw9Ng00MH1VYBiKHuKNbH11h8ohTYMuLeVuywc7HWx13FzpSOpxxnd70KpAb3GTMnGFs
bAtWNw+tBmgZ6tbdmYK2GbB5Fkykid37j9nwqFJp5oJyZH4HpLUcEDFeuQcRGdw2Sd+cBQXNlFLw
/YfEI9DyfSH5lVvfeeAYNzqYKG3yMkMaCzeD9LT4T7xiSZLY2bSJ9OBay0yW3926DNajG2TfMjoN
WaFgGX6CXR3sXNxXd7oIkjdQG/rWdVi6oNNihoXBmPFESorL//dGeD76Pkmwf2WGX71/4YV/L77+
4/Y9fG/+Y/euv2fxn+z0f/uv/AUt4PxmOx6pfUuQiDbxwP/NGG//RpCJGLpD2O0n+v1vxnjb/I3k
FweMS3rc/Zke/4sznj8xHZvsqTDRVhk9rf8KWeDX9JurTA/BXSno8nwj5i9+9ARYNEcE9u+BVUaS
jFtKWjkfbHR38W+CkNavQUgyAHjwLYD2PgQRfhV/9r6HjH1l5bYBJ0zJikSzU2a9l/qbomRNqnDF
kUDvhhflYB6d2btcBUDnNQvBxMcjG1v8OZCQ//Dq3f19PPNnvu+Pjvyf35VjC0nAipTdFQnxx3hm
wOmnvLwO1hV37S6t9yil3XKgZvfakj1jJvINfCqNt5HwmaB/r6YAG1gQVlAsUXuq3z9Wf4qX/DEv
av/8nf/yHYHGxjBIYoJgtfnLd8SpW7ErCyk1nPsI5V7sUe7EvVBWcB6jiBnDNbIzUPKeO7M3H+Ly
ylGb3X6RpBojU1S8GU3hXjhcs6MD7fwoBA2sfrGpRs4Lpxje6M7OSAQR8UGPKm48GNLpgCwMLLtg
7kVMVZ6BG4lu0IhFMR27dYnWETEJ2e6NCdVAVXBcRbFKMopM0x59CGevcT/Y5f1Mq5EdihV7BXwG
09ogvTz0aoGB+hB69KfVFDR69g5Bntzg63UYNiLwKPrDKI70zzE0Dc6hmhaZLXapeta9ftE9vkKM
8riCR38vOjJ4/V5O9C9Tku00HWTlDN5keJnFga7VWwo2r1ZWnGfTOveDg0sReopBSQXZaXKHB6DT
B4ct6dg6O3y2+bLHXVITctgYA/Uotr+yoRsaFDj2ornRrD5b5wftcCsp+JrZsK6otXaoom/dFzJy
hwRDIuhmVoou53q/sGIMnSjGiVvuGnBtYdby6+HLKACt9XBfNu6F13ORGM6u7/AGzoi89BYs7KRZ
WTVOxjONfigHHYqUXFJNtTBNTjTBJ1NLUg4YG+OHFGi50dxOlU8MInrXSbAW4qMey7e2/WSGQaMB
8huqcxvAf5/u4qbYSQsVR/qbOMfkHbB5BexaPcRd8Mai3LiZal45v0/P3NGGe5pYym7JjWRhdwEQ
71yUn6FTs24D5ZYD9KqYOdFnvxO1iy72HJbvyuFsXzju9UNzLWFHtt37g3jwkZ6fPNBY+5Zl/7dB
4yLoHRVuh8EH84/7MXzOq7QA8UQWwwqKmXro1BJEGdw+f4Dp2m/QaKlUpn8Mv/swTgTbK6InLoGM
HaH3nlUB6++bSFfxyemds9u03qWZtX/f2Xn9ezb3f3cO7IYbZdmWP7pfg2B/yo7935QWux5vP9tD
/nli7BHWX9+8/92p+POf/X4qKpsDzoaRY16rS8hfk8n6PS6mrN9gwSgbMyl/TiyM599fgDu2+I2H
NCkzj38iPcfmj/56LHKW2uoK6XGkbUqTp+ZfE3N/OQV+D/H9k9C+d41u/uEhLEELeETPTeFx+Hrq
V8ADywi8yMLqd/jxqdRNu2tUXu5yDbIBu/6r9JBtNIWhS5eV9XbGrDHa9gsum9fcz8z7AAlr7dbD
VzfF/iLt8n7djR6ILPzU2CTr4gEyfHtk8QwSDmMTliYL2zX3H68y0hUyZLQrWtrBw7C69SukqRYi
83oq3dcSZOPGg2iA8vI9r3DeT9QIZqGLl1olgk2Z8SVC5xb4mU2A1qjfohK0LMmEcddNE7UlrhPw
VUP9BkRxZ8zlCeOHBnE65P4i98I7arppKoQrtjZpdEDDxepaSd85cgWaD9j3vROcWh8Ehc9MfW3V
eA5U+GjG6Tt5qdfU7LKMgMI03xi+wBNBpAUJBqJg1E+cUrbo7/MJ9mCTilPlWePeTtkfzMFUrpDH
0AJrRBuFBj7Bt0tcq/9h9eq2nRCOrcbxL1B3eJ5V0TqCMLmdYCtzQ6/xuuJZWRrA3T6cOjR2ngBl
HrVIQlASbXysyt8jMlWwBRFpOm96a0YVcXmdgdIMul3aJMWWVeFUH72njJvA0+ZeUZ0Oyw8vO6gX
Qflw028AaHxPqDbYGqr2aaJhGziEWAH7xLIXlkmJHItusU4jmh8GVTeHOh/te9nOX1UVYKhNx/o8
wJx5dcrpFWJFBJ5wipFD6N3IW/Mk6rTnhCFCNbOGW6Y6+0F1W7rzf66DcWJ7mr8+d9kUISuAYda5
eSh9zOX8rWxnVk10jP3sMYb84oOrPEiTvRwZHvTSoGlX2IfSdUtJCtDhMENEoI3Kykn1zaly6Na6
koIq8UQsLFj7oeHe9En9wvtVfR9NuPImvYC3s836CTZzvtZV+xgY7Munce2VY74w55ZSdZGutKmx
WxUOD2aDVEkxXhsMWjQtWiKAp5IUSJx2Q6tV92yGVxOCJwnT0xs0JndUnfCe5fO+1BEs21bnjloo
TUhwHNswuEnwiDXbfO7Enktq3C/CCWaUuBpCLNcAg4fQR2etna1LEQ77PLYYH3kPnsOu1YcAIWIH
yJ0hI4p4nKl2O3cVhV4oBkuZNc6RITW5bxMht3ZF7zwhlmcL9fMhV3l4GJj3d3TYIDwK78nigrxN
Y50/Z0lKi0oh9XpwJ91h1O1GcPBG8K0p8c8EqV2fsCyFh3kaPLJM2gfaY7mNveqD5nsJZHAVlgRh
vBFlkTbt8QIbU62qUaTrceidZdd6BxKmztlsAhxXgctCUQ3xZbCIK0yV7M8U0tBsgVP7s5uwVnUc
o97glztpXnGGbDouAXChFcgvFqIsPDedqTAJt4FPCi5kxdoNAJk8klo7QixFts4z5rSJJk4iekb/
MrXKe6JjzN/VlOG+EFoIlobpJxtXm8k2Jku7T/x6OtZ0jTypuKpPYVl7oInc2b7PZsu4VXkzb3PE
gBfG+RczYplfgnEn/1KQgBzvAJbY33Vl6fsYX+zKiNsWup72fFTYcj5IXJ1UbVQfLJqG7xrL/Nmv
nOGgJg+XCevmpQjQ0gyaXjbWHL5IAeaWVqEj5Hyb3SJTIv50OiHMZT455XX/SI1dYPPJjZ0ElRLe
RqUj/3ilId8Nc1CdAqtLzhFXqGUJj7L3Yr3NRVe/FGbPZFTmzW1Xw4CIpsZc9WiJ6/za/KyTOXnS
im8jG6b5Pojmy+gWzMaysFaYE5jJk/7COWTse/TpDSCt8INd7LyzMuMxHOurJfe6SbKL7sySyV1J
ybbIKcAtFHZ8GmWUUqQqygvyP159tt2sXXwD+JtvL0D1BitKaibMBvA09oZrABEyQGAHscy3JkDf
00j3ycLIa3aReWbiOHZ4Csfud4u190p5mbUkaX/JG+8ztiXG9GQAqKSI0I0m3PlUJxCK+3Ze/8xr
5EEK57cInk1Rcipevwc7c1Hn4oG8bafsF0l8dkl/prcOg1ndUC2CkcTWriDZ6ITDhxEChL3iBppH
u5I/3Da5yYf+OkMCgIysNWmLswbEh2aVOqQxZMSEOlAVpGWKbGIk9/5oVTe+6SXPlZLemjTXAHk7
eqbScOsa5NVITTbF0jPUt3nG6Ver6qsceUMREX/UNXvMhKLxFVz421nPNwTBpiWnXfJEqt7e94ah
8HTwSjONBhtHczOVOY8eeDVfhT1/UL76pn2W7QuD2td1ZvsR2S1yzG5axAewOXdxVDc30mThEjr2
JbY8ZzkF2LzKQtsr2V8pxSCNFwJqx67VafMYOtSvzFjhth7dLzviVu+mwVOIqO8qsIO117kfE7fi
QbhfdKIAQ8ZwBCvH/fo/ovb8PzfuwjJAx/jno+7/aNv3/I+D7u//4C9Drnct9rNZE5D29+BNwln4
fciV6refFBvfE4KMzc8/+euQ6/9GS6xLYSMMLez9DprNX4fcK6USJIJkLnZdYIn/Ne3Hsv805Eqh
uDPylbAKKl/wtX7hIpSRP5iRwRWYZxO4XHM0+JTRUeVQ/lwSvkVanbM7GQcRvS4IW8WSqErH06JL
yO5Ena9bvGumDwWp7CxgzSbFK07u9tTAGn0Qk+cXwABUo9c28tj3ybqGVg02OwfhZlz0Q/wtPGN0
vPeofUmoir4TtE5cFE6j2xBDPYYDoziNtor3HPrkFGzxIAWIL36D09asrGZVEiy8Ifu1aWW1SsSQ
rF3POfh5vvQr2rvnZpiXxDULrrCI1HMjy42PqXAl0p4EtkvgpqzVDZVg1q022nAr5uiNZrf4ONnU
KiXE3VASgLOVrvOFuO4umRQ/SQbKbVrFkj5ZzmBAvNOebFp3mZUaDind1F+qBnJ/BfAeCqt790dD
7qjFbTZJT9UeU6G6kbH3nRHA4vQYv+aesIA5wuUSCbwvnsllMn/gzdgbgFy6PHgZawbwOjsJ1pvd
1B9yYPFxREkcXgTjU5QS2uPofGVZtW2pJFuk3rSjFLwE2ek8hgoDISbJeU3pCBijsKSRyUpessgd
153vv9L5dkoasOjSXw3t0CzjfqzX1KBJnkuGPlpD27AOtw55Xk6EYMUWegCL6Ky7S5vqCmIeW7hz
cCx2QyU+psEgA9R45mV2PPs89S5Jw0b0b3lrk9kuPR1+2oFHlgVH/R1Ab0R2axCfTdMb26yv5TnP
Q//ojN70o1EdvG4ROzVOhnE+kjobTk2Unk2rArTcDERGpopBKmRkzNuSsyDOuq8q7dkqSwI9tTqk
hOOWVkghwWI2GufMAjdAfpd3acmANXjzvYzKS+qbWyMc/Ls5j4e9q7OYuvHuSo9OA/uO9Hy9opfq
k771cSON7A2ypr6BQ7037GtVgrbb9N73e8AJpNOOo4mgVntk+5JqwGPuzMsSKvSxS/2zZQj3HghQ
a518P0iuiP3CqlfFZMTY9kWa95suZx+8NLIhJCCjMubFRPPDrrKKUjzYST3bHuyvebYWSG54VuPE
4wc2EhuYtURTSRz6xoi0O9froTfTF9NrcNusTsYmXLe+nEIiV1Hs4doqA3+FDjxgAE8sbB29UUTj
oggp1zkZgiqfXW+pqltGdgrgP0lFXL2Q/GxinNeF7CCV5/K6pb9efmwtC1YQ8LMnYBOEU45BHWXD
RpK1s6j6bhqJJb1mw5i6mVH+qNIYJlCY4B7eUGKeqWWISxGAP3RysQDXIcM1Fdg4xkJtuuU2crzJ
XoAyZL3TYUiKNkFuyPar5NKcE54C0L6yygk7ZwEZ/s20w+mlGPjEqC7B0xk2clolUNCZjKcxKncE
7iiCsbWBJ4l1IwB7t+Q6vWLFxi/LZ7ZotFj3fBtPaWLyCemIYcD+hvdODdNDC9zi+xDUEGxBUw81
+aXYSu+8MsmTzdwLmjryjvDxbZQWvPr4hKJtqEfizDZ5XgpEPDk7K5oTq2RL04hv7Ymhdtln3UBX
3yg/Jepk57QRQ0e1WJMp+ojqsY/uVUGxCM5evmBfpSsyEpoftIr8fj8FgMcXNdb8jJHZM2z7LfXi
CIC+6N6HokQry6KxvulLMOiLSM7JPkdLhiLF+Bgxhphe+5h0/mPUoXUUybhqi3r6Jt2hxn0dZRcn
ATHaxyEUkaLoHoTvo+nrVn4LuZZFC6cT8xvVh1+D1xN2NfviOTCaVaWKldFCsc+JTB09/ru0bXdA
e+lcGQedn7qG0W6rjIDfKMnKa0B0MFiRM6Sfpyaz1qBOA8j2Q9XZq9LHG7umCiUbjjy1n3UnRpTQ
qO4eEkQY5z7IamqgM9/H5ApKhDVjIZLFhMd0vHczIqq7TID20CYIj4fMt6IvQiB0fQ1x3kYr2Yj4
saG3TL+xJKa5YCYphtdO0+S5qOHNW3E67Vh1f4zY7yQS5rVEBdi8IsNezRsraAk/jq2+6xCBzsLA
8a6dcbyRTn+Z0l7sg8hLLpItOkYFdofGbPr4rbLxGyzz6lIZpooX3IfVY0tL9mUKmjy70/QffRQs
M3Z9Og9whHPfIKcs83cviK2LgSFq4dudOo8dTTOEUhP5EbIDfcli4vRgTFxoLY3TBymjoiN/yGyu
T9XUDz8C9oyA7FSJcgCqgAUnRUrNkuVWxBhbUoz5I5Yg92H/ROZtqrV3T5mB95IPBhc/HbMyUYL0
yAkuKX7VArnKKFTzWIZ1FS7bdCi+274sf2hS+q9DbROFpklMrTw3J5qN3QeDRjxiTTBK7PAo5kZ+
Q4REPJISrfNTUY1IICTUBPeH2NDJWpmRfPXLkG7SpFXjNqmC0j54Vkqlu9HoC2qzfDTLIjsVMT4w
3HqB/5Q1lvs2A2o90WHLQ9LPp/DV0wb5i9EKgcpMGYmdidiTtH1vF2CUXFuhaxEztbu9FjYlfKHA
3cLt0zR4RpQQ5iQWSzYYKIbIhGpun0YqvG/xxuCEG8MW75EXZjOBPgP0wtUuXAw8JeuM8jIT2BKe
0ilbU11fHtpu7O3N7Dite2kSnb3mLYzSTRmGzjVcqwPYfxBFqZCicRP/etB3Adlk22jYSpucf1Q0
e8UFd59BCZqHUfVCUxrGyhGev6YenevjonX8iaY11urhaqA2JV3kRsrdLpY4N7Zho9zwFBeGByW5
GPTFIpcUHkQ1u+aJVuGZVIUiIoJdpbxX5VhBo0mMqUfzBIz/HLAKGQEakP9JrqBMMBpFykdekacg
mA8fJUX03Q5drR5pm/QuCZMLTpqA575HrmxniNnZKVeOK9qG7B3nWX52ZhwY2LnkFrAQNvEJ2+HK
SNr5RNmC7BYFztljjBaAfke+ZeANoSkrll7NZXWihax3TAREOtPjJrg3+cAvmzYO1p2Hca7NKv0q
rb4+5kkcPiVtTWNdS8McYUT4/8INAfsw3RS8wiXBq0nW1QnXiky3jhCJ2mFDl7ysVUcxV0Bsqruz
oRecJUACoseR8ySGbqy3WWwMAegpCjPIwnteSkgwyfeGDJynydIxL/M0+eFaTX3/MDrJUO2tSeIa
YLHyxTHHwzJoBpZEeoiccJfFZrC2uH+8V1aujrT6ZXezKO9q3xq39BmTkVcVxYPF7J6AG8hV0bvH
euZKXtjdY+jFqbWIi+A4kLp/58BIHkLfzr6qvtLbOq0teM6OwUqrawLI3cKvv8KwYAQr3WAfZuaw
y3TOAVVRGsyNNaY4aW22jtjUYLjxBf3U58gtoNWxfUMHLAd8g8MIcSMlo7ysu6n8rNrps6sNfFid
FefoBKbt1ljMM7AOGJaS5N8gG8W/ufFc9+Gf7zS9he1//2/WfzokYM2y7MY9GkXdsaZqm0NBL9rj
H+6A/2Cr/I++DEsN5QHxRuj4FWCr4faWQWAMe39syCQAxUiW9VQL/9/8ONdV8P/aUlwvcNfX1xKY
+7kR8n///ONYyrA7Iiz9fu6L/j25nvBeN3MjCCcJ+XuEpfmdblkQcKLLbflvvrr9Z/fA718eQq0v
lPS53f76Y8ZDmBrQdrq9YCG0IcvTPdgy9zZw1mbepG12kTWxsxTg1Ld0KrG+ME0g4T7OTBfi55hB
S152HTwoSTK283g3+mW595waq41phh2M0PkqFBtDnJ3bpuFRVfpzgNUpKjHyqtO/ft3+/gfiJowH
hE2SdWV7/rJ6n0ko+1nZV/sZ0ZGcTBqTZNJlTLs27DnFGR9m0tn/V7+oc62XwBnBZOqhTv35RWzg
UQmNa4cvGs4nB7prmnf4yUI22VPNlu1v6sQ/eGder/R/fsfwxSwTwwchYJ5OV0ngDx+AUDl2kUGz
3Q9zbKxRnr/G1Njk5tj9m5/q7z8CQAgYQyRKH5s09/rnf/hCdt5aVVlTGB4TTezOwqoCDs7Ccvvd
v/6JfiE4X9+FOGUEt0jGRJsw+i8vWpjGIqHfMNt3AgNi1DNSBP0YhSfUDzjg/5O9M1luHMm27a88
e3OkAY5+8CYk2FMS1TcTmCIUQt86AAfw9XeBmVWVWffdW1bzGpZlKSJIkY7j++y9diZMQWEGljOE
9FjJuwwh3brgv2BLw8jXX6c/5Gb8xG0fzvvxOh+211nxf/+n/rf3xADni9UGYYe3hU3lX9+TSLOi
rqUD9pBh43APyPXdZVwqVm//7b8HGdS2MRChg+C1+evf4zSxbKKop+o45DIQtCQRkiAKKQi9/j3/
2YH/K2IqxhwoIgvc/u/fvYXL+gdvdQG//r//e4w/2yzGKfZnddD4x0/+LhF6qH3ENlH7FjcxO28+
E39IhCYbct0iOcHH+7of/5tAaP8mPNfjB6y/81T/JhAavwHyFmBTyYJit3Ksf2cL7v7TVwu7GqIe
W3aPsJtnIZv909GkF3oahRodhYVhze0675mmWX8biNuyx6dOLDB0XmU06eRIWyfpNrXMWB+xi8OX
LaWg8iqsm+FR6czRBFg7KFU5c7039iQQVNw9VGoqaeOuGNlsuBirmmTPnibDEnY00VMcJ2qv/N5R
N5PtqfHsVDqBHbZkyZ3d9xE7QaLOSZCTK4xP+NKl2PBsyB+ssoNVOhfTNLGMmBdOcaNDs6zceDbR
1kCErHqcLQRF0hRpzi/tYZ/BvXgA/wKCZtLoyDXG8o1FIFnYPjT6L16csc6wiONXicz+yZUOzAWh
IZysVGGEO2XXIPY11lYgMsrC3NoWQte2pWGl2iY0rVaBJJt5m3QGpWcZ7VRFELn1rB9FFhIFCNXI
km4he7h72GGmvrdmIHabkKuoS7W2csY1NCLto0IV8Vcc/Mm5CiuoUExiZ4lzfAGDVi6dvoI4LkiG
CWRjYbqtgxG/lYiKQ+i9AVTt33ORKWvl9F31S+Co+Y4tVwO2B+PuHFL/e8N9nLxOZ/uyWfWS4r8V
a9tsb2hCXbRZG+5Tsy1+mkWspQgQcUTQqlHam2ysSQvCxpHVzmqkc9GEDdCSouu8XM1ywG0dVgMZ
X4rQYY52egenAZvdUjLsGd8OW+Z8jRibv89uZ4bbXkPDgfo4c8dMWsQx7NALT8PNZqb6UPNPtEbX
W1r6hkC0srnU1N5e4qFt92ZXNQ9x6um3DW53gAZzCjQy55m1oc+v/tS5bN3qQ0pofGomDAJoPUet
7cTGsaAbEGSQgUy8oV7NUzntOqupUIENDLlRNr7CN5lu9Kj099LO5MtYV8mr5dNJvDJnT609fbGC
LAWgRkUOpiRHwBA2DsAifXWXGl62gbQNRINqiJveyAkU82ft3HyUAfU/5U7KzgtQj2j3lvyT1NyK
Deognoo+gmQWtuHRMLoKml0MDs4kmUuCsHhpDUKolWc+OyY2Rd0RcLCIKjUDuVG+Biu/SLh1KpU9
+INtHpKYV6qIlQaJl8hTE7LCDLtkeq6jskZe7MejSXCHKOg8rBtUoQnRjP5po7B4/zPBTotShfne
RPQLJgSdOz7rJiiL1IV0Bu7821NWd9/T3ACQxzYeCRvNLxrK8D5HgMQ4kTagucyxLl/ymH0wynX9
QnKw/+6hILy4hn1wlIcPJ+PPTmlxU0gJnXOZsHS9E32R98D9jE/lh3a1xpbtP4qk19dlzPVonRY9
yDGfM4UIVWqmG2VOM6FFR3yqeUl91RSDPgvRRHfWgK+iRYP6MUape+e1pvORshzZxIUdohHRbPlg
euDfpjoxDklR5V+uDH2k7EaHLNJppMvI8s45tIq0/hZJY9Ct7Cm4CO78zaZF1YFHkeUzWXn3firG
i1uhYqyo9APEzJZG8Tq1BmKU8Ix3uOuxtutpR7UDHz/4LVN4f5w4Ix5Cuu5/FXQGkjkcxuk188sc
whtH895E8YiQfUPzO2spLuc3bwIClJlwnnq/NCA09wl+ekJZD20RlZ9Oa/HtH/oSQAbIwoueOIMg
QrCUVBneeLZF1BlEZ7ma0ifoB5ZOv7pF4zSwWJ3cs8NnoG2nZhvB8O5WeKVQySAy4bjJWwfMkNGj
scEuIhc3xT1DlwlkpaL3eQn9WeQfOyEfIrJbu4Q9LLWSSS8fU7JNG4dLwAFnjXMynRx+bG5Z5OrK
7Fjqc/ihgfHW62I8p1GPcFHrU3rvtw7B4EohIw1yFnh0zag/ZGOLfcPQJnEwjMk8O5nX3eRNRuYV
ZHh8l9lEVVnr6ILzQYPmVy18YOXISO0Bd3SPAHPyp3iI7A+RamozDKwloJ3p91AC1DGxfOeci6E4
JllfRGutj+slfuffFWTVoNCP9hGZXGv5kg2khLg3M3d3siOh6SUIJmvl+M0NXwXckbGs7uF/RSfR
Dc5x8sPic5SN/0m4rt81yF1EL02z/TJIrm7HKhFPgwGWbrZKdwPR2TtHbVv/pGJdfeLPJTYYmXaH
GUnLUKDmQbV7ZyIQjZ1pAdoa5TfUTLgMy7Sx77XO3A7QBadA2NIGijZW51Rl5rbiGoQMCRcIeION
YWSepkMcA5TD3UXEsdW9gubkcWGDe7Xf3Pqo4IuHi87UFbEE9amB/yaCVIjwIWZz9W0OuDXvDNL8
XOc8C0UN51l5EzLIb0vQA/ct9jCe7NTc3JeViy4gqfKmPSylUiSTPOrKoYeo6gxOdivlGG3duKiO
sU0n8MoyU/HlFgq9XBNodOsQpNHJtyflb4UYdMqP8+SFZzZWHa6t5JfJlA0fpa3Zpzz36h0XXf/Z
p1kXGHF7XYJSlbfOBOy2PAln/ZAMsnwyy8aUqwZ3FZUsmr6gLCbztap1Zwxgdx0QiZ16ZcuyOg5S
NaeuIl3DRkgcLT/OtpRLa2tAGayjqlld5lLyhvgcuivN7bpX22+qb6B986uuWpjVGAYPcvbyIJ29
8sGnuufstqbIIO9I57UTbYwLQZmMQ+Qt0WfStibdH8cJxcNNBgfWcG4Y2BprF5LHbVaN9HNydb33
zsVoXGKvbzo+mR2EvjEgyMjHObLmAGzGVX7NDrFD2ewK7Ai7gdKV7nPqdH25qXM/2cV2lr+Xka5e
BEcnV3bR1ic/NvxNDMQDqhjNl3sx5vHRQf48TBNYa9E1zg6JZJvAE6D0I03xxSVqIIM8NSl29KW3
Eybmuze1ZUeuzfT2gCW9W3PqYxE0hj78CuE9b/oRkZ3BaKPXCStAU36WSe3tleLj33eZfTI678lC
O9+B/3s03KF+ba28RUdsaeZ1B48TKx1AvowaChXf/ih/TPiYvAJGo8QXgvI+UdpQbNifJxii/WE8
9jhqoPT1dRdtaMCw3nzZTT9q6kJAGHCqdyuV43Li8YPBej/LGlMZNRMtDMjclTgXadtmjQHhU/Z1
/p40juJN9KEsgbdtqDlKBST2uM/ITFNrQfJtCnEMaRpLpeQJp7R7iajRfYI6g92nMivz0FuAcI20
GtFG9Er7VdsUoXSAIvcpVKAgrahsivTYWufJYD7BOw15y7c0mq9AeNo3stD1cwEWdAO+3VyNvl6s
3DIuDoWhl2t3GqOL9Lo60Bzj1sVLd4uIGeLe19U9i6/kTNeLsc0IdMULEAZ+swpxj63dRrnBgCq/
7Qs/vTWowz1HkLuzjSZjm0xdFnU37cywiBBuOy/2YOcCYyPI1UBAiXdODQPiSx+19ESboxW9NJx1
PMEm+6F2lQAw3DMlbo0GRsgq1Dyf3S8Sz3PaYqBT0xRfIrfTHL4V02RyiI34x9qheZOO4Tx7uTOd
nRySEzndwXlZQr/3HHZAnYtGj9/5AutbE/IRI7RGJpHvTPnoUmd7A6q75UTtKhH4c+0dBS/823cG
WECxitwmyJg3D6UqIhAYc0mLtuV2EsB/0YmtKeli3BdgR0pOzYkYei9t4Ht0xkFpmfWC31KH3r+2
eukCBCO5ItbtbGmfpKXlY4l5CrmUmT2ogU6BYc/7d8yfKPrNMJU3veeuG9zT3VqmGiPOZA2LFO3k
7+RAuaERBUuLOwkLg6Vb0+R2YJNXtVYs3cIxMIYRjRpTAa6QsTYAG1R8lPcQIfzXkGxGuBrc0Ac2
5/JRXRc9sJqjlltYluty0nF0zsarlAgdO6R17+RPCph8KqLkudK8ApogeGaIs2llfcvWiqpdTZx5
AkrYuZDFXA+3U05be3zXmRZXjjyv2Nh5sUFLRJf7imfVBCCDIQJmjhzXXTwza3D6n7p42Ld9UZ5G
z7ReOZbsB6ficQAczD+Vw9Q9QqeQGdPU/KrmiKWZHyeEL2f2IusWova84kiand810v9IJP9CIjF9
gbT4P6sjqwR55M/KyO8/8Ico4v1mIurhHBI66ra3dO7+WRRxheMIKlSWaNw/wgHub7bQybItfiaH
eA7S599kEes3foIcjqkTknaRP/8dWYSgAfrZP0RUl1nWo6ETx5K9aO70m/5VX2toS5M0PnDNCQ3r
KV2elP0Ul8cR+SEYcBDshqZ4j+k0B17lee8JbqSzsHj+cp9eHsLl8jyOKyt7pfoqobFgdm4Mv3TD
wzh3S+Lq+kCnfdp5FfPyJFNl7pzDDJIpWQJmgQy3K030zAe+6VTfc+V2r/EMiI7xB7XVcbXxQhae
y8gyZ3BxzbZQMcVxbAfx0C/ziLVMJriTeF6DWTxEw0Q01RDaEuSfhXWql8mGRnGGHNAx5ROuIUYf
tFbtxFOHgci20gHACTPYmqM8fGbB2OyKZYpylnmquY5WqeYxZjXulLyEo6c/h9cxrDcj/myTonIA
SilAVJaj4stfFMqVs0xy7TLT0ZWTYTNPaS5Nl5lPv45/7TIJwpFhKIwds70nVJj5IOaYGv1lfmQf
Xt6U16FSvw6YGEwZNqNl7oRPpT2E12GUSU6xN7uOqBroD2DRU3MbX4fY5jrQUl/HcBstc65cJl5n
mX376xhcLhMxcGcTqJJbndki2YfUMAC3FJZubguQLXvR24zWI7rKddh2YtCCdIVY7T69juOVr/eU
fXQ6v9249xnlZrykH5IQOsAcBvqp0+utdA0i65Xubodl8J+6HMNNKrFA9GzFf9aZod6N5bKAeSQ6
4dyo7oE+i2cFtPgms7PUxpWsu9rWpvacBsnrHSSz4His3dSxj9Aqpj0QKJ8kfVlv6AnCpGBXzH84
5tyztVxx7K7DxYWydTKXC5DhUB4ALS5/Kkob54duxWpfCaCUyfX+RGvccpdarlX0bcd3NUUDycpd
rl1265lnuwFeqiMjTTRxMA5iIOauVi7XNu96gzM0HwrA9V6XMW2dQ+56xXLp85frn5ZxEXSBUJxw
J+T7SLSCt6kyfNrMeKNWtlt63C4H7EXrEksg3mIfwwI5R7iveDIInq1IYpgHibwFE8BBMEymoX3Q
KgzB3pRulhtaYNfNR02BBfVMVRFAodIYPdoRWlJ11Mde27p9WAX2ZN11GfEG16a91SdkgVL3GsbJ
puiF3KLEtbQ5ufHZ0j0Flqf5SbtCc1s47WPT1t9+IkOuJyhBft8RZiN2MVvqrsCT4tq1tTZSkpmk
qKAbOn1xF9oFn3oWjqOzVUJkZdDAD18l1jiByJHzbtQnl1s4OsuRxMta6SYip1UwTPlzV5zBRzkb
vobDMzag8kbTaV1uIeXvcqvr+3tq+cKIK2PeeqtZX7KPkTZ6Hz1yJBwdr9OgsHVR/BNkna4HnCbA
9St97vyjRzdovDN73hw03lwbsYIq/pH8kK2vKizMoOFN1Wtg7buWtIvnZl/Y0oiNGin3YNqi+Fh0
4466S2unD5aOkbAxDkbLrDcoXd8VEYUsq2gOw2eXt3bdd4O3UrWN9QKmcxvArGb2JteD0JB2/XbC
pnADhEZ/9BgFPzxjiSCIpB1OhRBwvt0wu4TCC7d6WiXfNVhcWlAzG/bX3OnTVgGr2FBkpUaaMFx8
ZObQv9dwyPYNPesEv+Ys2U9hwqq6ykhwFdIVN5gdCT5mfrKHPt6+WQIHVthO0GFDGvsK3KGbnDnz
Uc+N9k0j/nN0C5bCAVKZu5M962jef3lJU70f1iZIih8R0coNy8r9HHGPybLp3OlZ/taKSAI+Gfc9
Ua9H1vUZBVZe9jAl6FiO1Oc7oWXFzitL89KQ3Eq6A86RiW4wWsKEaw7PmHmHraR8RmB4d5sD1EPt
VpelXp9MPk131EXnZ4wMKXJl7xtHS+XvCM7du6tl2UuT9NUNb3N2X2Sz9dGB+80AU+sjRFiQuncR
Ma9zPExMbiKaJbofnSPK67jGA5CGoj6Xc6DCPtlYfn/Kp9lax/Ngcwsc5lOrDR6SHerd46yyfJvP
xfwYzlxx13Q1ZK8eXTmbqR67O+Zk8+jmBTNbn8/1Wjpp+oWw0x8guPNLKjQ7ecytiE/Z8ne7SWJe
ujIRWzq1pr0waucnG4hp54RInRuvAOlmljmRLWg3xHYsmCFnF0jSwrDNd4PicV+3zdZIDWcLJ1I9
xL60Ucg1pljP87KDP0/RLrTiek0hY/6qlf383LFIOs8mVNyVQaPEsbYgEaFOmsYh0s0vuiFogDdU
9sOOPTqCmUbr5xE6aAQ5xtdJYTStex5p174Rnpyw7nC2wk7/NCV4dO7H6W1q0avIvZymxnAOIwA/
ys8+UGASdHmGfG0zRWV1D27CYOvbJPNTJRjeMAQV/VFna0OHUTY8j6nx1fZ0cuySUJKwieDrEbOJ
frl9F21LB3wTt1OgYJNkZ0VE2yftlZviJW1d9eRy1HyGo5tw6IohdVdepuPddFO7fnanNP+Vm1hu
ehPXThEnuCqLzniPU8pP920KY6vDswPYwt+OEeKAV0ERnaFZvflh9GOBtPPV8k4NMPpNIaB2D1q0
LxvjUZ/5PU9ppY5TE95ihWxWegpA3+vVDOennsQjveOZtu+5D5zGMnUeByhIK032YpeWfkcNXsrQ
AWJL/qjT4hbjF7+oSbQHUWv2bkmEC665WhrkSZoHpS3UPfcvybwHrCAmk7ateaY84zbNSRu1xIlK
o73krjU+ZzVXNCdje5HlpbOuZQ60s7K1Jwjzm9EiwdeCeLhXxBdvWzLRWGaS9NWYUCqHlrxoO5T1
V9mm2U5lssQfO5T70S39N8csprvQcKqvQYpxCyNJpSvlONMja6JmT9Ehg4mQe4sL/zmuesqohrj5
8Es5n0bIR98ufL11Hdp3tWiTU7HIPSXW7h9sOa6ATE+E63GQsHCnQUtOeYFDgUkyG7/DUFfnGaJe
EoyF5twCfuYggWL0oxjYTyhNeic2hpS+Fiq5OBPCoBGF/pYyerC9iEM3LK6weicgC4yQXF8jx6/C
meWFpNht75nd3tBZu3ArZhzokgzyMAAsOMZIXb06M3QmQeqX1l0+CEoCao71StcsmK3ZTneT89TF
P3AhftWGfwdunXRh1SHrWFHiPlR1DRO9qXVjGzfaiTORpByY7/iJ6z7G8Goay2Stq54YJgLcfHKd
TiEAdNqDp0+m/q7q2XOPQygpZHNqn989YvE3Q1bV77iPGi88pJrdqMAvuraKmuNMtgrSnZf5X4CB
DWM7tzyNpDWoR1DQbmBRx3qjS+0mM1IUjd6djqlPpN7UJYhrYolMcwsq3cOYRk4hMiSLRnCxT3lm
RPtCdnCCFquU6tKTadfOLSdCR+w4Ks5OJIaWzKeZvMHlN8+i0GhAZM6cb9vOg6dV6437njNZP1Yt
tbN8X7FmGCgGWyJOw31GKbgCtwz71tIMWES1U85iAwJAJxAAXR1ubJk/zoYjaEWgZ+0dfmtxNmUG
toO6BPvWrJhQsqxhJcGwWohVHDnVJROd7axlIYEDSFuxjsiaNpo30YxsRXFCHb/qWYxZs647CKS6
pR0jlxEDMeRQZXlxiwXcyYNOFjeCTOC9F+kWgpULdgC9raQIZUqMH1Hde3QLZe47DFdIEQhDeDCx
vFXrIoozepJLPCIUv5BOxxc3YkuuaqOhOk15T3Jq447+4nbajBifVm5XeVursXc+NUcBAFegdBp8
rfWUIityan0CD6KcV/QVRStWvENFLmjM6XaxiC6isb8b3CX7sKy0w5iGFEqBvNDreG/ZyS3BG381
OHUR5PjIH5F7NWCDLVUsdh4GmR6a69zKdtpyxXBdTJBWP69VBTSF2ZB/CcU55beO7TZIiDwLZ6QT
dFlucEXOVgndoYFfxa9+q0Dgx9ETggnbkDx61hg7VlwHwS6n3R2386Vp3rvBK9MEBaUZZgJvncvI
Dyyj58xOgzKxvfXsJzwb9OgD6esU6VzNcNCJoOtdCuJVM62yKu4OblYA2lTGQKI3nAkcFiaxRUom
MjhbQTLQykZqtVqrvN0WuQj0fPzErAz+P953RF4CYhJ3c+9mF2UW1caJ9Zkuy9na1SbBdB49xkqp
CZ2Se5N5TEsZPYQ1bsxr8DNqBkrJSWYum6qFMkWgezsXMmMo1aZhNxo2pUShbYQEfbPJhLXWg8lw
8649O5CaE9qJeH+9lt62bNQwt5rWsLc0N3zpDdG/ybQEXxjH7A9WaQfpfSTsWQezGIb7HDBHvHGi
2n/JrWL87MwoPElnVjbiNWtkldks32tK7tgXIiEbVzkZxk/y4NTRCA/ZNOd9vSjPPDj016iU+WOn
RzWpqRaizk7LAIm4rot0PXiy5chDz7as7tFcFG4dqbtbNG8OGDy9iw4+5s0nbZgmOZQlLYFY7i+q
eb3o5+J3KX1R1aNFX+eOtUjtOpL05HnOQtJCiq/acPjgm0Ww2a7JTBRFvCuc0dmNi45vL4o+kJiI
ogZU/s5DJVj0Ojqely2AcV0ILMzVl2jZEiAmJrvkujooli2Cd10oRNflQkgt2e8mtP+ob/9CfTOQ
GfCC/s/yG3Cdz5/xZ/5/Lu3n1y8Z/1mJ++OHf5fiXP83WBqIZsyE1mJQwvP0uxTn2r9hu8O6pJNu
NH4PN/7hUDJBXtk29hSXLLpgiEOl+0OKMwFbYQhEinMMG6sS/+nf4HSQNfgnKQ6JEL+RbuOgAtop
rIXj8Webocvkz9WCQlXCQkHiStqQpU9kpEbP+Wl1ZrtJ9dh/UY3t7ZwF7lNYYRe4Kg0PwmnEl07g
Ft8PyCtyhHesKYqdBervgyIjWgUwpjApg4X6ySICpUw2ck2aO7qlbmJ88PxY21Z9ec2CdO2XX4bT
boyl+8DwmKgNXyXrZ0hnBDszy4m3JIy2k9/fJKmVg+KFZd0rpzs0c3Tg2WStJqOkbaz2qWFljqv9
qH+jAsf/yjSnx4IRT+Gu1cJ+a5YGmYc8zcevZQ/0QcFqf5xlKgLbGbvdTNncHuWSmJ7QMZKMTR+w
Ywe+nnh3qF9qM1GVtK9i3YBfTcBaNZa+Z/M+X5RDma2fEl9YUYw7QW4v03k1h0n9PNDb9YuNtXPT
6Zp5bLz+aZa6j0ApvYvpNpYBMJUkp3Cq0Fx5CdBhelva1t2EsWQjNBXpsPOmCdG+EtmbZII+mt7Y
HctM/GzDgt7ULEnOSUwtTeJ68jGH4AwKVMKL51CxV1HmJoCRqELGdcJtIJHWOcKM9aMeB0qYRmlr
38PkdDfF5A1vFbGBG37hvE6b+CBrTzhGunWrbIpCAtdDHmJmzzecft+jxaTiODFmsJyh8Nhki28+
N38yxVKpN+f0TONnZy+C1ZU3SisfrUKk3E15HFFCrb9RtYFd2MkbggtDFdQMSDdmHMs9EYYmUKbP
S4+Wlr2os1fDYOMpipSZnmwtfPFa6uBsMLJPOPg7vAtoVt0cm+/jVGf7Xnj0E1tusZQZw85vSb2z
+OYB0ApVwFiVEJddEQjltJvCjn9xTwxDjP21fWsYQ3ogS0lRQ6if604vzqqa/S+0peh5HAzuHDxg
X6ZR5GAVKK9k1QV4eRz95uwNWr9WtS7uZWOyA9R8jWKnyqL2wWr7+kuCt/SXelajj+ptX6fidjap
tEvxqKGj5j2Sm+BTm+Dnes5dXzTBiDd9qxW8Z35q6AGQsv5jtuPqpHle/dAXKIzQZr3tpPCWmCOX
ecgAjsFjrp5c9yWrsbxkhY3lREPrbKc0UHYW7zDUlc8GXqLbmFfXrW1khI0eAqleNXEa3UKPji7m
bFhBF5vLnYanboTg2Oo7aSpmlFCH8AMPeu0SW/npcReED2FrzV6zW2sLPNqjOiO7zH31UxrjEXce
Hj9dBVhetG1bqZtioBDKY4wFWuk8cbcIIqMUh5r7JtG92NGCP53V/x8TN4y/vy4gOPXw8nHIGzal
9pbHofznU4/iVxdQJ8dB0kYiXg12xVO3piw45uNY1ueRAsS1Ksg3y/ItB5Ufb6qmbW+tGcbFioLJ
/tThB/kOixiWRFzmJ39YylLJEWVnAlXlW9Uwm0lXJSYzSWwVm65raZ6D6ZM9+Nfvc3b9bpssCiGw
8L1wDqwazKOyJyLVajCtctOzF/z431+6u+x+/rJ8IfDgW4vh20au5OHzTyf+pHWIqVmk7ww74hbF
nrrIzEfNGz9wP6Yro8r6tU3FOgaJnmJt4u0kT4ex5tPQ1hSQaJHdGht7xiRK30BIbAxKRNCm+fAr
M/voiU7Y6cDiem+N+aEx52Zci7798CSYEqDCO0LqR4FJa51lyc8G2Nqaz1ZxGenmOrB5agISZERN
DRkfBYBVaKbZQIlAS818OeAqW+vwkahSysQ6VHSnDg71W7Y/FpfeVf4HqaLyY4Kcs1UOlRqCiPEt
2+vmNo8oB4uVUeyqTrlvJNzCg1OY4WUqkuGB/+lu27lP3lLcucdxULg3/A5zUOHYO9XX865yFNdA
T02HKEbNXSlK0IHUiehxIgGDB2dmK8A/G6hHmsXbDODgjriRQ2sPyOzcJELNMwjVrgUi9NIJe8H/
+/ULvjo/aPLS+nZ0PwqSLstOcJblaqzt9FTbwJbWvRT2i9bZ4s6fPe3RlEqAPvfxQcyeXv2ig3h8
cVDgX2y3Ki90ybcXL7OHoz4Xxt40rPgcNnq7F/ANC1pQuiH2ArdqOwjYcuwgRRnjvVBK3Y+qyG7p
AWHVFucG3hSLUrJ86mmOm5r2sRekzHQxEyKuDPHD4kLxVIUW2Kgwf447ACcLSZEyj07OxUeh1+pm
ZqF2ntuOfstYjqeSfN25oGkI2TpPzq49kYtvWdJvWyOdKN4rvHitt0N9dmsV3klN1feOq1x0ASOa
9nbBTc1GW9y0LWFrHyX50qu4ugH5g3kAyu1yZ6+Po+NSFbScInkTMq64B6Kpa9Kod1Q0PbIvWDUq
LwirY9SVjrajGwIHNY+J9cRRJZczK8Ldtw2Xc8yMjBi4raZ9e8sJNyxnXY6Js1KtWFlcXsnP5fZu
vh6M/fWQ5KSwaGLj5GyXM9RrY86ZPBEzB0Gsd8CTOW9RwMvncTmDW2GNx1JVnLm1oBOjBGqyFWri
RDcw4Q5uU51m3eg/bKDRQUUkN8i0VrAqWx4M6fKMoHUA/05usETJlmdIQ7BD27ti5ubRXR9BgIoA
5/ra1KkgMxr3adIr+07WuRUGkIH8r6SNzW7lVUZm76SOs0cbsAbL5TnZ06wErHJ5gpZ15P2Adwq+
0+YzbfKcSuoTiOeBM5TuxX0VkoIMKWZKgvb6SJ/BIxGpwpaAAgjZ0UDWwf0o+RW516lhWgYIjUli
XkYK7zpcsCigQK537SBe5g6d8TH04VxSbY+UGuaet6FvbTwVuUGNq6+NhxA60AqUeIHQXMfBgOpz
SPtedKveiy2sGb61Lseqx4eVZ9mNLWR6wOMM/QLqwmtcOdYtNArvoZyMsFi1MpZbEbf+r2auxWXM
lf1zyPvhksgpedZQCR9DqPMyiPTePbDY0SiAo5qO27+V3Dm4lFkt0dF462hmv28p3LxhpkO1VITe
loyxsC8FWfZjHdbFbdcPhJVr5bY/EBXedKeuA3q+p3idUUxDG6Fn7LxxiJ/ciBeecms4tFoNBydm
xwWdwsNYXEuyiWZmaRd7xtLkOiPw7LRyLsQr7XXiLv6uIqmeanDOCbJfmx9MLaE0tcATT4p98Gii
Nup+nftjKm+cGqaIMyif4tJE/zH6c//TrMqa95j1DboxX7QtPjFWVI6DaWcVIVu9Tm5i7wjU8y0m
mJYcEfqyk2o97eg3g9pTADkecV0518gjiaLGiVhWavq7MXqXmYDbEws01J9Kg3QPmewIeZ36HoUj
5z6eRPaRmlTtYYuzzRUG+u5HZFNXWPed3OiulW/8Kgt3/F9+6CRVN4uQtunAF51E7fPhxxwI0KzR
k3utWQoPzLySkBCYApeKceuS8DJCqARr20EFr0DXQRH5pQtNg45aJSTpGQAwDrH2wn7agSg0hf5W
ycw6DpPsb+BGs/Yz3B4KHHVfVerOB1dgNsaBANDQY2Df0GrlEC11jtATv1k2/JhGOut4gOVckMKq
PLit7fFtRxNclQDmHpDJpx0nD4N1mOkvKe2HFAEXLzjVxZvVAFkc+rx+pfI6fcUX2f7C4sDKknjv
fujmD9aNL3iAqSVMU9s52FZ1Ixws9HCVGfrHft1TP7mh2mbG8puzAt/oAy2csFYrR0dHtOoDbiie
u2FmH30zN/eg3tKN0drTe6LxOdVnS5xG4Gbkw5zwJ5q4tYscD7qVWy1j/VyODMojutsYW199H4c7
32q0rcOi4Jy0RXJi0RBNp77Uqgfo7OIp5v5CUqMau19DVjMumpn0zmVTctoMkZn+F3tnshtJlmbn
V2looZUscO3atQmCtHDz2Z3zHBsDGWTYPM/29PqMGVkVkVWVpQK6G2hBq6pEJun06Q7nP+c7d9Ru
4Hmbl7KLmDqjrR0ryhkLA7d3XIKv0HzTitY2lmZ+K926uPYUIYiyxmqWU4jtNDz3PvUPQ+fEJ8gp
7dLWBjMXey88EK4jV4mFyyxngroZ3LTBqjKPXJwMlCAtmQ6j60qaGHj8UaQ2QQXGMqifk3uRufmE
XYCeKEPv7K9hFek76n3jlU/Ve7fK0olvbT0Ji2soiI9VWTQ0RTQvrt9dzLb4nreYzHrd118ZmttX
bkVXlV3eA3qmO1KCR7+VQT1lVFxE83tsEEkwQucxa3MO1R17+yzBow19PewcUdE2HhrjTixt83R1
iUcqEahahpYeMnGkEykqKEQMlASXYPsZ40wyfxpMfKe9R56Y7y3izKWXCCDwJGjPSMslHBye83Wa
F/KCUQLToKUKy1CBvOmGqLXWiqK1fEdiS7vDAGRcG3o+fFfJm99QvDOUI7UwwRxadDVOal9HCcci
Lb/IKPJTorLWdZP6Nrp8vLOirmIVkdwxxkZbZ+b7hNIVb12gEih6E8UlMCn1ddn753aI50sOhKdW
wk4R3bOTfC3m2ykMPKlafVXlMv4em8FlkmQ56mQpbmzTr174fLF5WVN7NeD/OZGhKJ9F3zMXi1JU
CGpVNDqo+Ea/zGYzPFiZa7z4IjGfrBiLQCsadWg0ER/ZCULMkL7mMRKjMc5P6Y3WQBfHcXBo65iZ
rA3JtAM8chPFpXVLw/X01QzpytScIDtgUISuFFtq4SCbKd279DOwn9rjM0UJjL9yqhWWfHe4x6Gc
0e4+VRtFow2hene8kyREdqbG+JEaArUlBhzvFUlzfGScZKfUnzZ9pI97zpACYbdwLFBphvCvzTQv
D6rqxm2QdjA36al9qCNOfj2DBuwaXYVkXrv7IE1D4k/RROjdh7jB34CNGMj4pmfQ8Ix1cpnljkHg
5VF2G4AsyFeghOZtv2y4VEVUO11PHlJtKo+JarodowoOZAntW1ROc+dXlrrHodJs5q4sEKXx2qya
iYplJFJbesTeBnBWTcI3MMkFCzZkKkCLHd8s/pTCa92Mn+jbrAUJlxuPUx41HiwEulyD3NiHCSuE
j+lxTXYAKh3gn30uma20tFWsiBPFhKKYcK2HoYI3nVBB3iX+Seq+f5HTDpW74ZuJMBMn4hCQndZD
/1TD7FvJhIF6V4TPbeYwiAcJtknNeTqi8OVQNN1b7uWedGFeJxI44srS/OwiZIzjZUNvr9EJ5k00
miHXpIgkD8Ou9BQ6ps1L4OuHoS502FZ9zIGhyb+HJNxW5Hmig2NMmkc5hF6uDB/wRU533btMi+Ql
j1Sdkr0mLUAbnouZy0qvuau0JwXy8cCsA2XJtBrjMaY9CKtsVL5kzEQ9Go6KE16fmPtfGe9LHG97
YUTpTvU1LG0jb/YN8aGSKhzanGz6M5Q7b2c71nd8w4yHluvadasxf8t7u95EGdpH6AqIrkzV2zg5
FdI8js1+cng9u9x9aRjlx+QubmUO6DQe7PgRnoQ6VEmanu2oAQrBV/DgD/E1maOh+81b+o9R8X/v
KmwqHAS6DTBZuH/IEw9xLn2fkOhOm6Zmw2zU+lYHPVSuyszBJFKNFSwNhQGwh5wBap0wdFmHYanR
6ZRMb5Y9lzWeFBOuMGQw0EyLXommA6Stw55G4XyI7XiVfyqcAt8XDVgjAuFUWM4xwiZGhQ83RM37
vOP/e6v2/4Wg2TYZdUv+qSK/K0jyfyyb43R4/1//7S8/8UOGx8G6ABZ03XR/JQnaxhfLNGiVRPwW
ksw9H4IfMrxufnF0FHtWdzzvBrOjv8jwuvrCLQTh/Id2T+z4X5Dh/yjCL38YSUKi+Ka1pFL/IMlI
G1OdmQ7DBtBFsRpphNn6cSs9OKILXzQef8ud/8MP/q8QA2Sfz8fjAdl+SdMvM4mf5a80YMoMMH4g
+QSlYVbB936mv2IaOOX+udwkjQWh8bPXl8cyyT+DSFwUp79pY+gsUyIahnCmdJF4QWZS8gv8ST9g
XikvEj/oL7oZYGIqW+C9Ve2+08fSXzf5mBwyVwET47ylH8U0lIy3u0YlGBKD+klxFR2w1lIcw+1D
P3ZCNlDzZtP3Gt1mOB7Dd8XENKejjUpbfCD8c1V1Ev0+c2pQPoZNxPBELaK4jlLZQFiKZjDbRKQ+
WissNhSVYd9ympQkJWDHj8CC+5fk4CUKP52v3UrinYBbG+wYmGIVwlJ3E1uzdqqEK/p9peiRJqLs
8qd0tu8/kRKfGSuH1QyIlxwLVkFnshV6mmbvytmA4cTZhp4suHQBoVNVy2Jl2H39PYu1+khW+mAH
fB70Hu6iZufnfLLuuU4n5ZqYin+cA20+RfRCX49jeh5D+GjKF2TJo/JZy1jUHbToWM35Ljft80SV
xSpyESUqTFme4Wr1eQphnjD47emG5nSd6m4aklhxaPXECrvRtRH76NQ8R26HZQ/Rfz1RtbrCLO1w
mLYvOYKi6SP+hkso1sAFtjE1d9P7hH8TTod08OHM1m4nUpqmbi/a9BjuHMAsa3rGDpIpv5eUBg9f
03Yk9OB7HkcksrqY/xNOzM2ZRjQpXrQ+tXMqyRuxthQPLq0M+q4jboZOp7sIP4an58FrIJOLLKfm
R1rBG3k2xE0y0muVazuIJDdFUq+d5RVNjAV5ocI7YF8BW5t8Nzv/rCf2oSri1EuRDAXwrBW8ltKT
jXGD5XT0ikx/j61saySiIsjR7gwRfxfSSjaJXz+b/ANRcXKn8XcsjeesDY4BdmNg5H61wk50RyZn
BxV7RQvHKfSTXWtQVZXW0aaEzuQ5o0PNbeVXVXCODTUI0Jx+c1W15mVEGWPex8SO8RqujCE9CXf8
sBghrAlrIjdmvHn16CBzBG7OiWgg5WVgBSL6xjzB5UrWKedScjS+NPzxLfSbpzGQ1gZz1kISxnBu
+RQIG8F5iil7Yn7vrwoNq620C0pDoRnRBoxNKSl2Vi3B1bs8AQBuwufh0iF683GhxjkxrtQybK+1
i5Wi78Oj7C3m8CK1Q1O0Ped8wv+8sTdwtNAPARmstDRtYCnzRcX2Mt+3WsPkqbHvB8Ezze3s3Oe8
D0qUmNqKYvMfsm3+P4foBfvi/mln0/E1y7p/+++vWfk//+302oRZ9Evy5MfP/9horS+2w6bIfqkr
ZTJS/su8Gx6Hy6DZsYXF/3ySOn6fd5tfaDQydcdmts1OsWxIv8+75Rdpg6ZhTq4MAZDjX0L2stP9
sh1ppGFsZYPjWI6CP825czp59I4J7S4joU9tJuOtxRw1kx2I+stSJVaxcX0IbESd2X9Xy0YDqL+q
ThNw8wP8uGo7hTabTU65sphGe51SFrhPjSLbaK3P8KfUAp2Eg6n3a1QYMif+EnAtOK9kmIZXaRNO
T+MiJdgowJuGhNy+yOrqSu9k8hTUPpN2u8AbsogRQ5cmJ76+7iGfB274i2iR5WF9ZFahVoz0o1ew
wHj4oQZGa/9T82gW+cNZhJBkkUR6mu5XxadOMiySSfGpnthAlM5zFwCdCBd5JfhUWhj5yft2kV9a
lnTg81UPv7fGelvKUdv6TuHvJrQbFc/AgB0LPUfLsZcViUwGz5el2hWL9EOtbA8SFTmoivtyTQ/q
/KLBOd8gzht7fRGQEjuc7rsEjNSpCRrcWWwyi+TUZUQmdSujKhzM7SqUtAAV8N5OJq7HN7XQKtqm
1Fix8V7GnwLXInUVcZ48MUQonwK2pb1YJDEbvc32hEmiCOcU5SJLPMAr26j+1gFuPBodprsdGlMi
CLFhDCOfKgqqgyLtXtMye7yYlY0TYe5S9zvTTiL448xNMUq1+mThJnrVSnZErj+962lZ224iAf7d
n2N+S1SG0Bo7OpU2DaPPfc78YxPOhPln4pJrgnJizVkXA2EQdfKWGW/2vRp4F9ayNiA3kEZIVo4L
8vGhMZYqgayXFWMeiyiLl4osozg4cYKrzLKNg5tV4bUp0W30svZD3m4gcbxsdTF5VRdO1z7QZ+4Y
tDgrfqW8rvkTXzsSVkzwtFbAy61MtGitHRErcG35pCHlCgm9PoRKm7ZZqPvfp9Lib2oy10wRpkKX
mTUflXDjD5W8ta3Gf+WykzgMgtmLzRF+P/hfHG+hO7moXJWen/2obdaCidNNAdoP7d8tqYzuOHV6
Us7RbaTS4DvcA5hrflFuJhlNJTkaHVk6reuWe+AwN8A3nLSjn9TRxDuDmel1Rhx+MHhYc11ouvFd
ILrzlQ5MQMNA5JphZRuO0Pj+kCEm1EI1IcPm3DHWKXIAJNpUFsV67E2F7yCDdSo121HXYYTla82t
N8g3UzxayyC8A+KZosncYZRMhpVRapQ/tuTT4eXolcNleOzExzBVxUEDlkmLfDYHZBeCnKOKJnzz
SJVAQAg/dd3bdBy/SXIah0kvzG8K6sUepmJ7OwYmw+eOI8usV+qaF4WRhe6U4+OoxcErl5foQPgl
OZST3zI06kjVphawUjtxJYaPJuO5zuGSLB163qfRT9sTGhHXVnOqI/LRltuVm4FB5x7vDfNfWXZr
2ZfuB6dNPVmPrdY+IlSFb9EcD2+BH/dbq/Kny5lZw3VEo86xnczsGtSw2a6CWlu8wfqkvmr1ZCCR
2wZlFxTPFWeQs2I9ZEXwlV9C+24oxHUT68oblPs1yZNyg/Bknel4BZPe1eYmovvzTNG1+dVRgR1z
a2ZIYdPTS0nIknUobdaeKCyT3tMTHTtvj8JyyByjOGZGVKZrh+t4tG7pDzjHsT3uJwu2Q1gzhKT0
3fHPZqOn+D80QWt6VdtNueHVEa+YOdwHy+igcjaNewux/WbK4YsG4wi7Tjn51tQcGEuj2ZX3ltm7
JzqD6P6iFO5bIUN17FB7kMw7seM8lh7g4UQbs6F1zJiLBAaGZsLM4QJkVtWw5qtebyAW0MA1JTbB
KPy5VjDS7hI04EyjkJp2E78LRO40utRY9y4ygHRXbgP+NzT9fi2Kurk1Weevq6D3aTIvnNGj342G
gyFU11anknu94cKi43XHrREl/aZzpHuaKRDeczeJ9vQcDLtcBdqxdENzrwaZF+isGJ3W5ZDFF4G5
RMx1Y5jfAs1t9nGSRbcZwtABvtINjenYeFktFfHI2JUv7NvuCRAGYrhpTtbNjAMdG04AyhnoRkYN
LfVmFHi2I7OLIvwex0lwi6jp38tyxDeOF8R9CwZov1pTq0udTNrrkGXWE9oeNmkxO54bTdkenyZ3
JzgsGnkKgPyrqB/sm2w07HNaz9Y6Nebh3NeaAv9O9S5BLt0/go4siGNRYePKKNoG0KsORLECynHA
gGxtLU5vTRv0egSmXwdCGtYfzJai8FLa/fyqOQZXihZTtgRiXphebIzjmQhGAKTL11aTcNSZ5GH/
whUy3mKh6LyZXWzXu1mxrPFOWCKYQgsmDpvjjDLKy9mxSI3S2Cg/jL7IL3ET0OfTTEzRhTNz6u+c
5ps/O9z15lxu+6HSjrMzdx8ZA8FtoTf9XR2wDa1sZYJQZSJ4DJj2vsoIQxFCpQyuqOYRjLK5Tmwr
E6oqlw0YB53iGN2UdneyB10/9RkmHFcTHb7gONpNqmCl0/iZQ6QH+Fgqf7ymJMTaQaGIj43lVLya
bfXgD3ntZWwnXpBP/h6STnM7mDXeJMe375vY7eFHDYyJMkhWDpLNySHqgFsOBkevKQ4DxFHJtlj2
2WVfffvPPcYvMtu3omQ5BClB6dkP2W3h0/3yD5tPremm+6in248GTv/vAtDyX/7f/ssfitU/s6Na
amEQ/mM76umjfk1/0b/0337kx6Hc5uitOwhZBK/5cOl/NaEuOpaB9ICbdBG/bM7Lv6tf8ostHIyp
ij2SWLj5V/XL+ULYmmZ3V0c2A5j3L5pQrT9qRKD4LLLoQgoMsoYBde+XwzlygjYkiZ5sULI3ll+w
qXQF7hCPk2F3zmNqsxk5yJPFiroXGcBUDs5J6jmZWyKla+2TGpRAdmb08myVSKqeEHlxSJeQD4eG
xLHZwduc5uzeuRJhazmH3rKG6FzTCPxN0f15anKmhahIFjVrXRF19E9y4YYvxqQqwW5OmIwKuRKS
ewzFaR1mafCOR9DMUPBJwK8dI66HVYtVrCL1M475adAS+wGwUpxscj0EBjUL/zQ3Vd1hFhTWUzUP
EiYEjO0m1IYrrHd4rPqZ8JiVi+DY0wRLpikJiahy7HHpAid70uQDlUapJjCd9CpX/VFy8BNs6XgP
jtYUyjuRD1RhJKgOKfZU4CBUWOouCSdT2Dm1HRDgr0K76aiyCOHeImQoZsMNfpjhyiL+3ZylpVra
3HzmCB7xcLC7jLRGcHF2UAsvirOSIyt4I0kLFmP3aKrPxRQLE0ssbjbPAk0QknCLp7thxoDFRF1S
MtC2Y9oyHWqxOw0sO9gwhzL5ljC0KjkIdSniQpPwAIrh8bOImvgqoUhvzzuj7oUT9yRGOYn4xeRe
SxRTqj3duB43TSOKB0RG1hQAdaO/swJiHWU9isDjDDc+ijKxbxLga98EcIsIFG1n4mOmn4Muv8Bh
7D3EVrqBJyOfqi7qnpzAVPjHUtU4qGYZSzp8/uoEDQ3japiRNI2dCi2jbLksHtTYhpQ7UQ+HeZBH
WJutgHfTdYZxG8Nf3JtBFd00NF7B5yKS/E0XIQaQKpSUXHFuGy7xzoXc9ox0HXA1+VDQQ5Ywookh
0u/dkZfAn92D6rV4WldmJP01Vjed/063vlY2dxpaB4WReMPs0kpK71mptgMuLXM/jRq036ljZLfu
LDX3667v7JcKy3W9QnNvjg3h42TNYbig78ApI3NF/V333dLnUa35FbnvRbRVuR7lopg9pVN1W6gN
Dnudkfs3WT8ylS6nZNgmI09sNYRura9IwpXkjSWZkCq1kvcuIkx3cDINshx9pPXaSuMixzmtQoek
hdFmd64bOevG7pjErfo0kxqVjQqCXQmJJrU7LihdPRDP5rBRnoSsXD6OQPAmrOh70Yj4MZeD2Kl8
mjd2pOZz4DbpaQp7ua1G6VdelAw2EExgDfqiRBaP9YBJgpTeXjd7wP2ugavhqNwsvwvCeNOmDWEX
ai6aGcscn5SKnNoFzIGoJsydE+ODBRxS9OBrUfkGOX0+yx6LEQomn5OjRjfF9IgaUjGlm6ZeBCtj
Gq1kyzmRG82q7mP8PlmcoJZpVXg7dLn1lqQD6DewzbTWDEy356soSfXJoz7N7bauWeL9Gpxg1KYV
3kTDOVh4cuYrMG1LVSTNJY/t1NqgwwwwGduOjCTBRjOUlM2RS2OZR0wLHW1xgmNfQdx4LcbyRMo/
5gbL4X8iq8uMxPBKs2MObZo829X/MBEkRVd2mDCzsbxuZN/u9LJMtv+5+/bP2/b//i8022Ir/XP5
7eo9asJfNvcfP/Lb5g4Bl+QSbmaKLj67YNk9f8Be9C/QI4QydQFh/LfsyY/NXcovDGM++caQs8Un
B+aH4qbbTL2kbvEzOjMb4Ln/ymjL/mMTLEKfiaZksAABDuKcgSD4s/IW9VblqALnOtNlvgxFhuMA
eVoTF6FdhxsuYqA7CQFvXNz32UaSlj3rVp5u/XSsTkkMFt8fBSSJ3ogAcfolrnspW7tbOT6XqZ3M
zfpi1CPcCS5k+k1Ah6HONjNApnen6plCvnTdySI9REYKNwqa4L7Lejw2S1wOfT2/ihANW5of2t5d
MyvkBJAldOEQaFUdyCRV1/lBOqk6RWPks+6UqtkwTdIuhrhO+MoknCVXmTtqH/DKMPg7g+6+RW7t
cAwhE0gaOzoWTITpEE1oiyUuZD3hr4T/wIpJHWBS0vuzqsEroALhoYaBk8ePcZu+DLOILqI6uvdr
br9mkPUHM7bqV8uaw5OSLBx+3Vp31qzSCxFRoznSwYURDtZgRKX0oZ80DYeq4MpTp1uov/PG5aWj
kSMOPa0CBAuqaritaTRgK3IunGJMT0ArIy9osBMEJXXcMNNufceMD7lephvT7qev41xQYcuBBmGK
NtPUi+CZYcVyDOOYLC1ZXiMMpl1NV9KCVKT42bTFZ7DiRaOROk11vVqV40A0l7p25wH0i7i2JiJB
bp+m7sEBM9AQRV9sWMZSVA1doHkFPTxUhwFDyckKuCSuRIFDuHAyamOyygH/ltWIhaeh1FNjqbRi
eQaxSE8a6oV73dA3aHhWaytnm4OIOTYjV05cKERrhe9UIL67jCuipRroaVjLL9lC5GXEtvtVY+gG
cxCsbB5rxfKU+vS2wnb5AOfH3JgtsE+KnfqrVgeAv6rZV6aVGh1EEjnU/Z2jF+FSMWnIpw4L7yNh
2RonxVDrN/TVWVcWWmK2Nmu/2Hemne6ZfA4LV7afnlr6l97Y9eObBjfpxtBCIB3EmafgPPCU+m2X
6sXG5K7nezkxqNuQPXTPNiCWZvZxi28wSz0/6Yt9VdrFRSrTdhv0d9j0MPoPPVfg8LEYsOkXydRf
di2vMVij+AWwRXdtFjUt9IpDrVPnV+2oAxCc9HXSjTNHqtSgAVfjJUNx9GpsvRfEso1sByO45VtN
O9RuqOslB800iPMSQel503Fqm6mFHM214hT4Ycf+S4vp8wzIIL8YKnc8ENikuiKebdL4HJw4XY44
XOYGMg1mDv8qBpHGTZfJ4qmLMPJjldbJL9cism/yKG0e9YQIMnbD1L5oXL1+HqWiOVSvS/DQdOhY
J7P0u/EwOLLpDnnFbBcFx3Cmr0rwJt01DlJNA7n6HWZaYQUe/BOrBABDmxDWHw6J+pMWhON4CGPb
1Ikl9bg7C0Ml4hveU98951A/Y0Q3I+KtWAhLQ2c7UCE1fr0n9H564Kyor82uzZ50OUIQCAuy72zD
SezNbN8xZEeW6RVLtEg2ttmlT1E0DrvOrXGlsdg/dpU7nHWjbS61QeQU85gEjJnjcQBw0lG826Rc
CK/56QXaHgePUPO3PQ1eFtLTbFwV+ji95Y2vv6T1mHp23Zr7kW8RK2wZbJ24Le+HSOrk9cRskjqj
6ql4D/q2uJmV5X+AnaK8ye7m93oYeypRBL9Yp0IpIOowq3E3BnCd7iONsyLH58YJgM0hVd1OTWX3
GxvsqLW1yYeoQxAb+rrNa4J1UQyoi0KxpUQ264Ysvcgzu5QHRoIIdKaMMAHpSTDfx52SGc5HEoqQ
PiyqnhtsataO+XewTO3d5GI0C43tBZNyqYdQi+YOMKGk42g3ucXsCXdxcaXBVdpk6bl2OGxrahxp
XlLEKgw2HkggTXnEOjkzVHZhTE7jmF0EST08mKBizm3hIpgw7Si/dhC3ILmS1ucmNRDcWNsddYOB
pjm0pNpwLjzsvXa8TwKohh6J7umbUFU8rfpkct+IPOnZqvyEqpf2AlifPmHrOIyYHohPCDvmLUU+
fGGzN3DSKMn9RLb7n/h26xPlXn1i3amaqk9DRpjrEM+lOgylVMNFuoDgDRMkPOJgdioWTPxANZwL
O3QEMViwTIoFKG+PoOWbtBavVTvfqp5oBhc4v7sTYwKOPtCwO2KTqG1GE/i8mpWcE+u1/mTYEzGz
nurOhGyvLIha+6Sd+3DTfYIBm09IoFh4gbg5pg8upeIBEW64a92gTdbFAhm0DKbJFd/h1ahJdas3
lXrSGjejnidXRyKKxcqM66V2abqY3VSNXmcR6HPM5Dy781G2C+QQoXd+zz7Rh90nBpGMJT6RKMwa
jVG9a1Hz9IlNxH2l5TuVKuM7ByfAiuUnZNEIRPhghka//HYojIlOq/suMgrjIR5j1jtGnG15rAq3
rTc198Er7RPtyBTNfQLpmu31PAb9mOBnNfampvdgqj7xkNYnKpLxCv7CJml4o2GuLThJrP3txumb
9GXxeF/Vn+hJskt0YNY9VMqChBNXAxtWZbVQK7uFX1l8oiyDwGzuGoxmr0g9oC7NT+xlF0DAFJ8w
zPATjClJ1F/xrKujH2oCJEwpQEuC+2k+mhTODZ2WQ8ANwUEQ2hdw751V3Rk2dd6QLBovFCELNnhK
rWH8lg0XNiXGFDLmrYXj3dTLdxphzAT3ak8LV1gZpaeG6pvDXGNf4nn51ql+Blg9YoOGvonzwWNn
mjeUnMSLM10EL3DC6zPGif5Ji6B+rujdii96vXhwhsqUDFCjQN8Q3jdPWd3Emzjr4w4hJn+nIdZn
K8N2MefU39RVAvqy55p/OSYl1yy0UOBQ1MazpsQgAFNsQNM2T7rqOo7mma+832rUPRkxt+K4qrqX
qEsAlAZEjHVEIzk8T2EG3AqRKg42GgOKk6ac4KFjNvSBNIh50u+HtNgUXTHrXjQvPXljkFVreu/K
ilWZABesFqC8+L8s3CYyzhDtO/+xr+qcC1tY72qrlauySktmilxi5ynccSDdJyJZ/BxxnG9physR
JGaLZvQRz6fhLD0JWa4YXdgsgVGWNE9D5Cbgv9rRY9+HX5bwqTwGjuHv2yAtz0UfDPeV7wxe2vrZ
min++ELVapp6TS2qt6DOnAh2bmh8GzMIE/7Sul7ML6RbP/rIBwfBABQ9grsuzhVrhrMEnpyO9sIq
4BFnE7jiKMSFjBI1MRivxbOu2I2ewqrQstU8GuY1XeTO0hAU1xujTsn80lNEsSUtFZKqBDdP3srA
HEG5skCs6XzAA2bRWo7Zt3DLfc124bXsAYcRh/Zt4UbDI6OFamUOqRx2DaVpnRbmJ3D9obaqWpxD
e63JsMPUAL0g5Ul3uMdki+vXrPijQb5kb7bOIUFCTTbXWZ9oH7XSGLRSccTvHp36hhVIQE0TRlnx
ISiaa5JtLlQ6KlMXIph7jd25vhO6hSDvWwlJDmo5qq8WoRsmp2WMJZ8DGgWQzlh+6wKbb4fd0q55
4ovHwTDKw+LVtbrmHveAce6UIa+zUW/gOzhMyoyyK9jsAmtinw0m0+sjzd0pWYx7Pj1DyJhWdO+K
wvpoX8yRi1Bqk7sWhV1SnlUPDoOFCYDIOm7ILcrFQ56mGXECrbGDZ4nAy6hgoJuMTmHewLYwWkzU
uaa/kivqjjrItotBguxfwbXgCEZ6mvNANsMUS4WBKZozIX5sd2rOk2/VTDD6CbfeLH3h7sJcZTjq
hvg1Hgb7InVETFvnWOUbXjNBNtuJmF+1eogAQeCH3jK/ACUcg5rrYuVF0KO9vjT0o07aauWQb1qF
ZjdsWFXxV9tYPsAWuL7CPBAbcKKBiD3EQeq+B27JV7tGvn0bOzM+16XpypUdOWPGdKrW31AM8SgI
EgKRlshtiS+Z6SQss0KOp9pnRF/NCTWJRpheGfGcX0MJjqUHPMvyEJdYWMqCkRiUdc9kkXx1U4FD
3gHviGo7v4EOydJVSUvsojrFb6Us8vU8psFdl+nJs/QzcYeljPufzR5ySdTOH3ZSz5vWs2zZJh5f
LCG3raALEO9CTYQpMDdjNrRYrbT9AAvAy/O7iW6/hQ00TzdkIahCV1joEAhd+wS4LM2I97TpYxMa
4X6cOVwsmbw59HDah++WUXJYLHwHcqWd7ZZKRLihGE1OQet215buhwQNBu2eVD4gFT+rzoHB0+Bk
pCccXTDl4S7jeD9P/b0cEKB5Q32uXy92zGo7uiq4q4r54afZxt+Jb/+NXRZzCDqCLmhOW1p8lnHC
T14eRPcBbB1eHvRKrNZgGamBKCztxAw6mYlW+Uup0F+mKX/nEaks/9XEiiUJgxJTEEHjt/VHw6xj
8FYaZTvvEkKqN3gR2ksVLpaOXLeP0QzpRl9sQX/+oIv7/BfnLE/TMAzbcRnZSH1xH//8NGWkF7Nv
J+MO7lB65lzTXgc+k3x8huF9OdcwFaaJ1PgwVB//X4r7nNb9kzmbtAwq4f/6yVgmeT8mdL91Ul13
79238INKjp+95j9+7Icch2GNfP0ivJms/J9+8t/kuAX4wmUN2e3HsO0npzmuOSUNMmO6ablUYyGS
/S7HiS8OjSVohIaUNla9f8kAtzi7f/lMsfI7yIVsSdAPOLr/+pn6q5SLZebFJ/uHy5kzfdDZYFm4
I1F0QRDItc9An7799Er9ne/Q33xr//DQfxjyyVi3k0Q0dKIrYnBB2MDtjYE1Jf7bUOn/tFtxeSY/
P1MbljUUF068wqKmT/4h2xH7PQ0LTAO2PWXbzMf91nMRh9b4apPt1JTPgsLsHe90tUnTztm4ds80
phQmQIHumbE82Mo5eCRdeI2mfmHGo2d0qblqhf9UVb7kpWrp2y3ik04wZvPnr5Uu//bPZ7pKxAAb
g0khmVreyJ/WOFmDRLX6SlE3T0eRjY2YnCoiHlurWs5VM8UnbFjrGX3smgFqdKfgEUo6utY9BJOV
6KrnZEa5oL7pRVP5OTTUDhngLbB7kyqR6NByNCJrwH8rM8YE+eI8CAYgP0WYV54zVYegkuJeywWm
Aj+t9yRy11NP58N8MxV0AxF47M3wVpnxPpiGtwZHXDKEm77L1qMPrCyIkhuseLdlOt2p6n1abH0E
DL6OlBTv7AkzHOdm+6KAeoszu4T/6XQLC4smpgbc/tp0eDIjSS5V68YOZERwbyXiJtdSFESXRzaq
Pj3LYJxe46y1dwXcHehBLRslZJ+VqnK2Y3LY9VrpXUT9NXkBxYRlL+yEXc6G1g8+xj0qXIZn+KPz
Srlxcz30vsK60OTHtimcr4aQNj6HqLhyMHtxPF30Z3S2r0gU7sYcQvlWmnP/QQJZMLM9DTIcLgcx
wzQSTtNsgXIVW9OS8zGncJrp1cxQMte3Wm6X71EUv0dBYR0GLuI44aphC7PjRmvKGvE5PPogv3CQ
HCssSkFvcXrhrTGbqd7rDT9Q/h/2zmy5baTL1q/SL4AKAInxlgRHkdQsy75BSLINJMbEPDx9f1D5
/9tW1XGdc6KvOvrGURW2RIIAM3fuvda3kpBDfB5C18yb6swBDEJ1+eCCyf2HYE9z6dL//HWi1KCN
4giLR5IWkolO4OfnEbm1Ual2MjZdlhVAKnCYF2tVtXG6LrxI7ZYcxQcpzfFE7ob2JYYPR4fXq2gn
yYqWtyse8XGu56VlN3Sd920svOke7Xy2I7xh4dk1+l0M8vATprCOw2Wof//fTe3/ZlMTOrfsp+Xn
L5vavYS0kv+8of34kR8bmveHb3rQy+w/ZduLROTHfMn7Q198S7iqKCx/ko6Y3h8GoUfsWci27WUb
/Pd2Zrp/LGYgJlXuv+xW/9LN/NhDkNz8H41Mi3Dlp8cSUYrFYMlG74xfFaWV/cE5FYoYtQM2zr1F
e/M41wMWo1KeLSTJR3ccEC5UBFwQlVtusNOPj3JIoyN2Tn9V6W0cGD6i0tzsvbckbgyC25R7VyAM
OJSagoPljvHqp0/2xwX8R9HlN6UsWiKRf63p/vp+l2X/p2UdzarTSm8y9ogzhv1kLV0/kyARpwgD
XenkfaOYO3PYDHe/f2EU+P/wUX3Yf5Vj5apWYtrLqEEpMbYJVujK284geDZJp5UB/TRt1RkMsFLT
vh6RTqycys8DnNzsI8qu99Nc2IsqO1+VfgXYs46v4d6xaCs+PUeM15kIo3PYQjCSBBGv0rrQ9w36
XoUGvM7kY4pKBNlspbHAqczrn2GUkCg3VUN1U8Y5WJk27+57oUeMU1wP8u8oN5ky82Pu6+WZxqI8
E8g9fI67oQ0MwgtO0sgI9svnakt3f6MXb1Mf6wcWqR0jB8yXftwH0WDoj9ZA+LhLIvsOmDKNrjGS
28Tt3pKa+CFmh2b3jPxB58CqkexTgjpi/gStJ7bLHXz+R1ic19003FaJqqm6gyHTnkmB8K/aLIH3
n/ifIPFrOxt5Qj1BeZ1ixzwlc3TOc9jrikN/AB6frkMnd2KAkNZ77kub93PQD3axMv3kKHokhWY/
XXMqtbdwpdtNtxBMyUBvjwpV0TbsQjMIkYaWpNhsx1qnH1I+0Ac9Ah8Ig6hWQa/0lalFa/Ikjpzg
AL8JvdpSBREIH+XA4UBt7srEszbmQDujINcloG9TbriweNE4tQcbFvuXIarhf0QDQBm6tNOeogGD
lS+OfGtWUuuuwsmnSPLMfsuU74HJY3875mML2dhacLcdCqpB7fVYe+B0RG+/Jl6r9rkncVnG134X
iU0vBDla8VLmMOdtPCdk9ufou1bG4cFClbL2TJTmVUnjK5GOvUa+LIN+FPODNlbIKenGlX2/7ola
wkKHrjuW2Ua2PM2jLbTtoGgYdx5HVPBL09UQxfoClpU7FDqvllsQ8UR6jW+Cqq48zADeAwfAoHE6
RC0Zn6U9WDYo0X7viHaAtIudqXCZIsKvYnbQ4Rb3w1XX+/YeZZm7sBF3jv1UFE26rgW48dhGmCyy
LoFIoXlAkhIqmooqzvWSXZUNd0ah61dahC7TGcYhgDKD7UG1nN1Lld4zGNEC2G27cbDuUZ+OQeqN
tLCnmDZbl1wcbzRX2FIgyJZYHNpEH4NJM3fagIoYaMnGclDamnimbBLuIYgeqty7kx5SqWoaH9pR
MggDD9TGl74yFKg/wPJMZ8bmac6qa7di/OPq3R2eZ+/RJLVji15wU+jdS4oKaY3Q6lynZjDlxQMD
uY05+tsqzt9Qem7aWaZB5mLpq8wmXqMLu5C5Eu8MjBwyqW7l4B+12rgeXdCnYWGec6dC8hNOk7uN
QqcgOEmUzSttAHKmKeXux2YCRZSZd1qjR1tyLAH1Em/x1lMBMsWunRwJvvBfCK7k/7kssmAA4gCz
seCpocaCYaiyLaSHaI11J1uPjBv3tSJi20xNbaW6JgrqPLVvvdAMARkivU70qttnTPoWzwgpCZb+
yISYpFO/Gq4mfegeah8l1IyKm/acpnNUNxp6a66cAL64+smgS37wq66+q7C13QwdoDtZAjLE084/
TMp43c90rVrmLSeE9tdqmo61KaaN7aQP5IG2xzRkxOWk1hMiH+QSyk3XIEQM8IUcOzRT1RcTliTK
4TAOWougTrOmnE9Synm/aeQhckf66xq0Pi2SxGHpBI/5ZWM/54V2dMOZ9Y42Wz57yb4YIABhx5r3
KK3gUhjld5Jq9uQetDvbEeZa69N03/jyswCnuyHI8haoUIHNnSA65ONE8vZxD8U8MQ45Tc/LXNt3
v9/Hljrzv+rQ9w2UUxFsNPxlHF/dD70fQ7NiQ0sbY1/65W0pcweiEG4tGdtXv38h41dR6l9f6UNp
kbYjEV9mJPZ91KGRD/1vBvG7BFDCmihS59UxmZCMgFVX5BaEgYIo+A8NIPFr0f3nW6BXgHGaAyKN
pw9nWK8sQBQ0s7FntXIVQ19T4xBKnrC3AMAg1mkBHub0vp1Vu08LrboAmicosvd1QobC6oqeEQeJ
pnx2ZFLfcjrzSfqoWeXhKxYX251Rbxs6RHgCE/YybAtiBsdmU8OxCUizONYVCAhXYcTF5LvSOBCt
8zq/5X1o6GwWRfLvumx/d29/vtwPZ16grthxUtuAG9mEd7inxHqaMEYhe5/Xv3+pX5sRPz5Zd5E+
8QfKqeXvf6rDjAEIR4tgERip+711QUFNtvWFeUoR1LZ6/v2LfcBN/vXVlvbiT6+mSeisxDuZe+Bn
YDBt8YnY5+6QDNFXQ+K+rpy0velwX2OVMOd9q40IUFK0N54TtWc/wfLEnSRLud0R0TBuk6Zrj124
6PpHTttScgtTG48wBD47MCcQgPQIi5VKSdzJRoPfRmD3qsFhPC5FSbWUJxZ1yu+v89cu6ftlUvEz
40CzjMtzaWL9fJlpDptOYx/ZO5UdrVMn1InONlNKN0e7QUbDAK2riLH4/av+3Rf1l5f9UFObbcni
VuI30CwyULBofXVTkHAoogG417p2LKbxEmItuWG4UW7cgVnz/8dbYFHyHZRuPhiHD1/UTDfGRhHr
CPUdrXrDlijt5uz5DnPfluTsTDnXUBKoN0lFZtWvtr9/A3/zOPs/v/6Hb043+CQ4FZG1b7Pui2jk
iBc/FMe8cniwtegfmgHLSeHDGsyV6jb32CCMyv5wtfGA5Aakv763RZOcCF+Bw9Cg3P/9Nf3NavDL
q3y4poaEuz6DkbLPUR2tBi5w1TDpbHNH/cPt+7tXWi5FX4AY9uJm+OW5NZTfFfPs6Ps5HIbV4Bmf
Msc/sM/8wxX97ZP68wt9WAc4f3QtnTSL3US53+TQXiema+3g58NpmjpxT5wn9Bms7fF1tRTKpmrV
+fcf698cmS194d9i+jB9n7P7r1cbxuNQuTIUe7BLaj+jTntAIEIktxzFXonxsVR+GkTENOOvgkQA
rKNau1WmA4olQpOBJjN7jRWT6qK4SqP8k1OL7MaQS5QNdovfv13x14eNKSoaOI+mBO8YNeovN4cp
Xxrmc81bi7qrYgKhY8S63GHT09eONp9H3xk3qtMRiiE1jAZEhhxCycVl9B+AYMKyikMsIAzmQJka
bpLSCHLFmabRDIADY/VdqSE66NVinRTWleH21Urm0I36CYa/0qCxqbmktlILuCH7ZkodfftQ5Wvd
6a1T0zR/ljj/3fie/3EcAoLYFrv+vyuGvzSqHl5ymf3H5eVr90uz6s8f+9GsAo9vLzMz07eXlXih
+fyYvjh/MDGELYCCCHLPL04n8QdZUIz2dOHT2qS8/He7ig6Xu/TfGSGgK4Ff8P+E21+e1f9aOJdh
paCTxh82r8Zy8+GrV1fC60h+AI0VqRsYoz3ijOpLbomIfFoC1Nr0aDXjzKOc/lPjiUnWhxdHaeOS
vG3ymUBl4EJ//SKNmqFD2ELBa2TavA9bZgPaYlypKdxXbYezYs4SeIxNH+86pUvkbYb+Vkx+tPHV
iDI7bi0M1T56mUtvMzYY59G+Kuplxm5LgPY19A9ZN/4Zt7UXdDVZSPsQhci0D3UVhJxcbilM7fSs
FokJgsoHEaOLcyOTX+jOJZbIcTCurdLAIt85zTlCz8KIhRM6CPp5C0xEtSs7a8TFtWaaCnq1QE9z
Md/WU2SCZm60BxfpIYSC0r8mzXteuUzoUOxB8ZeaNj0mkolK5YbZykhGjOKZ0+3MSbev/BQAmc0S
eJhJ5xLrsdYIUFoUJOnecisTTnHlNEGtyW44aGQjiqsK34baYZ4Ld6AHCKPSEH6sy3jyvnihhUYl
NZV5xzwPaAzeeVacVuNTa+jATX3SnFrc0/sh5bx8m4uo/5aHk/65sBowNbqtFdNanwt+FH/Q8DxE
hO7ACRzy+0I0n7pKs8HqAO/xzfbKK6wrvyjUPkpqiJ+1J3eIcr84ne7jV7FGjLFYndB2NB1TK9Cs
8gqlxNgy5BjHS4c4i5sFc7pHGLHLkEvsTFxRC5nNK08F6pBDnI35XvTx8BCJMtn55PEFsu7mbdN4
Grw+bndjpPoLMV36xikUqBjfzcddqvnXOb29kw8vdpvSfjwLLaWZ5tLvYnQC0ofAq71BVOpm6UHb
+M874zTJgQw41GEoepMhVKjyMm5/nc9b2j/oRV3EPIVm+tveMufAabvmEwgo79MyYDwryDj1SOCf
Z1RiBewP4WkkszVYJussptp/6FG0MwLr2oCqotkIHYgv/RHq7ahiD+EONg9wkzPQQ2SQ3nsREuKg
tx3bIPPAXyjGaVkZ3YrT9fAl8TphbJXjmTofsV6QXd30km+LAVx/a83ww2H0mPjJ6BzMFw+A1GuB
F/oO+xQqfReV/25aZiGDCN1vM7L2e3do/Me2bVBDTcswJVnGKrLLrQeROoiGx3KsXAQIqQ9icuzL
Ogh7Oxy2hqZhAvftJFkPusThPKYoQg9opYZXNY2yW/VAt05JbdTGF4Q8EC4gZ4DqNzx289lJXpux
zm5wgBNHGHXZQwNOao+S+dAQXrT3suH73GoKlf2I26sQ4nuEwugr5MtkP0W2PFcExh7mmvraCBUC
vqgS/YUMU/xatlR8qUejfXQG039LQhEelsTQQCPvkqDRYUC60+Q2crcqqQJpNM15NvCHoFuqP4kw
Y0zbDcZFL2f7JZz7YtsNJE+ajmFsBkYAdwW5h/dkQRkveTQ7N0Y3dzCo2bKn0WsewyQmprNv9BOI
yvw5TuzqqUyEeER9YR3ihgwppaY2DACYQDTpOgjWqmlwqqQFxngCCaVRv8HvLqKrWNRwHPIk86xH
EyYwzn5+8rmeQ4Lnp5iMN+G4ewvP1LwxaB7Pe5Qxs7VqZTJtkMltPZisOLjsOfeCpMOnuI50HHmg
MyYyvYhvxfSeAK3lSSOZtAhjQpZG15dEPkhWY3wNaJXjtAyTLYz0qQjwPuI3dCvXP7Vqyo+zmIxm
W1mEnK08zfQOYeUZX4gW9m+6eu4Ple6GnxqBczRItH7QgqSgpt+EYc/XBm1Z+BI7YERXYesPV+jN
hqcuKVr3EOIZCIOK3tKtgWoT2r2g3RNGcnwpklFdyCZtzGOce0C/tOnzhLiW5iCpo7uiz7T7gu7X
N2AS/aGhoNoMrknSlN519FEmtL9VQN5d8czDP0ebfMZYuCZH1BeQQlsmxJ1doU2rht4Z1rlbYVDt
GGHDMsXu8XlUvQh6ppHGooUjOdHpqvazVgwNmYGpsj7hidSfKxnJtV7N5pvswOsJayZKo53rLcGn
zTWJq/7XBovxRa9GP9kJfJwFqrI5nNcklSAbjyCFrPln8qpqq7lcR8oVDyG2PmyPYOCZilhttafH
zxvA6ZNiCorngcg5AzU9rruEGpMMdaVYMy3WC7LEoGtiu8DLGkZ2B4ITi/O49VL61oRElXj1zGXf
QeVQPrH1hFGAn9jt1iWRLY+pbOertE78LbcMFG7itVuLicmpUiEbHvAvf0VIXXvsy57RdRYLDeho
mRc3FT4lXB18HRQmZXgak33ThBOIEz93xXXS984F2Wa9RgJQnPKpHlhNcRzl9D13cdrhgXRJnYXc
gQ0dCoQS8Z1GzpATMPnGwGz1g7580TWKhJZcQ4S03tdkynluu0n6+GdSv/leA0+4nlEwlGu9BTNE
X5dKCBNX/JxbvRWQbNDealDGROuMNzGmqjtiQ6Mno7VBDy3uWVhOiENVTL8WfweBkni4T00cxdeN
i7uHj1OzHrGd9TD7Zcp3RtYu+sdoGjlFOPqMmFboK2HZ9dmb4xMa801W92zIXdXsLL0Ezuua8UM/
JsMFRCI/HFtVejGBzdxkMhMXazSIkRtcTd6NLSF/k9XqwNAmCDjgYXq0+mhR+xUWZ2NNTbaVelRg
MRNvmHntYHDq63SK9FU+kW5mJYrX4wedbR/m7pHcxXKHtt7EeqviLbK+Ae0lSbU35B3g53YaQ+RB
ipiIXrmjyqsy9fBN4xyCWs5DRR1EIfQ97+P5guBlzA6e1OY7x0wAFwKEQ6I89LwhJBc5Eg+T7jbn
+K7+RqPZa3eWJ9s3MO41FKC2xw3X10rt3d7UT4hne+TMXiaZyuTuZLO0Euux8o08HA6FRPq/GiKa
ksTNLJZpa6qumqmdO8B9i6faffdXq8Vq3S6m66HSsw0Yixmazbsru3UWhzYHQktuksW4PS8WbguH
yJMxU1Ku4VOli6iZPMoW7MWSqYEJHBxxg6fu3RsOU86/qRo1X1K97vf1YiJPFju5bpoJllks5uO7
23x8d56nQK3UIRzlwpckUJObt5he15GfEYxMrnf9zX93sffvjnaxmNvtP33uzWiSK/Duf9fHsj51
GlApQmPL8hQvVvn23TUfvTvouS+46XHh4qwH4cAiJhn+Naf63X1fvDvx60jDlU+cAjE8MFomAoFx
lRdBgmECD9W7oz95d/enFMT21kZqfd+/+/+70I30TdKbZn/0nYoMCZjLFB3Exh273mXqGef6SAVM
b46YVgubfJj4xFpyKkJSCI/AXcgEfKmT/mhYtbjKF3IBgaVADPqFZzCpsC+uMDLjCNMlqGSU6KAj
Ag+7IyWrwk88FxlWBEwDYxBqM/QjV6eM2gCZAadgcnLo0bQ6mCy5JyAXSOUKP2VZnzzVU9ZL9CML
nsFuOZRnJSJHMmO0b7qRhExCFpyDzq5ymMaBpbhceA9iWNAPcqFAcLfV2TJmoI3zQomwF15E2GTm
FYzTmkInbE85SEe5tt8hE1z6ZuJNdOvRscaL6m2Al24cAZdOKI/g2fuV/YABDxrXP/Q1PvSC8Bja
Js0XIF3oSr0FlffrcQwgXdtl0mo3oaFnh7KNXgl1vWcI9yz8/B4bExurS7+eIvNLk/Tz7U8n578R
IvzaVvnz5XENL8hZ3MHYh399+TRszDwdtHZTh8wTtFkVJz787B86wu8n2p9PvMtVEizHiVPndWz/
w6FzaubeHGar2/RRy5mw72CjuZrQvL0Vz8DN0l7lJqPvIv5KprO2xHBVRBIZfTY840+zDxMp0CdH
5e1disr7vHxkawdlCZ43NT2b5hIWnTpRse7YF9sbUERl+Gdz9X/7Mf+ghjUcbNsmm9FPT9ZfezLf
shdQqsXLzy2Zn37yR1vG+AP1qoPoFNYyiRhLc+JHW8b9w4QLjEoAOA3i10VY9i8Ajf8HFQMCb9uy
l26lR1/2X6JYyMwY05foLhSeuk3L9oNq6HcqIn4jT/vPj6lj28KAh+wa9O6BQX9oMsrUk41gHEMJ
0t45RiKXpjNjXmqyra/lwzdyrKG4gYre48SY1oxUGwyVjtizUwjyCHAybHqeS7xFnPtuG2dotwZx
oJD/cW6QdTpe3PeUBC9yD+xC5ZakT/trbYblFkIxqTruqNrXBk5Hw9SZuRUWeek8c+aMn1pVNOeq
rDnoEWYjyYPoMKW54+wd5DC0I04j28/2eKgwp0QD/BqCw8hMKIa3UM41S5x3RUnZPztmjpm3VJBl
+TgkOeAAiPe140GJYglIGe5Z9YFDcfKI7dJS64LU0xklxIjrFcOTVqwLP8qv09GyStKSDIUDQ/Nt
Qqk9WexGemmPRa33n304VhOhwrI9KD8JH5ggM4Q2MbeCOKuc+DJhokSYoQGSXZEqJ69bdoCnesEZ
E/Ul9SuoX6Brh+liTEa/5zg4vJXAD79oImO9arKmuWZ+p8XBUGQ97hXDfgp18rlaIbSHOHX1Z60k
x3eFKLk/ABwebnti6je1iCISjnFOriNnXN54hj005b13zMvs0kPmCivgpGeShg23uXh1OmUfmnhR
wVItmbxJz3dX2HbKXaonxrWZ4zdYp+40BWGJ8YQTl0D8Sv7IzqT+IvXdqA9WHHpB3wzH0m30jdmZ
WkKvOr7rRvKAB+zDxmokJ+WUa3YCcKWbhxfa7smRBKjhzAPVkU7geBwKnLy3NtCj3SVaACFMU5Jx
DHHUn2tn7+IuflLAdbGZaNWVoVF/ahqZVrifUHP4XrQrc9CQWjuI69hPSSrwMGk6sDevuKMkempN
tc3nVP9SzfN8jK0ovClFkZxJai6XqD73tU2LcauLsTmk0O/2eeE9wLVbDz4O8DDp4ps0HQdq3Vo9
koFCQFrnWS/SQHwj9dpaR3Cutw68IeHWzSddJ3ogRiyBTgI4YdU/NX6P9qboWkY9rm/L+3wc9vWY
3CjTWHexfXTUNnJnyo4igxI1evDBO9Xt7aIlp4TaLnVXqonkA98DvN8YN+/81HYWEcOYHDM80M8N
2KsHq01KLKcCCfmOfyQRaI0Cz5SsUSublV7tIa/YF52Pj05n24aQb3zgiz7gx1VOVNRTgYLqYsMf
3Bt1xWF5ysuQiJlBftf7TG1rfHktzYewedWznOoD0av/4MJQwD4pWSgiRwcYxXMy3cSWjG85WDgB
XnimC+bsRTdqrCJOz/Su7kbPA4c5TDRh6WD3nxUBIhcpreE4kTp+SQkpr1eD6Gd+U0aAXt8Zd75Z
uXtvroSPodvuHzx/NB+73B32CI2mVz+T+cPUmiWhcE5ivfJ8y++xgx4LL62BFqqYzPjFCDOLztno
YQ0IY9e9TlBVbyY9N+2VSHJRbVNUZjui2onkyu0w3pHcWVzHAMkf+tyMjmFtm/dp3ogTAVgQG/hQ
HPCanZED5a6MjV63kbXr9C66nofEuAW56RAEIdtTG6v8LeER5q6GwnyiU9eesrQRFEwzmSSCU7hB
D+ZSFPlMtFo9Ef5FM1a/cjAg7TmoknFJfueJaI+Uc5NtM+6pNcN40GxnaDauk2kbvr/uhcj3/Bb7
t35nmaOpVsrAUn2kGnYfoyzXCUICFvc2zItnPNcXQZRKqnVtE0XWecekmmy+88x00RCimSSUrEx3
Mh+qZpMu2m2hQx0Z/OKiJzXuO0OzyY8inXMV+62xHz0jv3USxGU2X9xNA35gV/PHyhjm4r7paRS1
DfZbQ/rXfSKjczrm3lsqfHkeIHBvDbOcab23/VXk5ObebW39NZ3JGut7G1d3ASY0zm33itM999CM
nFPoVwizuoQmgssAr5gmcB3l4qhz8/wVQnq5yQyt3hNA6XzS4mrreN0n+Fhqx1c/Phips4krMw60
JO2/WqX8ljTK3TiNNq2XxMB1X9I5z0QF68Ai7bGzibc05LWpWW5gh452ayB9R0kaFYdIC496VNuc
V51RB7mkTc+TWtqioRHVtwDIhAiiSFOb2jIxW2UPM5pciBYcbMpYPWf6RL4fFK7AqeXr0srKjhyH
gS0z0k2DAf0hHZCOjkobWv2d0VvJGZmiosGi2kttmleuZ3/pRrWne6BWSG0wa460RvIJ0IVXmicD
5KQHaR7T7cqpfZrwg19aQel2yZUpCs9bceaYYnRAIXFlsc5/dqWV7yqRHGtM8/BF7KmagjmmBA8M
r51yPCODok2fveRTlh8J5uo+C9CtINDjSZ6Tqe13RWxUkLKEVt1VSMN2czVAmK1ha6/dfuyu8jiC
8GzSTwmIBharudPENxDzvdywxcPqt5hwUsxoEQC3AcI1uI2GfQCqCvCSyWxIkGfa47wVZdNdu047
QJqKm5Uq4OO7A5uY76PhzYR5LkuIeUhZYVnaU/IgGizt69BviZ83wmF8CsP4q8/jTjySE1D2nG0C
fbdpUyUvLIjVnSQdEOeKnYv3SRMXtUCmkogsgl5Ch44qfRO52XhMRI1MU8/maq0P7UQkQY3J3Evt
18ZMwy8RL4xsCcDPko29ynONvE6h6scSSe8+gt+W0fM5OjUyO3wR0VNq52qXz4P9HU9W9jz0ltqa
LkAz1FNFLvcZA5j9UEDVWvVMJjwungBD4mKKG/YAQBtZ2l9gGwEVoCB7krObHkmhGo8V45FAVJV+
ULndsiG5Nhhb0rDQqkrvENd8VjZtxTezsvW9F0E+FvYcbpu86qMgN4jHiwmLbNPHycER0toEldmw
UpWoA7OBHKEPIT75ooJwlHebbqi/CQv0Gp1kBNFEtZkcchZ7S5C3JDNaxOPCk77VRCWOZTlYh1RN
9l7mYflis56tG4uSwm5yogXglm3hYMO6nklFTGrPuyWxwjhFIc6TnLnNuaBXiRYhxA4LnzfoQ7yt
UpiXqO+uTHP6bhBwKpkjhPpIA9Gxv3ZZswGgiFnWpNS6+GlpbYtoqAjIjeKdNnNgbwZ2Fahw/UML
regRqBLiSzlC2DPGi76Q6Fy0BAFUvIRJxghncUAanIaaQz9N+VvBUhavhRg/80P9ieH8/Fp787gJ
Ez3ZWnFUnED8iU983h5tNKcr0rVS0kWWnKIsjjDLkokUI3Z03VvVs5eHDDivYkgL1ya0HXI45/AW
pYR3yvUiPWElSHHUqtS+4RtKt5L2W33iHJLfFpFpf5t1WtMEKhXXYjSNi92ZzrGrM/ubH4f+2en8
JSoilveiBh+/2NMGoAKF/Azjoz2zbBKLSx8zgIPyFqEd3rsQLslgS7pLaxneZ8uCKF4kBexrg42e
ukgk6qymKqfyl0ICv4yaZpEWT6wemNCieSzI3ShhOteuc9Bsd7oLk4S0tRTWZCldKMGaXxzFCJJu
EE1xPebxc+m44Y0eqvTzoHtknLoIq6dU7ERNDT5FSbV1pWNsGPbQdI6N8lK7CTudCiP0H8JABczi
DEuD/C1Es590jjJ8zB6MiY4Fj/qxfI4ZG33xiyw9GhHBrHZN4rhnYLJYzVHXEX4EgvU2MhkA5Z3T
bUw1j2/hhELMkex7oWfyyhPtosZlHx9d4tlKt3p02j765EHwX5s5QDwQGZ/rOjrMUbpjzKoORp69
MBXrb9hRR7q7lLyBbndEW+haoOuTQkgXEnOqhjfM5d1D6qv8mNTET/Q0vg+IMQ28I122MZsUA1qe
hvshBkG8UI3BMyQHN/s69DoGc+zHh6TkV1HC6jSmsvpt0uLpKusdJkSWzNKtOZTaLswJBWMmXW6x
LvDxQSu91myP+Vuc1oiCi2IdO6V61XlgLl1q9ITjEHAnzQQNjtFQTlS+BkdowpMCRWyNc2G6D0PY
m3APs5fU8GcuhdF+XszxG4cx89DbtREkoWateh9kr6bNw13az3CHq0IYnwu31L4QHtttK6mrPZMn
H7Gcnyl/PY85hx4Yaje1R5ZaCJOs8YibXPe+n249BMrueoEizZzkerlWDffLdv30eULkz5M1OLuS
wQtzq45pb7wG/0bUMPwOB5IY5ALvOzDnVd/6p7Hw+f0KTlNfkLaMrpryVD+mTq1vcjf/BmN0P0T+
g0cXeu0YvQRALpigZMW0bzw32k5WXR16UbYHxvft50ov+5e5N2rMnKHzpNGbghxVhm8aNRPsgq6g
AV3b/o7bYzHp6N0z3nl1wieaf3a9sKM2Aile6pS0ndA0dkH4meglkPzs/dkeQU4ZGuOVomCJr2Tu
70wR46YcSnIjQFR527BOvDcdoTtpk409rQjec78gf3TIzda99ElRIm3gKfqXdpiz52oku3qKcfE5
phhfnCLO2TvSgulCN+EGggx/C0OoP6b2PGILbJgA2AMEdJ+OLWAO0kVnOhV3fu7XL/Co5c6pB/Ws
2N9Y4hsyYCeix510YL7Rmjqhx61yNl1LejxIzPK2tVsHy0/Zw7yeox6zp4Nnqukt0l/t0tkM3SRw
8Uym9xnZRbUDO/RdpgWeyTgOSYCdpLjxIkNfD5mQTywcmCl0sHoBsW3deXRn81iHprklXy1/7uyU
ypWAgRssVs4qbrPyEta9fYGHOcNoa+YpwHuKuciC9naTuq26priG5yGictrXiclSU7GJ3kWEsfuw
0u3soJzc26XGXN9jUALWRwmX73MMtYHPKQZ3qMGwICuaR0fHCVIK110DmY2erASZRFiHMDH9uYfi
UDjmym6G+ZhTnh0r4LzPKPP7B58q9LYzB3aTORFPuTnKo98bCUbajr0oHOaLPduKxBqFaamGOX4u
GiRksQHe1E4y+6Bj3KlWM2PHEk+OY7/0lgYU3E+F/pI7RlrRPCBb1EoRwRBC4Tc0HlrIQZvIh3Sn
zY2xESXDd9KAiFOcGGee2cfVZzi+6ql3K3szK4uDAZh1+BxmeY0rz3sEA+YeEcMy6ep6Rk2amV+Y
oFJiJW0DtNBNZP9suMR1QtyJr0NrNHd1YwBYB33nfJ4NkiztRocGorzsSkttqk5JQMlK66xq41Zh
cpM0TsSt9V4I6mYFS7TdTNNqq0+cwbkOJl5gU/uFuQduBnQVQORmXSy9B4OAkr3RIquotSx/FJle
Hcu06eCIza3zqlmcL8Y5oVzyU5B2yEQqCD7CUEiKJc1erpryVnP+k7rzWo4cObf1E0GBRMLeojyL
RVP0fYMgmyS8SXjg6c+H0pZOqzW7FftmxzkXoxjNNKdYLs361/rW+BAHSXaKTYtf1qCX0BpNGf9d
qv9f03+XB/p/DigOdY2+O+T4/95uR03Xe9vGTfheR7+pu//44f9Sd004owvvAC0WvwSJ0H+ou67+
N8P6lTLKv/kHgdT8G3Y8oWNBxfQFNpTf5R/qrgMNAZ8cw2OBTw2P1v9E3XUgJPym7i4xejKiBiIz
jAX9N7+yTolFyl/j1jHLyNjC1alXtA3wwYTLMhu+rGYMSHUqMCL0YTDRtelU3bzmKzFqfsv2gLyF
bZ6zcepDeAKq0y0oFMtxsoc0Bo9iLaCUcOTMYS/wlDp3iCjVC1KlGVNvA+6Hi+UCXIExCHvFmzIX
Q+mCZAlGO3vmLgynJaB190gww+zXEcrhSgzBdG+PJQOSen4IOzlR9brP6Gqi8azPrQ1j+JqqUK9Y
AZqEFDOV+FZW5Bqh9zjZpNHxwDjlJi6nJbiezfpDYMXZKwUG4UO5wGhs3Ug+1AVQky2smknraXwo
PesHRc2O37YdRQwGgrInUrijxuJyk5nNKiZSqoKzgK45TDK31YLJAReU+gXknFBvq43II2MVSyrq
GW9xWl5QO0BDxYd74e8UJTlGOMpxeq24W34MkIxHxOsF21Nq4ROaFKmo5ML1iS+Mn9AA94O6MWy8
BQGkLzAgqnWNK6B52qrj2rFqbaBBTGCfpwtHyGGppkilKchAoM+XnGwQryITw8GaOZFz6hYoUbzg
iTi86t6uvlCLVNE35PQXmNHs0f1QWY1GSPhCO/Iu5CO7COk+0SQ8JABR4al1ybKNXsGS3ATQe/IL
RckeY2660gGuRE0KloYLcQmcQLSXDSKiuBCZ0MEJ8uP7VgjFVo0LqAxq2jToDeSKumCdqgvhCerO
uId16e2cjoH7CiVn4sC8cKGcCyOKmEfz1C7gqDROzOtggUlFC1YqvBCm7Attqg0v5KkFQqVya3pr
vAg7tHWhVHlJXf0QCK/4MC8cK4hj9YOAJHJnmkKjc31BXiUL/CqPlCJpgUphrLwFj+XSivXcXJhZ
UI20L7roLLqoFqiW6YDXshfQljtiAMG34Q2PzYXEFbYXKteF0DVcaF39Au5q2fHtC8tLW7BeYTQM
z9AXq7PVlvOBMunle5uqvXNhgpkETbEKLKgwdaGGBboB5YIv1/KjAVwxKPYwxhaefL0xe2bLvRXb
dxk6HInBC5ssxFn0avORo8cFXBEGx4Vj5l6YZqQ4yeFIBcC7QbAVvqPccD83qCXEFL+CzJjf6Gvc
QK1ayXyQP8vew96qgxn+sJwR9Kq5INZGkL5rKpkojqEU+nEcuuo6WqBsqWUaV8WF1GYt0LbQIcBK
OLN5mZuF6RY2LUHdBfSWLMg350J/kxN5WBDrxTadgLj7oxvsIa5x0QAcVyoQcv1AMhRbTr3rFsDc
bDjBs7dA56hQdzz64z17pYmuIT56IdQNC6wuunDrzBmHOwVC8N82UMxNXEmUmH8lsHyfZieKjnoK
gnOjWkmgh616eNX4ooitMiTMvHTB5+VyIemF2kLVSy+EvTm31F01wb3cFhcGXz5X45oAd0tpkMXC
0nEDvFEXct+0QPzavGleG4xqqxjCX3ph/RUL9g9AsH1keBGJjdtxxl+KVJ701khOM5WJBSHesX8x
F5SgDKLoTfQOfMFiQQ0ydYE66F0IhNwvdEzICjBhU7jZPszbn7qKmXm5C8CQrQSWYZhk6tPUQsAh
Wt2peTm8DKcY1iYwGQtjHLZX7tnU1iw3FAoPShcVXOH+62g1QxvEsiGZz3jN12QyllkNI4CwGcEp
NPt8X19gjHZc3Oa8UphvAInE63zI0nZnNLJZ+uFaY2vGdqvv87nAqJHgkEIbzmySTmlHsJhnr5vc
0Lg6fo/D5F7pbWmA+Gwa1KN5ZHHysuKh0ADfkcPHkgEARb3FTKFMRFL0nxYo7/PklBiQbJUa13pU
Gk9e3atXKsTdKzehLdaPnBYxxq1CeVsBvwdX7DlPiqMoL3diV+RDmp5B2lSJNOd23Z8mDpaATkYz
fPZEp0OEKR3xrStduEd+w0iubcwWiCzu5L61I04vNigDy3cbWfk+MA3OrfVg2Y+sTfV1n3vJzRCU
xpb4mQNdxois1aiBxKYJI+aOmc0ZRBVVxtfJFDgveHEGPytHJpWJpxPWVhy3sYveUcHLQXUW4i5h
RVoBZVbPXainTxVznbWYurdKx9LXVr15l2aTse6YZOyVleuPXC61LyMpRyZB4ByR8Esu/3riaKso
NoPHXA+dO6eMH8tS1+4oqaAsFm/J0vWZpHdawvgqpAWzY4xTQIVmvyPNG+tFgcDPyxatJicxc0A7
LpoFd3lZvcduEWzHsgutbe+ksJpmEK4RhSyHNuTogEdi/plFIl5rs0rqVUEJ+S21Kc11XvXOhua/
+Efc1m95Fc7MN71xF8QYixw7j9+DbkLFdof07DpArXG0zyTYo4I58EDqxXUNbVMM3NynLiLgazSN
UZ8ciwFsFvVc1iDIj+5Gz1KRbZn4mocspPaAlLdrHroobh+5PyEHaXV0YsxYb9oG1SB3QlKIaZlq
K70x5c5kAVqVCNaPFlvLvall2P9wAqeBH+HH2pT60LzPIhlObiODZMOKANG8DKKbUO+NB93sKny+
WJX8NqTSVg97+0Fa0aRgFadiN+Bw3SXu6N5MM50K9BwEeuyjn2Qnm/by92rygrduStNz6wjvmyGe
dNiVOUrg4q8suRHwFwb+Sa3RRRd2RXYXjyY94JbkLfZFPgT7umljnL1mOb3QlYGJGOr4XVot3adm
46AKSEx67za5Bxtmbhg92ybery24n1K7Ga0aiHuYzKCmhyDYycjJCzAHQCYOXuA05b6dEvul1/hG
cqPvz06oFFOYXNwORmSoFeY5xMyOIr+9XTghw+GsfQuntFwCEZq3NsIuvuoYZh7tKOW7Ood5cu1M
crqubTUwFJBad88BdlC+8vroNRJtHfqAwPAU0BMjH/VkVC/SSKo7r8EBRnQFM1lnhwRXEMrhJ6ma
dxTCN365KXc+S5AN4D1Af95okH6uvKrQd/XMXGxVD622cYBa/ZxxF4q1W5vTexvhVyYdUUAqmKr+
IzGyxN16sum2A9XJ+4RB+H2ftpjtL89SgWxYVabCYdA7jzIBmDqg8L/w5ZQmikxR3ZGRWKgv+ZOV
ZucMZgVMhbC59vLI5DsbQJ9P8V7ucIsCNdGmql0XEuXaDwIbdq+o2UECAmFokKaBioIxTj4ndqCu
PVGWZ68s7XNPBPHE5SW7bsIpe6X1ykpoXWlQN4joY9nUrBpHmWPdjK4NlZ7K4vGHi0Q4XZWj7MFm
e6TarqLCEJkPyX7atzgJfwZZWO+CQmc4vnQxZj724gqpvna9GxDl816wc31porG/wjCo8VRhxMYX
PesufSo577Vv9TI2dgZM1Kcedv0WA0DyOiP+nXUvD+S2p2OMvS3qn0XqRWdnMrKbou/muzmW7Zdc
sLlTHYAa44VHq2PCeJ6iqflA2mpODhmTx3roj0KFIfpN3tvvC7R83AymC5me+l8HiJU9kTOYDXnr
ps6w1pfoih/FDMFWTWZ5HagGE4hA1yUAXHvVsGioMsc30xkWTDahRkLCbQPcP2Y8rnAI/DQ11e6H
so5PZVeX98ts9aX25uizUZa3z4pUPPdCn+bVOI3hAQNBg/mGfqIYQHUbHjSPtNAhLZS+pyx1xDGN
Pd7HNdn+iLgkQ5qmYPIatj7zotR2oWumglwrVwJkuXow9tWoq9RvcUpuhBVxDp0WO2zUFVW1lhXk
mVUSWBh8dQfJsLDL5irPF8x6jwGGorxAlHfNkrnqMjipqPldsrN0MhOuBWnGHzRhnEM+mfuB2osP
t5zzH8stu+URZE51hSm1B72ru7s8E/VLOqrpkOL85ajKhr+yJPb0SjQW/6bXOWJoRnlsULmvSy/M
MEZiVAlWZVYu87isjvY4iMJbo8QWTBioooA8hUB933n5d91KiqzGLN8NdZbcaXVMrcWUdaD9Z8s6
wrsX8A8mTX9MrMA7j0aCQdWdcb9mU2enxwQeG/SSXtIqFFuuAS3aBFkeNna1b1oGmpiEY42raZQs
m3JM2qNuG94a0L567k3H3qK0o2VHesfTB0+9iIMm8EfDwIMBaTMzCbi3ASVEVjtu56FNiGc0Nv5q
ah967myMpkfNjI6NIRO/Ru7+zF1hb2ew7e1yjMyrjdNF1HJQSRQfPDzoX2OYlif6olhJtDDw7pVw
YHxYy52idSkOSSBFF8A1RH1rdkJe53Yb7A2dkWOfOs2h6CYm5GGRj8+mASlrlyc2BaCqD360BLFg
GNszDHvPVMZBInOGLzQZkQXonYHs2kWd+V/TqX6Vqf5/KtBxPJ0VGmXpv5eydl3yXr+3v6pY//yp
v2tYDhqW86tB8Z8alu3+jfyxzsVcoJgZ0sQq+381LIcE/H+lRhf34j81LEP/m+BuTIcD7ElB9MH8
n2hYv7t1dWQwvvJcYi+Ve79TT2iu7O0mG51Na0GJ8Od5ml7QiMabX16UvzAF/ytGwDFJYbCroUjA
uDV4Xr/BVRpbtzFBFvbGRoz+0euauyUgEWJ8a9N+F3Ks3P35AcUivf1qvFweEV6E6RK+9aRYLJ6/
IiM8vGZulwb2xhGjR5IjxyyzIjKRMz9yJBNuDqsPLkn1fRu4527QPZDe/NSPYpJipxOSv2IBAEml
emNjzF1yhbY2nIiAzdeCBPh/Cs//bhRdfl/echNOgAc6xPnNNs1pP52GsXCYTpc5U8ApXdHLzP+m
hG0IUwUuwQfHZnbnlp91qc+fWNSGZ8apFVaY0vxm7pk+FTRvX4WU6Hz/+eU0/v1zwq8n8TMInDEc
Tfg8/vpyOp7Sq4Tp06YTlXmKZ5GOq5iw6tpphuhIlTH6PQ608giyftzoGij3NqSGiN/Z3Uej6bwY
E/5OeluOQlQH0F33YyiIYgQ9N1wuiH36Jk3b3cHIBKeBiPhBrzpz10lV5z8/l994dX//MLpov65B
7B4+5G+qrRvPg9520iLcnxHNsVi2h3FkJDxWuKoG2mvwq+INBgDWDJ8MrrDfZXnBHLPIlyoT29Pu
u3Fs32yzZ2ooaKHOOZm9jiIlt2qdnDo21oWDN8aB8HRbyK4/cDMFsRQmb5Wl2DoD69WzWnnTah2k
7enWneJ+X012fkjrjIRUXqhrUwu40AP9XBBusQi2FBLYfoKqvekml8KRbJCnutKjT9euSSSLTlZH
y1bzqcVAF/oRdmkEY50BSWJoXrsu5zF5/fNr+XvunE/tEjv3lqXIxd78W9agzgaiRbgjNoUljaPU
8vlzRpK7JuChn40Rt7JfEJ0sfUlt5p1XBPX6z7/AZeX47Xvu6NIyJUxeCg5+R2xUTg4etpksZDKZ
35Z6WmzLZNCvQR/vID19a8kw3hINI7OVj26U7/FTDN+2yuoPE8roSYVDj1qnDOfAyThbMxAi5VQU
dKJrgaxgB5ZEn+kcRn6u8unTIyv60NH1cvSyUXsVMg2vK3C4oL+qmJhWqI/XLgS1bdvZ+n/45LK0
/9uixtKw7EkACCy+i//6LaxcJn7O8i1kztbfhLnRBct7ax4q9pU7EJBQ0oSAdUZNyX2NnHiUFcK2
j9m92ouZ4Z3F7PirHkL955/fh79Y4N1llQeZYFNcsuAWfl0fsnDKYaoM1obiI2uFFfc76qeDiZN6
jQH36s8P9hcvA/ESg5gL1W+CPeVfH4xRiw2jvrU2eDicV51J/LKMJLd/fpS/WJH/5VF+WyYwMMd2
I+kPT2Ucf+nArq4Z9JNSNlvgz39+rL94RpSfmIC4WP+p5P39GWmDVanIsjZZ63CFGpTpj8Hs/Idd
2Fj+M79+WcgDcXCgrYklHFKqs8yzfsFFGSy5i0Xd3mDiOFeNEa5yfdoxrwWv+Mjd7hYo8kqOw+dy
/gcbpd3OIuOcPJfkieUwrb2ua2hbMst7u6mGncNAiHDxuTEqZs0TbbFVjMVPJ6xdMeOafIl7HN1R
fSXkY//8kv3+9jATRAlgr2SUtwQ/foMzzUxbVGfXzkax7azocXd9G4j0erZLbf3nh/q3lw0RZdn4
CHLYnrDc3z7c0RwY9IRqjNsyG+fxlGp71HKMsTVlgrIJuj0vtfcfHpSj4O9fKgC0fN05LrGwOZbx
+9s1GK1l5AzrUKYH9Mq03MjQrRkijMOr5G5LLdbYnIHvHepweHOogtg6w2S8M7wSfqtHR84+/uSA
j5SBfddUBOVZW+gCq6tdtoxjmiB+C4zmrewFBWFMAoBVA5LImaCpjFJZZxgP5NZNv0bWvVtGJatl
mofNJqLig3y9H+uTvq1hgVLwB/aaFt/rytCyLYhcGBIBOV3usfedijwfpQHDhX5G3F2x5h5S031Y
jAi3s/1uVvNnoc/NbYGcvy4sK3xtSq271VRibAEahutgTi5dfLlfUyG3y2K7IN2Kaeptwme4Hjua
TlDgm/7TyLx6Z0YkDf28lebbGBsoP3r+WFU9zqMd8X44kaEgwmLVGyvIgYtoIVdjyyK40mZWvbVU
SrUypZD7MbOYUkx1fmOSTr8Tox1QEpmodiMSkz237oyvRqYuKFYHAKoIYf3SBwumgmqmzTzYTr4O
2CR+pPQrb2JGhvSmTKsqsx8ASZbrVi3ZgIJcDclChcOrlpF5H0Q9ync8bUapbzzmc7hX5p2RSbAn
j12fYgky1+1keN/TIK9TrGaq774STpfP8dLIJuci33hu/8I87arJx2YL160/BYYSzypJJMpXbZGN
r0pcQVOmEbCdPd+T6j735ueRZMWJSyjQr4pC2agLUR9Sl2uz0Nr+th7nEdhmZt21vZt/4m1ubrva
RfYPovDbxX+1I5jf7HVKNO6bzBWvBXhM2oMkFYdt2W7jZHTvyjKviGBnXe2PlGJZq9zA3EcecXrK
wrm9l8HUPVWYPVZKq6dHLQqqHXSo9EarFFOysdbOKQetmy5RjHN1Q18LlTs8sl3dBLPWbdIB43dn
uuJdC8jJgEewboy6YhbFu7enz7m9j7rso+6d6SNZnuGgW9quDvo7neDAXD5i2xQUgU+3gAVOAWmN
HaL8cChFWv4MAhE9YucSvqLrhQO4i+6oUnGlOdm8bsEHwDxGzS4JUN07aohuUsZ/a72axKqc6uLb
1Ztxq0Hcv4KdnN8WlvsVKesNZis1oI0oKxyZRjy+oGuWezMcNCxR5OEjOZKwbqL54AJw9Ls6fKmr
5qXyhi7B7yvqj6wU7XPopuArPZXvPDmVG0L7xoqbT3PNYMha1x6JHmay2bbW3HBjIVqtoHEX4PAL
7RTzW61pTeUPp8WZFZYqoFwNB4GGs+FPhTvDGa6Dpv+SVnhkFgJZIvHswse2SS4gjvgDcE0f+tFz
Nz2m+G1KmcJt0FTpRpSa+yC76aNxrfKc1QPwuo5Vge8gpggZ94cst+7mSpf3XZTznhgdZgIgGt2V
SVCLLxXm88gb4Gh4kCuMsrp2kkVukgvcbIoS4rdz9NSiTPHPqvmo64onWKpmNVmsjoAJcMzbKoc7
HCXvDb69a8gUw008B9m9NZXDCahevgEi3a6jDDXNjN/g6DTbECbBmjmCYl0F19p7/XrU8uSmhFaC
u2E0fhLc7kC8qWStvEhfx2mo7gwt90I/4Gpnb2VuPstAYQqX4HQ2UVSs6a24RWLvzlhDjoIEXSeb
A46HxwBNnWdcpfcgZAQiWGx86hT8LLRrTvouwddd0hhgrFGVAf/W9m1Ntfq6qKJ5r0b5IAJM1IVp
MPxE1XKcblfMVbfxauOj6NUxEtaaSQbBYNOmIqo3d0Nl49LS9IcSuBl0kP5UWH1wPXSkcHwLg+pr
O+diXamhwDHP9az3oyB3thOpAm7Xc31sBfhbOtlB/KbhTTeTxm+NQayiQc7GyilHMEOq7lZd7BUa
hrjC3NqeGa9oWr3i2AEJmyj4sZRaf6eJWAE0KOiWKMvqyrKb8mza6h4Ix0RBqqe9x2Zdvs+1nu5E
4MTPQQFzuh3NGNtcLV/5rQm8dKmFBA0GAyMBLFq7it49oSVXysWu6NjsnLXBRCfKK2/fM3pdVfgF
rqeM7osmLPNDJS1S5ZMFd6dO9VM2VN22pViRz3h9X4vvNEJH8G1tah7dlulBI6Lqzhiy6WyHqXus
8PofndlJjrrJ+N+kFO2lmL3pFfv/Al/KxHlcpi6FZbIXRkayM+s2/uFCSmYQQVquV67zWoW6fogj
ryTFELLdRtOdTkR+PaYyvEPZgUvOs70eGBkf276xrgPZWZso6PVHQ4/ie9KG8lA3g3tteiFMFC8J
T33u8nfk4W6Uk3xWuUoemY3if6NJfc9HdKO65sOlM3lbZJwXgbEvq4sXRdhwyMTgCnTs6cCcbQOs
96rqbi09ZoRmF7dDFuONqEa3XYnKDjZa5+KEZSB6BtpsfdJtmb86RmGtNM18ngI60coI+0OhSKZY
Q4/1sp3bZKebAL80086v2lTZrGFmvTUJd69Jt5GS0mr1oFk9UIkRlBI1s5UVHQBoVxgETdPPhII4
b+Z88IOWCRtcbNs8kIScD4Wrv7hm69y5/DwZP027L7wkO82x+rQbg9QYEj4n4Kxmsl13N1oj905j
fhdufRWmc3hn4W5Yj1MPxnCIEhzCvM74KqyVktPgI0edmrAikh6sOKgF2xp/doVAMFFeAsXkdhBe
d9u2TfjEDc8WfpHFYusRh8KY2fT1jSm94NmpHXHO81Y/GS2GUXKl42kEnvvZWLEOPUJF0eNQ8Mto
uml9yVH3frpxVFyldH5sjIifEzQhrmu7qAXz3krfMkWSvc+6ML0bXuNc530z0dUuS2KrnlOcq8Ip
DoRC+68MBk3nJ1KrEOXdfteUlax8R8TiSQs4kyQRXc7r0mK/7pF/Sj+H97ADlGOyVXYqeDQrjD4r
kQFyb4Y83E1KYu1vAmXjD4+IB8eQtp+XzsnX2pkzuNjMsCD24/qFoNjJyPZVmXg3aZT2WyPVhrXk
MgQ6K9Cst1CxBTlVkL3ZRufsPEujrz7FHOEPQ+7REKwqfnndxpLgYand9JWmGj8jgXw7MvblyFQ3
1W01RSSh++QMjOPDdJIX+FfAIKIJS3EYhAyQ5tduNvhCz7laTRjp9x24hyX/RMJn2W4obnE43daz
WiSicV1AGF9TOtBdY1QR2yjooq0j4UoQJcJ3VefBeIBxtg1yuU7yzNuyu+K1kBBz/AYU91Eb4+q5
GOdjF3zOpnN2B+Oxdvt3oaIDJrofVtq8RoYJsTTU8nvVw05u9MJZmXruQFdw03adgaxelzoORHwg
s3eT61VN+seb93mmdQIpyuCcxGDo5Fl1+6A1KSyt0pWkCSqju0mLODR9ukyt93EosBnxK3TQfKzw
PvPGh2DM5b40i+JtpJqbGupBl3ukpeGLwE77QHhO7bCpM9qvKofp/BQChmfb+ySb2iO+isAP6fb1
g0JWO77JLiPmurx3w2TY93QdvhVlC3hcUJdklyG+utC7kkVa3dspeocvvFgRco6rA3y34VmvYzYd
1+1xYsWhVVHfOHNn1eN2wj9px9/8zMLbwQm0VpNG0ynHmMhczXOjXaWgyGkDBsvkULQXYdya0k1t
ePl1b0aa5cd26WyzJHJ2ODyIVcZmKQlJGtq2aDz3QRsZpfsOouETkKXyjQu7fkQhKHc1JlG+3J0H
Dl2jvTKAZZUMhBtwGeFHnLejbPV3vsMG6DEm/Gnnzndar3cbEFwZx2BGkAeSf9pJjzAl+PpYp6eM
LNFtzeFjY0VpsYJgWO6WTPw6lqY45qH7lPX6lZE35cfchbQPRCp6YAxdPsyWxL1YtRNjTZZTQIH2
PUQN/Qfmdu/cpYZxMhw98PlPhj+XpfBHHpbRA9XIiiYOkYpjneCBqhLNe3Lmtn10UuZa666Nf7Kw
ZDcRRrCnQZ/ihJZEmoiEaoofSzclzyFK9xHQnWsyROGNmENF/Jae7TIh1gJttb2JRY5nXjPCl7jq
YNMbwItwphjHAWTAMefA9pJ7sZwBEnjZjjMPZCuFu33j5qO3V73Tt4vKEN8izPXPOMmmz1GDT1Z6
feP5djk093oTOcgpcz3tC85rRwJN9tcgFOy7OSnie8lH9V65CWX2vjYYxsFyuB9HGbfJPe0iuGeK
eMi2KnGLPdmB5KUh6PamEqCyG6kzOPBLNVPpwOE8eeqEhSmC+pWNmWt14zt4aWn5DHMdF2of3Wi2
XjDiLYlnEkzwNQznXAOj+o5tMiFtOGckS3MFfG1yp2cNhvoT9qNs5WautVbVHHA5LNqb1BnvncB1
+PD3abeveArUC7hV8c3/pQJ2MDOOlunEoNP3cLYP3K1c60yxO0nAGkgc9TWpuVJe2DyJVqBX6kRS
qHiM1c+sCsZNP/fGreiJf/oaBx5SFFr/bkVB8lZYWkEEWVhtTzWvOcRnGUVQwymYhR43T506ljjR
fOqazzxRJPSqxuM86LncsalPuxF70D6Vmk7UIQia754uLa7WCHfFlWHmtgmAHiDc0ZtiAhNzIJxp
nU24WNecpDXtFlZH6x7FZGfDZrSs1y4f8301u/KczdLbx1qsJj/vS6bsnPATTLmEJ9wN98zhtlWD
YimY526kcTr2om1eUHrclsQpYNW71WZq6sm4RqUmB2DHFoMqtwT/T3pSO4xQOU+p9JqnuMePMWi6
7UM65p6mueP3XHl4VLh7D1ezVuYflqjIlVUZWyQRF5Z/faB4FVfg/GIA4fyO0IFOFJ9rnzx19dYF
Q4MNlLDSFVshywDvDbCwqcvd+sZyw+mmKeEz4Bmds21v9fo1aljIet7j7Fz3MovXKiir2xgn0E2p
W8kPrpZcFx08Vh9JUqeI2yzcLxTheenGlcMxaSOX/l1gR7AZB7t6a5RXrrPKDF4ZKfG96jM66+24
fCj6wL0maB+mW82VHzD0N5DC8CO2JsMT9Mwd+KCrFAAILzYSmF/MWniOJyd7HBlGb6VehccqcsVt
aqXaUhjb1Y7f9UWznYhjgE1WxgYOct1ucngBLzKx+33C9vUcpuESpHMJbvJMRHNVz0n6XnJc2gxD
2dIcoIdHyinEXdUkGgbCdGmVHg26UFbtSIByNY5TAHzTidglx57CDSG4GHAb/jAs5R5QV8Oj0Y9f
jei/6kZ70rkC+FkSi4MUzrh2sf1szYEltLSK7rmuwvDK9SpsymYYf/WU4NJ0VMbTDcoWO0POwXoB
IjoEoUyBDFqTrJ/HSvtqPDijPrO178awhubn8hAFUdKhxecQmZG1sY1eT/25h5INiYMYIRb0CQ+l
6OXKXKKqOP64gs/PVl33zAPn4SPWKpKoYFXb2zFw7mj4tk7t0gbH0wrWcYt3fkkBdce+VfOhHsyW
SN30Bop6tmnwscw1F5N0Z7cT8BSWiHFdT/MPt0OHC3debr45tTvcQviTrw1P/cplG/bRF9sDM65y
g7okn9mdVsSN1OwnwWTdaAI4B2cZbCdZ6q6VmE9RkVMUYdc9qHpVfU7ZiNyWd6QWK+662ghOVaqh
hWRf4OFb6m15CQVIFI60IR5Szxj8dmRLblNjJH82a7tSb7J1Dgwcj3RnVDeNoRVbACrOoXSMUPdZ
6cRD5db2T6SMxFtDLgSCSQ/9YRbNOQ/q6E4Y6IKwVjPugJ08BUFHuw2fQ2oDyxB/IoEw3nGwCdhP
GLq6xNa6CN98770OmnSeo9m2r9KprlapOwuk2Ry3GnvvVQf97uRSDr6G56Fee2EnR1Cz+YrDQUWD
TT+AZFPkqz1vOI2DS9ag1bWJ1EHEtI42qejembgVgzjsjzVUzp9hTYakykhKS4spFqjb4imnCPqR
Ws0Z/kroPDOvL7kS0QMBqLBTcuOG5BEyO8EebBat++zSeI4GmxkP7VRgoppiIuDmEmad6RCspHQx
0NUJXqm0L1ZmwUfFM8c83g2cJQGYlAmmUUcfVgS16IGhUSnkuDX1P1hGAVPYYGU8MEUDR/tghsrD
FNqdScKpKt82sdOdWwHPP+N4X7KaumDdutHA/eNZg3YfZ1Nyo8oyuHKJYe2iss7WA+bca9yQCoSx
KLaumpO11TfcgZrMXuMhqzBL4nvKpXzCt+YXtfEjLm06kj2LJDvhCHBKvdrYEVWLa9p7Vu2EL5NS
iz2GMf1clbRbEFV1r/JpIOHVpI9FRH2zyProWwlDPDi1aT5i1gwg18t5g+fmISC6xiJtD+eBxC1+
KyulAR44X5cXmyZMujMJuvABZhPBnLa2tzRfliTzInkaCrPbWXbVbrvm0m/Mmu/W1KiEmbYbg/zQ
Z7Wz60w+RknUftNgNn9iK12BgxlX3QTNbrTIzgGXwPBe5QdaYrDx10W6c6IGbShw2pJPuAw3s5yj
x7brtjPjUKkK3mNGtht9an6aTT4fw2HAO9e1/4e7M+uNG0vT9F8p9HXT4HpIAj1zEWQEIxQhKbSm
rBtCtmTycOfhzl8/Tzidk+kqZE0l0AN0N1AowClrcYhxzre87/MqBwmTjQlU4yStmD9FdqwPuxoX
M8mKveltCWlrUZtj6swbBJYOqslscUl36VktN+jDiqOnUIs02tYnjAewK8p8H8u+pyUR7CXjAHiU
v+0V4m7QVVB34mSu/V5r6O8g0tlH1aa3zH5B/xhlVKfZXa3BF0lho3A00Q6bUzkzzh+XIwOwp9y3
GSvobsDiITAlTJ1kHBp0T/KYXDKGejUX71YfyyC31Ou6JifDoKvYJLKuk41hJuWG3b7JdaA5u8ah
BVodeXDNpWs2JC5B6OgrNlmUHu7R0WYitlYaZFEsiOotp9qCUskYUtJOOIY/v8JpEsdyzO3QqgVN
+yXZljM31N0kH8NCOl9AodoPok2qYZukJo4FxHNiZy9Zvy+WpSF8HMPYlaOhRosswA2f1WhoyVvM
f+DtqRpB3+sbj5btIoKdsJxjlR23Oe/bJqCX3q5we4Cz+g2jDCWXO+zY8UPbWMNGDn6NlQejtg88
MfFa86p1TMkefpymZY8TFI02vIKAzpdHSpEFnT1qcs1YOQLd9d8SGXMQGw6BZHoL1egoJP1JkOTC
mD77fpbf+YnrWODMUfAHy8B+hP1odiqccQ3WfJ6DCb/GZiGOcDMk3IcCHO3lPAUbSWyfvM+mMX8Y
UDZfiKxIxAlAZ6aJ0dNBByKF+xlWyPC21KbznsPdBk7iDyV0FOrmjr4uwK9U7NYVzK7XLka/RzII
1FLnV00zONItxg3qEk9TLwyK1TbDZsYKs3evXOEww9fcDRwEh9OquCFUHD1y0xLCbh66snlLddC0
7LluHe73pIbDoCXHLuu1B9uYcO7YSZXcORQk1zxx6ecYojQdcUuISKKjfzbescUOYbKYzb4Yifhz
4qUF6IwxvPRfx2S8d9r5xY67ud/wxuUdv1rtYYZFn0DziOxK1Tc+XMdAKB50XLELuC/zIrIxhnvu
bjISvZwpWVY05ZY2gE611+wZZfU6lh8rxodA2VaHaz49VGAPccDE9Ez2CPIFHUscNH43Pfh11T8l
A0jYWVoMqQunvcnQDyC6vybJJ94as2uEhpcypOjqOH6hXyj1Laq0NnRza0Upb/Wv0siQ2CqxzMe1
7/QEDWaeUfhK1sJtz6VbDglHXhp4zAuWLPH3i24MoU6rg+0wL4EhF5Xz0ALWptBifip1jeWIk33u
Es2IlpETl9nqfC1rB3xJPK8vi0vXRux8PzLZEDwst0KVL9NkWHcJtmIge721vJIwgAqY6vja9nvx
srQr4tKWtR4lEeHGdbb4+vVcaFBfAD8Ai6hcLYvKLolvLUZDX+lN6ULWLL6RY0Iqbs/rxyuppa6x
jR2jeKKFk2GnVIR9PZhKA8SZr7Ev6Mb8qQTTrIZmIut+eu4Bs/AKJk8skKOGoNN9wS5pO6yqC/Rl
UWnoKIcZd6aBjWWlyLkin/qahBDba+hMRh60TSF09a1a5U3TujCp5RK5pgqrCZoS9nuubAb5wepJ
JvBps01Naww7hC7DxjabZOcvJQjjGjGKCG1HfjERQzeIGptpT9afetErn9mqsNuLC7N9B2yno4My
eUAmqWK5KZHvPxSkiM1Ba/T5Po9xeOMwcU9u6pVP5iw6jGAM6/xAt5OVn+tiTKlEcpeCM+5dOEXd
2MgrNiesHMyy2M/KL8pQ6QMeRruc1vt1lkDUXGPqQhPZ9N4juhe1M+4UqpUse4E1Ib9CbDeCCm3L
g4ATy5x4buTRWW2OMMcdzz2RyRjCYxq52tSO4NQbWqa2tg/KHHHmCNgGNxN1zNW4xHgsh65Bnp2m
89IRTlHzZofFaodTz0seaObwnHegvzxv9bZSjCoiuiejrDMPwgXZsplSJ3KwtMNMEL15TQdXb1LF
VnEMMX7dVc17l0nto4YjGCh30E75peKdVlPeo9erbyyk5EFdIoXOiAcCQphZZ59x0LOdmi4YIgjO
3rhW9HsYesAtmIGT13OAnJpzqzLzEzIjm7JspHYGsHPkxJ0DCGvebuCUjoSVs/ev1WUz1saEDjFu
uAJRg7cIcX5YSUvcDyugr9yona/Yftx4w1SPyyPPSLQZML2DntCyS5rhFDJDskI9xSnRgMJ9UdAR
Hgyez7u0MXiUEpiEk73W9w5KqU3NHgoHm9WFGYcsA6rRJgFHh85Y5YsMgS6VD7Js8mjoRP9LG3PW
1brFQn+qULZtFj3jX1xqQzoGRWWwWUrcHqRanX610dF+hs8lb6FMtSHrRC0wESpuoO07gef6YwB/
W/BKFRAkK2s5pprHlZPUI78dQBremzZpnwlE+EhG17p2fOvMA8W0nmlSgL8lO6dwdIZwyACfh5Od
lvONv7K6jhq63iEivYjTLFXduOexbikfLUamU+mBLoOf9uS2egfZSpejHtZ+ASVb45VFMrD6p2o0
4r3jluqrmZAYysw9dq3+ttXK5VDpM/nwuTaqoAfYyGMJifMuYVj0wNMlf8mrxniZTKsIhdsl20Rz
CKkkpPWWKEsQeu5AfwmDjbVzYegvqC77p3w1GUx5JaCnbDUu5Cg8Pai2kg8/Wb0Q2EG+9cW6PLR+
25wq9Os7botiK1zVXVUzzKPNihGK9YvxvUsGY2xV7VHL6L7MpCiuHHIiD1rvA4bgDrFAfnlkaNrj
esOgpT9An9HecrwczxbGrSsY/eW+01LA+sJNo1lmxH32YluY8/Cu+SjY5YSZAUvMJIoA39kpXqf5
zBNZUFLb6nMtxuyr5RfM0tNkfXDh+08QnAaGOgvrYxQMIVPjDfpG/j9nSvK4ILkfoE9X3hzoY989
GHPZ3djEa4BexIh5ReI4FEVHm4YtjBm5b2XKBh1A5XmxgLLRQ5Sw/oy02DaiR6NiwOhx/cx9jEeg
VWlTU4gAubhShTnxfuat1yQdS0xvLZ5SVSIhAVvHFrS+1mrtya00TDCqeCwbyGv1YMc4aGZ5qWrr
MbClfNY1Nd4uQ4L5aM7He42MmzDL7iZGrTsTgtNLXovu7BjW/KLFab/FOTQcrVp6weDGwwvHyovI
C+t60S71wVTmN5jZzWNVdHpUJGl5Tno49bEz5u/jGJPhMJl6oMpR0qronA4IrPb0hhKoSWP2KeQQ
2zkUbtdGI0Ssz2XSKvyECwkHJd4u9hYNTrWCOvmYSScJK1swlwV2R8Stu5JfMJhBizc/opf2OJqS
5lA2grmP6CNlucMVZI8aNpFhvECYrTlr+akgbsrSuGPYKo/j2ls7ZrYZXxUyX93o+YHkEOvcuPAP
Sx/CB5Zu7ziAbd9k1beJeY2YuTOKeJgjymjAsotltxsCOvQg7rJq3wqmxsJLPntp+o5K6cNj2hok
bLFlbOxmF4la24ksatr6Ixd5vQGvE1VwOzclEDIMeLhEyvFEePFpcuvneeDYmVdcowWLITK/dPbG
6Za3bDAYdjhK1zgUY/OwkCmKYgi645gS4VAVgTOR6OCwFeo308wiyxsY95SdvklMbb9CLCksez9k
y8lumX4voIzvGXXZoIlmqGR9gh65WSXNJF6nVxeG5E7DAHntkaD2AFJOPDoVHWO9SkbhZW1E/77W
IIIUq3siK/rkTUtT+5oWWN+BA80j6Ond03fF3H+2YyT6qG/eyo/uPy5f+P+STP73z38EuPzj+14Y
0T/9Yfs9pv5u+FDL/Uc3FP1vrObL3/xXP/i3j38l7J5+ETeQhTTwz80g128V6wr1RzPI75/2qxvE
tyGQMEbGruqYoFIuno9fedW++cnHjMH01wETLQi5/90N4nwSCB0BWdsGTGvLQX3/g2hiWvCq0Qny
FS1H0Bv8JV41ZNmfFaKeLmBXGWgO4VHpSB0vQtU/KEQdljiNpucYJJUs9yg68apLqEw9LMiGuyXB
rzo/5oRFRDaC3yBJ1/mp7GiQQHH+Qg53e6213oqipZyPnOfjPcynO4NJ4CZfjXRjTLYkCrbWKZC7
hNWDivE3eSXjS+3QqdgH6OENR3Cs9xr2O+TNc/qFTSKjeDgHgTkW58zLoGOSjJ5nLCwX/LDtYPMO
kP4aNo4YH32yXYM5xsC6TktzrTJ7ptKGxBCU6Em42eIsksQ+7DXsU87e71hwFgPgOpblH/mqVW6Y
9FbL4EVmr6DSvkyszfbStm8yPHibHOj2cYJgFhI9zYTJXr7pGgefPVQtzlvU4x0ZsPfc5C0WZWe/
sMKiTDCYKkjIqauixKQ3JGc7lS8EgHB89U0L8KDq+Qd1E90k7bVuqOwZTAk1EAzbnUIIiiHExIQw
9WVzr0/Z++R0NunfcRxY6XLJzNGnLvA6/bXksuNLxdUYLeZlqOnbyQPruqC3Ju1hHNzibiw424qJ
1jlk8K/T07oXwiGqBnSIlUHDaKjL1zQnPVa07TkYKqAh1V72bBRj8DVoYWzQSU6lxnDQCmHuiyZN
tAPEreJIJkif7eLVzCXj9y6Pj/RT/bhLPc0/jnU3/NKTEaQOXSu6NGLuMl61vdNi26fiEuHoLFRu
iGMpcIHAFjadgq1/Fa01E4E+Q/zz0DFYG9ttcX+OiCX87aIt/rlnYADCs72EMlDXIvKYptWHuEGF
9tJ3Ql2zybSByMDTlkFixPYtkEeETf0EUEL1ZFFKtF+XWfd4i+mgM+6WvGdd4mcdCwzddgsXUyry
qgt2cpruM+XG6d5d5qG94gnDZl54CX0QFm2SBLSp+lY3sjy6akiSbb+AA41GwS3D9k8SxIKO399M
hnKmQEz+XTcmB9ofZvTYtsGi5tte78tw9CxogzSrW9u6QWj5ApD0PGeE2RVsk4NOqn3a2+nGUciU
mhXSi1Xfo035Ejf2w4DrajHs5Ub61t4p8+tyGtpTlsShldcHkV4D/r70wERzYue/rOX5lZmTE/bl
Uh5AGFhnuVjaB48zvn6wDKN+xumphdXs3aGva3b1NG9KjqidX5oNe8bhm7XekewC3Y/PocR+KTUz
u+tQMjUileGkVE6V69q4/zMR4tp/vxANH/xGg0WudWdPoARF208mExxaIgGTfeGgpkQe8liSFhfl
OetXyHDJvmXkthGiJPVqwfLKvBqp37rq25zw3jcb0e6mJeS+IhVqteppMzZuskcGVCEzYa5iZy2i
Ft+qEelW9bUuM/HqL8mDWWDvlp45RFNcNLxlsl1uQ7A1LLeHtx27X9GfE2dtLFvDm7sTyS8zImsq
7aqIwcC4Dxx910nmJBurRVgCr3nXA1ZasqJgDGiKqEWkXDYes1ehvxcuVMdZ0JnkDCGg/pHdbjMv
7LxHDezgx9R7+ZdhTf5fri7xs0sOWpsvDFsIA/08MnD373PAqwZ95igNf68xXsV4nZk09zReYTI3
zm1aC94l2jo4zRZJdHfNuExSatYx0iuSnEbkP1PKOdkL3nXkY/jnDHKQv03mnMyWTkrPQtSRM76U
I4TQWlXGVxpw3s+GmhhHERrJuKAghVWECxZskzGtgklopEMapYnQ1EEZDodF1cTHcQGiyYrrcppo
30+W9vsp010OnLmcU+0w9Itr7nlfArpSivp+0G1t50ENv+8zjWluQUDZQbUsddGeJl8ZGGCD75Md
c+nhVFAWT1hCdwM4Eyjk40m30wnOanU0szw9IsrIGCcymM5N2uiyTNinVD527MG6Rx0J95bj7CSq
2Ila4q1CoE4OKBBJ0PgMhKGqzCtrcPsPA3j/kxqTesv2vOBZ7dqyirrcoHLNxprGRazMeTq0rDIU
0L15urHw1AHqqix/kFSU03FpwWIU2QQl0pnNLWm1ioGtVoa+n1TPaeuvZxELND16CahLZUdaNvs8
AH6c2WQk1WcOhS4oWnfdOeRBQdJcFfMeVue3YzN470nvDFtZZXcKN96V0GVFj1UCIdRtI79BneES
sKB6nSlBX67yVOINOqaz5t5WXqlF7pjaX70YIIKhFf051i5jKDdJvsbU+CQ4yHZ4XWCLscVEchA7
g36HFbUIa8P4YhcxyfRzV2672mmTjVmqcwHKfiMdMyrIGYiM1rjitoPvO2jj0UvgiYhZtdsphcDW
EZKtDI/txXJCrvhCyzhveeV+KUhOAj9B0lyd+MtWA1ewMRvjEbhrHeTDvFc2cXA5QHJ/tt4T3Zh2
otW+gtxGI1LZRtSk/RXDijA1mHebxhGnxC9xQkYROq16ZC9rCOYN/o0+jhcq6ODs5nV4L7G3o/+2
Pmo78a/zoYHX7epq582k1SDXfiO5qLtiTT4GHdrOd/KlpitwUt1dSRbZAUshO9YGf0tZ5hgkx+4r
xaITYLl7H23UZBoL0aDNEw8EtJRHO9M+rynaO1BTBnwH/zqjTQusfDC3FdKsECtdvbNIHQ4QepKF
4ag1EM0whPTpjOQ5rQAObXsPSHMh6Ly6/nqFXxEuLBsjwjsuTjrzAa3cfF0YhjyYJVFu9D/QXTpD
3CRMj+9yUrvOTpUQKzBKJgVeESS4LgvGV668IkqS3S4+Efuji4txaw5G8y0fEY1xfdc7G0ZEWHao
j6zS5KOXBjOz8iyC25pxww7m8nlm7NdtxLyQLLUMF+O7KvUX6cj+uYVxiRtVZtk3AKgmWXlxgvYN
thLcTEyJTQRzKU22sD7LY3y5o9Xlts6/X9zN90ucqTYXuuUWidx73y/68fuljziPAqBJYoqB+Xth
YH8vEsSlXkgvlcP/lz7qf1xi84+2ie7kn3RbH0n6VrwtPwcE/dqm8Yk/+i3zk8spYgmH2bClM4X4
rd/y/E8exnouPx8P8K8f+c19Lz5h+ALo6JM1aLk8jb/3W84nvCRs+Uz6NBol3/0r7nvz0j/+0ZFH
v6XbBA5hw/dsvpj9dybDgVGORxyt2GPKsJO9SVQHx7OFv+Uiekzf55xpWy9mIuQcSwysoRYsGwKW
+rpL/Nh6ws5THqpeCMo3kY9UYlLjZnUmCHdRqaXW06VSvo6nSQcGpjn9mYWmsAIXewY7AtvO/H0H
ij+P9MVjGAjMdj4sgHMCTFi8Sby4Tx47x+XKHznIKX4M7RHyVnv0Bnd4webHrD4jl9NgfcRe3bvX
uUcQJuk3SBNGdi4NAMIcdfPXFn3uFGQWWxHWVElyQs3t9+z3jPXkpJT5l6Er8elD4UX2ysjQHbDG
tKY097GDRiVx1suMaqGBZDAScJRBSy+LRdxNqeU/gsH2osnIp2u4sn5AKOSI/xADlaVKotsHaJZm
KmghWYw8jyCqWNrXM8jwFnuB4WsNNvBGLuW2hsyjU9IxDLsiAXa8gz4i2MRVnN+nVvbZFMWMq6zN
PBVUn37VAjLv6AmaEHbjJXO0zuh1EmOBxFGMvmbcregDl1uVgDO8M2zSE+hC21jt80xT8SFtyMA8
DDqYyat4nHwrrLPYGLfDIJwVSH1avIygxpw7r1Rg2wy2vzTACILzgH0Os3Vr7cZhF4tujFx8f+96
zdw8KJvSj5CxG89k+BL9muhJgjm6++b783HQJlZ/lWeearUw77Vg2WvEsby4OH42qR6foRFQ1CHQ
4Z6fkVdbSPGw48s7Q+b6TpA9gxcjpu4ljGCKEK117xbk6z0LmFRGclylgSpZxz4hGu/RIYAGE5Nb
U9uXsvceiAJZThMxUjSI0gll1xcPfb604cCgd8OOkjIfifqV7tJbax3xtLr0oOEvtHqrsT7GFdp5
9DQE98BX3FwgwbIy9NuEgGlQkt3DYmeSYbLobjUavd1EwCfoFYtZG/mjDPTqOkVI2RJWR3iRNhVQ
V03KCNIiwgWkJsmJFDrEedvykad1OLKnMLIA+QVK/8WX2WFJctT9dTyE5cDFX6BsPSSsLW996p7P
Pb9berg6NroAEsIC8AbKgL5ZtWkKlSIUCsvg8ywlgu6FwfGUIevw9fW5JL7i3TG1aas8t3lgjdoh
9RgyXvdsiUSWtFg9e8BoFObX6Hs/gLPCxmoWk50wY499rmXZDmeslr802iQepnph+GCQXfVKErHR
bXXUloepwJqFr2AIWZZZW8HWa+uM7bDTW9VGq+9OgZpZKJe4F3cEiemBrZJij/vmSi979iwoNK6F
ow8vJItN5GEnxTnxSWfpmqyiF07928Rq4zd7GuP+V+/vf/Z48X/otWhj2/7zazF8K9+qv71V738L
5fCPo8jLJ/8A0zBwRM6kG0zymSD+4Wp09U9ciWgNDQMRpyDY9fdRpP6Jj/BGEMIDW+NdkMi/jSL1
T1CcuDUd3REGsoS/BKbxmWn+8Wa0L8xnyEYG/7MNKMN8oz9OIhtinSa7MmyMtvLb4IobVzlRI/zH
jGSJDdbLLfKcmUspfpRkvjSr+Owq1Ef+azoNxQY5zTFO1+d8EFEjnR0R5tvstGbqqp9APLrFNonH
63TSn1GrREzFobA7Ubaqvd5A6YsxbDVHQwVi8HZi4nNbciwztbfb4pAL604o58YRVoQ75c6OjRub
RlIkX+YkBVbpb5l8PHha87DO8TbmurVTOoySIPf+y1o8LEm7zco1cmaxc23CaBrvMCTlCbbKTWXP
z41l40arzry9tg1Fd1EyMMKSuJjx4wriOfRi+xFG+l5N2W0Z2xgSUiA3naP2a0ygC7PHO4i8ewt1
LJiWEWSU/6h76iVjl7JhdxxhCD+0GoJg6KQa+13keiebE+gPT975V7LA39C4nWtZ9d3/+jfj8kv6
GTjALxEPO/svnjOoFT//EsHyml2qa/a2aNsQ/s8GHfQpmdpbZ1luXYXxOE0vklYXqxiWIn4z//wH
+A5O+OkHwLqvu+CFHOHaOiPyn38A4i0oC0yJFY31INEtJ29Qu1kH3jsuDmiH1Ly1Y0RYQ7yes3Z9
HlmOnxzD0Q6lgPfubj4Wq1e7VdBijdg8dq4Rl9u4Xk9zgS8In3jARkk76OSFl2vHIemgboiqafGZ
miLf8KZiO1mokubiEp6MCjH2rWM7K2K6KKq2Q2d+XeBxswla0crJaO0kXirT+MVqzSMaoWsvG45V
i5G7bpFTf399/tJB+q+dkn/6t35a3fxX2tXYECH+/JgMUo5I+Q8E+u/tw+Uzf5yR4hP5oIQ6EBbK
YFV41Oe/rmtc8ck1PFPXxSUv1PrDtsbiiCRy9JIu6nEcfl/x/Dgi+RCLHRoOYXFyCt34S9uaf2Rc
YfC8tPo+P4Vu298zcv+wrBlS6AJ6eSkKJtU+lW3tvrSukVx7Jm3FJvPV/Bn675c4N9SHpyzsOQMK
BTGm6bC1u6neumOttq6j+S9kKNVXI0BXdF+yeHeKZPjlrz9qjzUYkfLn9d73ld3vu78/fc5+2hD+
d1occn8Be7xkA/z50/jU92Dk8ssz+dOV/fvn/vo8esYnnXUYg9sLaIcFHefZj+fR/eS4FoNcZHgo
yX5fHlrGJ5sL2+RBhCPii0uL+duN7X3iA5740QBfPuu3BeqPw/2fhd0K9+9Pe8Oy+PasZThr2Snp
/BB/vLJJp28UXaoZMfguiwhaykSyoUNOEdBZ560j/OuONXm9aZtcR1G6YvRDGiSgL9uQNScHsIDf
Wah4R6BFZH7izm6ehrViMoW41HVzJ0xBNx0IcBm/pHLoD3qGmIkFWqLJwF8r6Iyj56wHvGBejihI
6veA2q1dhQ/i1uQ6ZAJsIxmtBn4KrvZ0k4kBXlk+sQxs1EcCqT9giQRXyS+lHxa+4d0AC5OnhCN5
u5gZTGR3IMqUfJ6t3Zdy2/WZd8wsww/8dFWo5GhE0szy3zMiWFjzsxXaGV1sR/Uy6A/Ib+Vt3ogW
FZ/phiViD/SoRPZcYXo3Q91HlG8SbW5iQk5quUlN9QZCgx+U7DxUih5LN8TPSz4FqT2iWgc9cTcV
WRKKtqnPo2c3X/SyaJG66Cd7Fa+9r19jVGGsaRd7aocTcqfj6ix3qYY2z7GHs1vl1+BqVQilDc+O
4goSiTpgk8TCU2uiYHSnleSEefOEyhGm3mNP7MZM9zfGYDdseWfW2VHlM0l3XmmHKHl7IP4YOkCW
LdQlva/0EciJWb8BBl6uF6XiVz+bnUOG9+pMDg0k0NXUxGPBQuYKo1q3n4WGSjNNC4RLvUVcl9fn
+obddX4Q5ezux44UUk6p8Wnk1jcQijlYneaVoaBF7pzuetqhNpnedujCSXFwTPpyYXabAYniLxP7
yiNJ6dOmTFLkS4JXZBvbpXyXnKVbnady76c1EfN4natIxwT0OjqmuHVrtEHorLIvqqk/997ioole
3QhTaH5fAgA+w6MWzzXWwU0jU/1UydY9ZcWQYIkRKXbn+cTUITmNOtFqqrW0va9PeRQntnnnaqjH
GI2XNavYnCca32+5MeLhhkQEvKCzzbi2wAwTGG5pnJZV1Qski8x97l2TVAy8RsyhWyK8ZpnMB4Af
xtk0ioFcX6cZ3yzHm64oduyAeUEWjfnav05lDMwDAPzeB7P22OmehhZnqieUz5l6LeATqyDP1q4N
Rqw47Y2v5wUmugmbY2gb4FPZuGogsrB2bOPJa/YazC9oExrfpiIP9TyynXu2aw3mbqfxq2jz2U3x
TJiujSbdqo+wo9vA6sbyys1MCjWpQwtxHQN+rDTlTZZCv/ZWuzhP+AhPI0qJ82zgfdqYrrM8+Gtt
XNl53110AEb9VffN5FbvlxR4iAE8aFTIhVCw64qUH1c7lghYQaUbU23wTavs1lyt6joe1/zcwTnY
9vFckRdqFFyE9rx3XQStUa9NzZ2HZOnWY/59StH8BWPT4z7pXM/aeQ72QdRChTyZGQGHbr2Ik5F2
81FXfRoBGe1P5CpN1ylzhVenAa8O9BecLQLXpya2a5+MVit+NFRpfjHMtY7iiQEXwxD14LCjC6VN
RIkkAzVypcF7a7nou+KkmO7QBc13VLITbrla9Qi8CXDmSN2iTdtrra72bj2mJ7w7BI3lDro3AHdn
Q/jlWTqu89xqYnrWoeR/TBbrXyR0NdO21dMemKqb2GtN59mIW409VjNlRwSK3Ub2bsZWzOeRrizr
W5XHIAGMqXl28J+HWjOrZ5kOkociH9C5Q8TZWmwHdpntG9Flk7bDm4sxek06NGIqww8LiuzBdksY
h6mH59rypuVwQaucklKu0YLpKYJ14dELqjVMjMw44CX0X8DAu7u2M4d71qnxmT/Gh6af3Bc5YSsh
Gznd9SaqDFN0ww3bpeoL8QHjDpVN+WoCInn1vbI8D4KsNBQNAL1X0mfyTOBHHJXFPkNzzQO433YL
XKi0A6fIU7xfBfK10W7DCSPPwV6N8ty0M6LTXH411ewFouquCHbkjOdWIy3ztbHWdsYr4d4nLbKD
cl4OXuomj21WjB9Vp0+hUNYc9Ui0sKUNJvnFYsFUT2hpitxY2dO00xZLJKznrebUuFofrJdMeDUg
7yg8JnaEk1R7J7tsiaSzsa0Xtagrh1yXa6Me4QawuXcJ+SXbQO05qrfGwoi3zMp2T0ghGH1Fr2uQ
Sk4iLhgSLPe6YxVXudUjS+N3QtR8NlQeE1TMLnmfFQcmUpd/C/mLWzXjNGbh+kpRzMk81G4LP8Ca
yXvRnelBXfLXBttct2Y7ObvKL8d7yCFOuR1Ylu1no1m2pYc6FawVaojs3l2h3Bfl0J2h+TdfmsHK
6ZrM5guJQuXV3PDyVDzzJCOUJNTOAEmZHltskGOiFroKls5kRr21rnsxzivNmFm8YBV7v8zWizJ+
S2e3208lIwCvIv0Q2XKPqw2Xb3xAglUHs61Z952TQx3Kav3BXsYO0g4uwtvUrRAcmZ4zWBsnJXiX
eBpjVw7SxLKka9/mWIkrkpPVM++P9oSmZthbBLJyzQz1e9mX494zG4QfJFK+qdRhkJFW50uBvikK
ElaSsYwf+AWUvKaoojZtrrw3z1x66vU2vTGSOQv5ixh7upl1JKLtc2FV+olVO0aIUR+3Y8omP9C1
cWx2k5l1e1P0TB19pjzfSg2pbqxpPsPQ3G43ylLgfxJvkqgYgKREgoTkQ2VX2j2yikRuAbeO+4oZ
IXaOrhJFRNhnfU99IavrgvjANNTKgpE9x0CQHnQU8V5otm023frzrK4YOhd3cW/Jj5ITZ9mk2F6D
YiYDvAPY9GQBM99mlLuBlxvGY+eOxQ7rwdrzZxe8RJzKHcYcF5+aZIrvX2JVPFPuCbE2t4M7Nffd
NN3iud5UpOTxDbuDquc6HGYIaZ4OcKintLg4G5NAddP8Psl5/jY15nsnHfXqFuObaC7eW8dO6ltf
S8R+WAdU/K6UQVVb08m1EH+2jT4eVxvTRR3jU3W7tCSVkOup0wfrymq9R3OdymOHRZBFpuaFsao6
3CD4oQlfTkKncKpd2g3ySPIqXnTy76K4RohF3kIfTY4h0NtUguiIJX4nD8ja8R5NSGpeLX4NQ/kI
aEVcS4vkdp1VctStY7/TMvRgIgUjl7gJgTQVV2eQmRevpN0XYGNHP7laNPcScQqpXs1u+8XIRjKO
tSY+lxLIP7w/F3cCF2fdZc7NUKMP1orY2mK3h7dXADYLJq/yYezLGegPydtbYIBajQNvcmEM6eku
+z/UnVdv5Fh3Rf/KwA9+MhvMAYYNuHKVUqmU9UKUEnPO/PVet1qakbp7wjdqGON+mg7Doljk5T3n
7L02BiOP3VVHv4T4alKvy3aulD2kkt5ULtzagXqby8ZJw/x/ZQx6hGmmU65Jg8gmuVppq8hsu3UQ
u9nWAp2kTBpzJM3dk6Xg1sAYviq6CLWbptW4UsDL60FqTWxr1K950YFtN0ub6gBiwFzHUbsJlMRe
WW7dsLRARbBTyHxmZeDZidIEv3Mqz1GAqKsxQt3sFIO+YCwhr9M2V2Y6mmFeNQPpuOwGBGwo7Y8r
uT435AqhbC4fk6YY0tkrbyQ3m9Gd9E/bAUdBC+qQIEnjSkvp8Zh2Wc6CjKIlR68/zVW53+QGiu3S
TUmpAlLV0fQhssdsEoIjuTGIZUjquNvJEbE0MpHHiNprl5+ATJ8STv2f0FPV75pi39Zp3zTFJHwt
IHIDf9WLTqmkGdFMah2LpDEbObgRojxPO+mqcNT+0lYU53aw2/xM9bHM24Na3LkB+gCdEVoDBFL1
ln4z5Jc9rM+FbEjMe6yIsKHSkbZpW0KdKexAxbnENyBPHZ2thOSqwS39aEliU5NiD1frdJm3lj4n
BOXItgPp0QMDM9OkPjuTwrhaoXC4bopKeA5yY+4WjnKrNo11VCtGPQ0Fv8AS2VhpZBinehwxsDAg
t84SpKjr0rese3bq3tJQWyRiYbfHErJtaqap7FAmQ5RGiGbUARu3P5zDozgG4TgeI1my2IHbYNER
Y5LpEdE4MRmFlIS5i3D5J7UucDJLOubP6ZCwKRSUp+xmxOakzhBsYJUqfbM9xnozwFdit0uejGqe
Z1nVnlXxGDKAYTk4gTGkPqOACZ5yFwtRrkuIDMk62WVjRB8Rkz08DJNJJr5r80ivG2llkFwOLXHM
iqlqN8GI70nun9uqvwUOWCzSxggWepnE6KUKuBEetZNJ8sxEK8eAYbBh41RimIi33SDriJxWsraV
MTgbo5Q3NAEiG5f6dRvIJVJHjTDZHQ+6s+6dvlvDk2jXI2k3pEgP1QuiGLaCSdf1l37SkZfZsF/o
MGemjTW1FSk7JhUeUdFhyx0ftt84JyS0QmJTjhOtmnMh1QUoEqzqcuf7Z5rYyWuHTT3uQWWjHHb6
ckhidiP2/51k18eOqAkIPHcm2L0AQcatCqjUk+yzKuyURZ451WUiCozyUGuY7MxYjEQJoh2qkUYU
JgQydNvkUK24onDpSp+XtdlhLvUHp5hrTSFh4RWEzEPJYx/KH8Uq03xVF1aPWddUNn1pMJXUc1gq
ZcSNy9A7xLmpWHtiapDUIZeeqGlbb3X6vksQL+QA2qLeIrv1Ii91cxZL+U7C2bzKJS4Y/K1sx1BR
n2YBO2Vhg5QmGVth4qPx4RAj7k/00kXP0oRNPvVttmFkRdfO1Ee1dMOo2Jg2NCe3DviC64LvAKiE
KBkjUTxGhzqSGLnoxI9qOgUUmTrkhim2BCpP81CFOqIgzZn9LQtRpDaiXGXKyQCcCjYXpWwgitpE
lLecpCh0KXlLUfzGogwmrjLa2aI0NiTPvkt1jLIk/TyYooBuRCk9iqIa02+6tA+V9iiKbl+U344o
xIdDTY51RQMNSqHODF49qkXx3osyvj5U9KUo7lNR5o+i4A9ZpBMXU1LdFoynm0NnIBJNgka0CwzR
OFAhNM3e9ep+MObQv51VKbrKkEwxyeEQcsqDqv5dI7YCkU6RUEjLAbPoJiUCpFZde24MMIMBMYf0
LTRjK+sitQ5ZB3a+oDGWrWopdxVmlHRaIo17Gtqm2ySxPhxJtoIKlm7eLRuD7Fqz82P4ttW8kZ0R
aq/W7cqkhleSSHnEdyroboM1RCu5puiEeheSZWZ6krWpbFQL6I45K81RW3ZW7pjuy7EBZMkQF4rv
KBay6LCmhYf1Dacla51+WPd8sQQ6YjH84wum0FD/MBf6+gZiM62KNpdlfDMXckryjfR+sJeETF6M
t9ptsZdui113Wp3jOU7PpPhP0NffQf/5RAVuoKXAjGaptL75xI4GCwkrgbtEWOdCSa0CEqX1cDiN
+gA+JTvp/KgcCgbbihf5D4ox1nOU8dEL0o0eOzveqEUadkS4qhY76vnokg6OFz235OVouNJNVefm
Jf4OXnUY89D4R7plI+AGFbLqi6w41pIy2pjIL9fsZFifBNnEtOxd04+o+th+0mxIwkWsK8ViwAZw
JFCQ92YXuusKFfK6LQx7CctCukqCrjxu6jQ6x4+EQS/GBHXUsiG+8HH1MXEPwog4vr6bhX1QXuue
JtavRI3/j1v6/8DRETRxTVYphpCM8R8kRPyh4+d4/0TX/n3L/ocHeG3eMyCn266ZFDs6dh0xVn9t
3qtfDG5PsXLo/IeIUXiVomnWFxlZNikxNNNeXUFvwyT1C2dngxNiykSMF9u8f6F7bxvMAd49kxJu
JEuMag+7xXeLlw7om9jN2l/FnZWINR5FM29lxM02SDKhoUrHI0tKIWdr2ENlmr8bJFI4zFuzJj0x
F9U6tlojmVkMRa8NiYYlqLzhOg8Thy4gaYP5Asc/ov+AvtYuycPq3IpkvZ9aYcLrQLPoUIMe8Typ
nOZYZeeVJsOLqeDyeA8IhKUc5kAGXFM1tA15tN2+dYf0IfeJfpjzFOdLgBtlMoHqwdoVt5Upr7rB
NO/R+VBoaJnTD8tBrgkdV2PADOsqE6QoRCp6iL9Zoekc2mZwjhrM8KaIAIpLw2qSi8aG0WBGDTaU
fijNO3WIkm3fK4M07Vs1Ao0SIj5fgJGFa6LREIAPN2CVcWhvMI+IamvXp0EL+YYl+jE0pH7jhIm+
UXCD7AwJsojYG1+w5W5u8NkYWwR7yc5KGEhLte6s0CCMS9EpnsOBstzjFsUBbQ6DfYln9jMVYYK9
aFHJNVgHG//R6Xq+RymufAdzrdnyhoi68SiXTO2lc9v+Ahzy+Bx0CdI418uLO2T0+pnTDKgp/CoE
NJTooXdl6TFCwqZJ6q2fgxXDhd8DlOtRSID0GNplFNNfRmXQdleWYkrXBVJFAuc6Eq5oSPrI1c0C
qiIEOxkzh68+hEQaENcH9lFR68ib9LJXbYkzoQAi9Dqx5knuOkxRovoYrXVJaqBWpiuLDlO11mEQ
YEHCrnuf0BUvqXCb6tnDPnlptFlHW1mvMQ/TN7SnWGHtkywvTTRXWUqcR010yTIqwso5IyIuLngX
hkydDAfYI9xmqJkn3WjBDELZlunzsCXQdJHoo/WchiSnwQMsDLAZYZqPc7NQY+gATgJwtDbINGYD
6t/KKh4CwoT69CwxehxHPDVYV8gZTjpIUhY4VC5s30wDdjVcv5YWwRRzQUpbl6i4HSTqAhw0ao7b
hDDKlyDMrUHYit1nRi31yg6LRnnMwTzSg2Oz2QKMcUFq8Fl1trBKWNdb1IHKceP4KYTNOMaF0kEa
a0y/n0tl3qQzOUj4faVW0rEiBVk0bxt0MjqktXBb+y3IV713mcZ0Q3JVgOd5GsiLvSPBDABWyewu
p8Qmb1hhDrIIZQnwka6k3Tr3LUDbfmha2KYkE8AqzdbYnspZVONxAzi8gLUx5BNImfaz05amOosq
h3hdKzaY1AFlOZcbt1pjJakIgEua/kICHfvggBy6CTHunur9iD+hqWoE4X5vMmEqnfYcfHB105UG
ICOjY4Iw8spsY+aS894Oc3parduClHNA0BCQTcoxSBmuRSJAD2PY5jcDqTFHqRIZ+HVDs9JgmOkZ
MlqPbGOCZHAbcleS9EqPhDw+ozUmbWgBBayy9hGDDOHRSthAxcEQXZ/EBLruTGID7UUGis+dx8bQ
LwuM+kslj+W1lcPpmKh8jXclCJKnWqo8k5pHHk5Q0kknjeV7Jw79RnqImW7tuiQPLtpWuKzj1lTW
cmeOK71yy11gdxSOlJD0ILtUmnlZk94KHSPgxs5fVHgBL+uGJWdKqsC4CCNaKhPDyYO5wIyn9Izt
8J6NenYWxgSbVIWHV5xW3bpxSwKl4BXaAG9J7l5GUUZ0pdkOfPdNlPt47Tovv8uzPLpDYqB2G0K3
tGxq9FY5YQ2vr/h2+nYi4zI505g8Tdu4LoaNZPRdNemIWXWWmU1nwYUVFU1l9rBQC+Iwe6BSZ6Co
N9yEhdwA4kIeFN4rmZ7fGkXXOZOiKEUeegNPAlLJSEMhi0IyR2uLWnap5nJ+XYX4YnaqTaoxX4nG
ooPGqaB/QPV15IcDDXaUjco4t4Ja6qmEh7ZfqeQnwQcBj6Wd5UVenngj/vdJlzpDNLM81TktCyt+
6H3Pf/GlMpvllRxceiqYxokTIyqeWJDulmGBw3zKsNaau4MCn8nD4bDSU1ybMykr+o3eFj0NImxP
m6ZrCS82wCHgvMlqEDih2lYzxaNN2Npuv+3yQhtn0iBFEIN8ea3UqEtbq4n1aQ8mql8UmhYeAxmm
i6JmtYZYTfOXbX9Wsosk8omQGphOVTseDyHI1CZJQAbJhY6NtzCT8MEqopRwXe2o64MOOESMqWxC
OV+c55lV3WgxE0KKFFmbegOJcJMqkmmZZDSLsMRa2UaELWU3CZOpkKl1tbJMtqR0MszJoMR3DCKc
o9oUYjV8jfrET51442sdxSmDmyJC5OsasuATp6xDBmkLyk6z+3NVyRjxyaQqxrwNeFEH9WWcxvaR
N0I9GRLXBkxX1bvUbdoXnZfPUvNqWq+OuYdNbs5GHLarscMOqNZVdaX1hgZFBgjSxI9BydS2oj8X
geNCLkWOvW1AQS6iuGsw49Kh3ygu/XZzCBqGDAowJy0IaOGxie6PwTMxuvMyGS+XywTWYCGfh11a
QPXuvWyYki8hNZPaVNxo6tP9WVbghcIJQPFoPQYIy9VQjzc9t9qxbdfhEdQV/ajxGxtycd5Utw73
2awyUvvRRB0BTp5C+UxPYntHt8xahXWdKti+XLKhe0l9crhhZm6lpOdFiBW4iMdAnyeRp69ko86v
5BQBWdfw9UM1828TP0Lh3KnRyNDOBI+oWKF1msIwf1SCGm1hSXb11CzrXAgEjelYF+Qrq1X1SFBQ
vjXxHZykTOMRxkehd1oZlTXXMggenUHoPYTYXKvZc6nWfTJqsKrgdfRXph7o5cToEu/Z9aG8Ja6k
HdOlsHCrJTyFky6vFV6gqJbvWn2wECEV9oWka63MAuB6d5Yc0fDygra/l0xfuodsizEtrEN0kU5o
Ln07t86Q/WkbmlHRC+dbbvFPDg/O2ATYu/OhYnsGtkF4guwaO3iH+zysOiOckXEOMcZEfQh7urQX
1mB01yMl/cIq0mTvqCZbjbxCEj6pK5ehqlvWaTlVCw0uJqveseJ5NasDMQPnARPCgu2LiQ+9HmNW
KshkNbyQxi8DZtlSA6q5RuqwxhcEVcl2ejNexIqvnBLFo9+oVtfibatoeyyCNmmVSV/aRKIH5PIe
BZ41JtMM73Q9wxFQCoyWPGpTZoOmM3WHrrzr6qAMZ+B4AD4GY+ye0AXHyGpQ1q+5Q5yRBOyg3nu+
xUuNjp+yi1qL61+Bm+gmWPkajPhJfK3rfrHDgF6BWqMe2oWD7sxapSXEWJWto6Ay7DOFEdBzoBQ2
LHeiG9Q5792UBVBt4o5omNK4YCgKTBs+H09dV1Z+OveCMQ9mikQJs8Xj0iLBbw19BYg8y2bMn3I8
DG1qY3bgVdGeqEFF6AnfAlFqvZNZS1Op7V0cq0S2jE5nj5D6Yv0lTCSHhCBMFVfw3weizCX5ybbj
plll3cibPGJ81rBZZdgyKZqizzFJhvk8roCa+Hrsvajoanb1SIducHIlWLDHBOCr2wG5Bll53thM
b0oafMdKWtnmYmDXFs70XlHnjo/vgvSIiKgps3L3TleoOzllizFn1+vAegKCGM/73GT2xHheegEr
MLJHa8o1nTBS6UcMCwvJTft5aZFqMNF5LxPf3TfKvAjlbK/B41G3YevFc7dlWsnv+m0mx2RZpzmQ
zQlUdxewYlmqUzcp/K1Ls21N/pB3FskJ44XBZO5EBaTCZS0RZZBByCG9qzDQOSeF6fF1jtW/mhWO
G78A1FV3pQZmma1ORBfSLZqZFErjjDBZvuSyZzyqgec1icLzpq7MDpCIu1JGy1vXgMxk7sU8iABv
yh70vFgqj6J+xHLXK0xfpZr080G33GHpSonVnyDlli5xHHMU6HLG2qNDQklGzSnmtY27ybinH4fY
YdM86oq3482dY6FWA+fIdrOU4b4c5Yz6Mm0pS1UDR8Ei84p3yNwrVZifqg/5CpLUuNZDeD6SbBF6
kklkPQxVc8JJ6xtdU+Vb9gHFHJx5uoiUQJN4aGKRdgU9F397EU9DYDCzPoyaXaY3NE8SjY7RxMXB
NCHtOTgn/iueK7lDA82wHeNITlS2U0bkzlXTfWCf6ixlnsl51kCv0h3Hu1fLpH4YZKbqE4kwR8EI
jO4hBlkCXUfTjuog3HSZFC9HCWYsE6D+su/dLWHSyh3eKv+ccRjPpdojSnJNoweZ2nYrPY+9I9PM
I667GWxsP3Z81O2BsQTnqd4U5YjBOgsyIIyBlGgLX5YZWVi6jmOk9kJ2s1EgPxgsMRC0oUtFPDjV
CTKEhptIozgu24S9qxSE9cwDU77O4LIFE0aw2WVGRASk/MzcmmavX8AA09aWWUnbrCLjvgPSO0y8
ECBHIeVQr1h54ad5tj23+ta/5NFz73xTHVna3CZnefRo/1dN6wSTOMW0nA65v9Fc39zi2DLLSQHz
kth7U45ODElrVj7B2qeBOiI7c+len5Vx4THDkRNp5suNtXYTb6hmbhPWF4MaB1dN3LRb2mzGI8+u
slX80nkuKr9alE4IeshUB1+CBK/TPyelCmtrFK6BoIYnliwTWy+39DKSmvWKrBgVa7mdhOs4bfxZ
k0J9dSHYTiJH6tdqbuaMT/X+SIr5YSNLkFQxjGKDA91jzg0mqzclrzrBnWc4I8uwegO8sVBmY/uy
9huJUK6G6SixGJ25KCJAyb6m9idZJhFJJXYuxlS3/PRSSRScPnobbjNdfbEoBnkrY9SvyEOT6mNa
rBYGCL2ct1FkpzsEZN21yUuZ73IsMnvRtFn9FNGInf4HxTkE+FSLV9pgsKOJy76fyWYIFW4cfOOM
SXraoIcM5eqrRv9f0qD/BWHw/yPJL4Ya9h82wCBd+GAMXDbv+uOCTfTKHBLwo//6t9n+qdwfHDun
ewTpv6z2BK0Ev/yPsPD8npnnhx/xtc1oaV/oqauIqQgTRueoMK14bTMKX4+CPQeOkXC8CjX7m+UV
0Tr6YNXhLzhtGqC/qYRlNMcgIDEL6YdD2v9Kn1HRhAr4gyXjYOzhplZMXYWtJvqQ7/qNlEtQ7sxR
Ry541QzZiXOpLLwFYx52eQJOLRwrC7naaVcplJVmOoZXVREsguQGYNYsoG9ntzq64eSeHf0s8ld+
gqpTWqA9WLZsKtwqWfv2g4jI83MvnDTBTdPdsxWaS/TwAB1eaKQmdOoAaaNcaNImt1/KfhqLbL1W
PfWeYHhMUuN4QLaTdicZmVWu+UKzahqVAGpIBFFMaJlIohz89SyPs6GTQCUOy0RsBYGQISAKF5Q3
PD7lIhS5WOyMT3v/nk0ZO/zuQXbSq6qWz5NiZI7GW3BiaEM+J9iQQuexjs9MYvRoFUU1hROCVlZP
gkCYrk06S90qYXjhxeNa00oSj9SVpCcboDHx1EyOtR6PItvLs6opqQ+8ctZgfDJDeYukEboGfHZJ
yxg2A8VMC/1ORq3M1zRvM/zwjkcfpAM7Ei0GfZiWNYBas5wBYzrRgnpbm9opzZHHyDK3fca5dsNg
wKlXcTEOV5k0gpKD/YGleBLStp4IewItBI7q+cHWSwjnKdA3i63WaUGaW9j/WYj2d3Ml8dzJrMcW
KnhS1w+8k3f3Frrxqg8ypm79mFyVNVoVXa+2fWusWEnnhoobNbZMuIbpMs7PmAcuDUU/qgnEmuH7
h2dSgXJzXWdtBjE+SnkRNN2iDCOXXBltq7UZjknjQtOByYYhmygtOCrSI7nRl2WeHikDNjMbbVqO
9nc8N2KfYFBsnIpzWvMV5kPwopfGzojuJC4zmOVpACnQCyO8wv6UfSuiEuH9rY5tx5pBySJPUyLj
Qt6WhFK2mr4dZOfY1JHxDWKLi8TRry9DQA7cklg2N7pyb9KBDMdmU5jjqQxemQYYmC3LogXhcFdG
Q7rIW2xQ6YlVoOcC7mQk9kNSD6s4lldeV3k8S/iYomY8Hvt6btvufsiNRZbSTOaAIFVE6acMyNyo
YVQPKNalWpYnpauv4JJcpv39GBr9Ua4OgsOpWHdQPhGKYGKGUj73cwUPK7dIZ+oLxQQaqJVPcs85
tkQtegPKe3Z6xsxhP3hUdEwFzPH+3er6g3GtKmZ9H1YgUR3iSZNtYeDB3PNxBfqNhmdm0bMnNTcu
l88tlfuCOmtsS/QG5a5wo9Oxac+8qqQx2p8G0BoVSC1wryz0tE44g0wF7co581U4yEG9q2yHsMI6
2oZ++5KTtPTHp82I6JvzxqVJDxOSksELRkGV+/G8K4o0piOhOy/ICJuEqoaamxM2UCySDjIpY+iw
sU9HhnUxR80mITicFEqzV61FT2Ol8GkHWhJd/LLAmZFbFvesp2J4DwTSVMXBGJ/C4rpgYV1qcb8N
wuYip9IaEeBj5XvyjP4i0dkIazZx4hBvJyhl+GCzzui82iyNrfpCLg/jiLqWmHhSQYdjjpgz73Z+
22472G4Ew3m0I9ITv3XZvZjOPQwaZcIE/dJU4rM2Jle1MfIXAhx8winzy66WXhzwpFM7MF9QJ1wA
abwFObMs2wqBi/KS0xHyYQGIYMHAK8i70yejTXfWN64Bry2REzuk2D10IIIGFLJEwswrBZFZBxvU
n1K/3KQ5NTKKKJ0QnMSoT9CfbSs2yJNcVmfgDVZk8kRwzJubsKyvCkQddGpux6i48gLyxVEtzlpR
tEj1SoP1WJCkZxTpheF3KxlZNWi3R1fOL2IAMg1AbwoVZkcGbnN766XyOsu7bacjnozti0RRqVcS
c8a0f+7gKyHiakFywYKv/lhWsBMCPzX74IY2NDx3JOtWPjXoJWfHtTvOq8FY1E48jS0ixqrbcLwQ
/lMAVDO/OXLyaB2m7k0pOJeDIF4CGlhQdC/taJz7oqZHUkG0IUVEbW7BJ82KMrwjNwQ6vmBoqmos
T0fB1aTrX9+EiXWeeVrJrrMga4FhjJO3KMtDYA86um71JbCTtSs5NzpdU1fKnjBLLnIsPcILeZwC
paTgyrZ1Ea3UkeEC0NukM3eRFx7p6tDN0D1NCswZKBMV/v96RmDwAn3PzPWqlDfTbah2K63vVwkh
HRNSzBLkD8mV5qe3HmmIfaldx/Db4DTfGmNx2SdNTfhXsy5c62VUtSOi2sw5dF/s+6Buh95EEVUP
wwxUQzw39PEY9ciEAMMzpGTl0irlvQ5vag5TfpcRpxcV+PhRud/SUwVuiFhjGjjDttTrq3a0N63I
TNBIR5SidYSSHktVOq2VHhl1eKlU5m2jNgQc9A8JkGAAgJgOyPiVun7Wy/I2Mb0Zwv3rpO4mNmkr
gPB3ZiOdeNEduqEJ8rup4/qnVRucawkKMO52RqEvY6BOBq5Y3zsX/aChBgqWWY0OTilIqXhoI/vF
GeX7ngmep/YLpXEeEeHOggQMsmcYO9d5Js4NBN5cl05L+zRXTg3tLG12cAm2JYCpRkMkpO3aQZ3g
fboiXngasevIEO5CFpm0GBbU8DkKBpTX1D/VreVcdjSTg16faPELs8KZot413oXlocm0ycnSz2EY
TbyqA42rcrtIJ6G8QyUhJkfHsosmfiAshXdUALgAyb+hJ/MoAL0BPDE3z5Tu0SEFLrG027oRMeA8
15F6azvbhFAaKz6XvSYg+MkHOK1G0wbchBc8dFitkualJyqKCNCHXtPiBfFhD1IOkbv0VlGgPLVd
CPLE8SntMmc2oCRmnNLNGPhiasrsNXmIyJNbp5rZXnIdDJI379VBf5JKErhttMBMUexFl41HRple
+l5hzcixvnQi6S4bhpssGi+BFm9Ht7YwlDAz1lJmErQY4zn973RumRRdbZc+Zs24tEdrxexIDBtB
fSEtZ1/FwEyHkFXK+byTdaIGun1tsh0m8RjevzJFJUIclvWQtO0Gd9CzPTSXDrFhU4K1V2E4eLOs
YmviuEk0dy2hVJLcWdjSf2cIliv0xUf9mBDIF6Ds01BZerW50fVspmTlCfQLVl/E9zCVh6Feol1W
Z7qrQavUBwRqnSHNmPcHM4al0rSCxj+PI2mY/Mdvgeq54WwjkLWMkJpL0i1vy9EDjJEhwvMqd6f5
yoZrE8xdZxCoLmzSmQWBzyIweyLD75og6rk4vGZ/Qjn6CbnK66f/EEv7q8dS/O3BSX+Zfceu/Uv/
6E3+8eMDfeDccsOktaDmEoGSvtevMPt4ty359UgHxu4fHSHe10HdPFHOquhScNOZyNO+/qLAiwk6
e/1ryzlgImxZYHDFr68Cm3dX6PeuwR//eN8DgL8/zocfYP+UwKyDK1MGj/WHS2CiP/1rF+GbY/x2
ERQ4v+jNVB1l4OEXHYD3F8H8oqAFI0Xl9SJ9vej/pIvw1QnPFvODa/lwTb+/GX73Oqj2F5ONLBtu
84fXwfqCYRghnKF8vVeQovN5/6DroNH54Ab+3EUwv6Anw4WqfL0G8sebwZa/GKYpnpl/6s0g2kl/
cVn4/TvB/AJOmh8Uj/rhF22p908EIGsa4bLJjvbwi7bRP+tO0ME9fL09QRF4z9kfrI2/exEU54tO
l0EgI374OLAsyLaj0bz7h14EBqDyZ+8EKBi2DjrIEjrq97eA8YV+qQ547/U5+Prc/aXF4C/8o19f
oVMfgsXhDRs8V+/g8X/6D95eQN8f4PXFsn4SDBzt1/7o4R9eDvnz10M//wqa/+8Pd8hhvXv3l2/r
3/v//fUH/P6jf3hSb3+4Cp7LffnoD4cfd3g9za9tZ/rLPn3nbbl/eq78Dy9ASPJvvxdn/1//9uF0
362Gf3j8qtonb4cRV0YoTN9+//cPS8b9vnw7jDgswnXuo98u398729W+HPbp/u1Ah29SM2we+E8f
OUj2j5Aqf3ilYRLxiv3sR2z25An/8u/7JP/PX472GBCDD1eIbYbDQ/vZTznalylb1OjjRfq6Wfr0
sblP428OrAuB9GcPfLyPKn//1D0/528HO3y3Qkz99gd//2Y82T/5w4+fISHW/vwHnD0FnP7bcQ5P
Eb2/n/Blbpun5tF/Lsvhw8FNTTC8PnvRt00a7h/ejnM466/vjc8eeLcP9wg19h9KltfdyWePfRFE
UfBhwaJBbPyE7/BynwTxL6f7p+b9FdFU02SP89mzPpCDfrS0vG5cP3v8m+eq/mXynHr7+O1kxfeJ
iUH5CWd/smcxZ8Gqyw/3+OtW67PnvmxCjv6htrPYvqjaT3hfLLMPZyyOi/vr7RL9/RWFt/KvM9/T
4DF7YCC8rmLAUNXbwcX1p3YEzvgT1oH/KZv0919PCHpwtf2MhTIYs/LjdoBDy5bq/IQ37GWJVvLj
HfR68J/w9P54Ov/+uzh8FhP1tz/7+1++mP+Lr/rtSOKb5uiM88n1+fRS8cfxRL/uTf/e/unkT2jc
nzz87Dn2g7dL8Ntl0X/CE/e7GouvV/4ATP3k2f8pbPDTx/f3dR1U3+EMX/lxP+Ex+AuEuk/+EBte
Bb9LwPsJ9cjlM4+W9+0e31RsDdfYT3h4/6oX8JOX6cfr0d9RC/3hifyo3vy1Mfd9FfrWff3R//ax
xBb/4jF+3pf//b8AAAD//w==</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00000000-E83C-4344-8F46-4AB0E4C56618}">
          <cx:tx>
            <cx:txData>
              <cx:f>_xlchart.v1.8</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solidFill>
              <a:schemeClr val="accent1"/>
            </a:solidFill>
          </cx:spPr>
        </cx:plotSurface>
        <cx:series layoutId="regionMap" uniqueId="{00000000-CA75-4B79-A594-F233D1DEDD17}">
          <cx:tx>
            <cx:txData>
              <cx:f>_xlchart.v5.12</cx:f>
              <cx:v>Sum of TotalAmount</cx:v>
            </cx:txData>
          </cx:tx>
          <cx:spPr>
            <a:effectLst>
              <a:outerShdw blurRad="50800" dist="50800" dir="5400000" algn="ctr" rotWithShape="0">
                <a:schemeClr val="accent1">
                  <a:lumMod val="60000"/>
                  <a:lumOff val="40000"/>
                </a:schemeClr>
              </a:outerShdw>
            </a:effectLst>
          </cx:spPr>
          <cx:dataLabels>
            <cx:visibility seriesName="0" categoryName="0" value="1"/>
          </cx:dataLabels>
          <cx:dataId val="0"/>
          <cx:layoutPr>
            <cx:geography cultureLanguage="en-US" cultureRegion="IN" attribution="Powered by Bing">
              <cx:geoCache provider="{E9337A44-BEBE-4D9F-B70C-5C5E7DAFC167}">
                <cx:binary>1H1bc902su5fSfn50CHu4NRkVx2uxUVJlh3fEsd5Ycm2TIJXECB4+/WnV5xMSRjJmsHsOrV3XqbG
S6vZ7MbX3Wh86PX3z+vfPre3N+aHtWt7+7fP60/PqmnSf/vxR/u5uu1u7PNOfTaDHb5Ozz8P3Y/D
16/q8+2PX8zNovryRxwj+uPn6sZMt+uz//o7SCtvh+vh882khv6NuzXb21vr2sl+57MHP/rh5kun
+qOyk1GfJ/TTs5c38JQbW03m5tkPt/2kpu39pm9/enbvD5/98KMv7p8e/UML2k3uC3wXJc8pw7Ek
LIn/+A89+6Ed+vLPjwV/jmKZEEyTb/+xvx796qaDr/+LOv2h0c2XL+bWWnivP/7X+/K9l4DPLp79
8Hlw/XS2Xwmm/OnZZf9FwZsrOxy+fXAYzm9w+eqPV/7xvuX/6+/eP4ARvH+54xzfYk999E++eXFj
+pvppvnv9Ax9LlBMMaX4Mc9wkSBGyDfPkPue+Zc0etgvd77qeeXF//1f5ZXjbVupv8zyn2MFy+ec
grljzh/0iHiOEKNCMvTNI/yvR3/DypPaPOyNP7/meeJ4/b/KE69dX998+sse/7krSPxcUiwTQfH9
eMWe07MPSPInKuRfz/zmg6f1eNgJf33P88Lr9H+0Fx4OoHdTx72/+DdTB8bPCcOSoz9NnYCt76aO
5DnhhMiYkm9oEfdd8Wc4f1ybhz3x59fuKf4/Ozf8Mk1QXbw2N19ubfWXDf5zCGD+PMGEcYS+mTe+
n7ll/JxxfnbQw/nhX9bqYTd4X/dw8cvr/9G4uKctVFZvb+obO1U3/X+rd5ik4AH0Z/b24hSB+JVA
Jkn+zBVeXfUvafSwZ+589d57wmte/f/1yuP11j8q0iMUTdkfpeydkuv7n/7x1lBje1+9VxHfiw5/
OfXyC5S7CMqkfxTIZxF/fu9bergXk/7x97ewOH56lghILUgQxgjlUHnx5NkPy+35Ey6fowSSvoyh
iJY4JoDEfjBT9dMzIp7HQnCWcHA1gSKbPvvBDu78EX8uOMTGRAosKOJJgv+xfXg9tFs59P+ww5//
/4feda8H1U/2p2cgR3/7q7OaEUZUUMFYAutIf755CzsT+CP0f2yxFkOjEn5RoWPCfrYzrIF/vP+/
Iff8vDtyE6xmbttVZBOr2ird9237UGG+fivGv9Xi/4Z48Mpd8bWImm1Ze5FVZjTm7cL3uHxfrvvw
9fvqQ8n1oFkAfXflJ93eSNcUPEsws/sbjbokTitSM5TGNO5wSsk4FafvP+wxH4D77z7Mgu/rpex5
tloiSSpjUpp02Lj8/fvyIWE++DLxffkiGWNdJxvPHNL0JUIL7d4tcR3z601O/ZpHYucm7bZRv/3+
Ax95IQkr/e4LaRnrWZwfOLeJWK+GyhXuQK2rVPb9B5wFPbBqJVQOdx8g1b7EkyMsWxorliu+kQIf
dGNxdc2aqsYvkWtccxjt2G8ijVuKxlPcV7O5+P7z0dl0DylwNvWd5a1FZxtmN5a5spzHg8QyFwR9
1Q0ZlyYdy2XuUreJ6HpYStRkDg+D7NOolLiDwjwAYPK8cu9o0JZbN7dsARNIzA7EDF8FW9QT7/eY
A72oMABSF7lNLNs2K36Lh21Ii9nVP4ep7sWGVtaKW2JY1hClbmNonVz3kWrcIUy8FxuGaGF6rBjL
2knMv6JlpOla7CIs8kgvMph2qbXGI8umIdr3LF6j2Ry5HgYRqL4XDfBaIrm1NUSDgbr6sHG+0nQc
AUrH79vnkdjGPfB0ybyw2pUi71o7Fm9F143uVzLuSXw1RVUi3kBuIfzy+w97bCV5sQfXW9QPVkd5
P2yCv7YK+lO/dtMUfQ2SL7xQY2Xs4mVlMt8H1GVbSSOTrqqx5glvnFf8A0AXnrGSoaGtw1uRD5Hc
u9NikJ6zdtmQOo6qokngY7x4QuhQyEVHIp8mh6eLng99nO09atdMq2lZw3AtvKAxDvNYkLWTucbN
/r4xW/VzL3jy/vu+eMxWXtRYmlWiBWqcHEerylprBLku6TaMHxomm/UJUz2yosT53+8EvkqWupFC
y9y0dLuMuj3+OSmRadPvv8Rj4sl98UOhthiMw3MnRrymcb3Sj3wfdBYm3gsfbhaDkNAgyucWPDC1
ZZdRFwkdqL0XPJwi/dZutcypnRvwwSbXKLXxpvbAB3h4bpKIjckK1k9QN/aXGrF+yUwt9uV1kIHO
VfJd9wq8EYuileeJrdSvQlr7elXluIXpzz2gic1Afy5mIteETupi2smapFXTLXEYxLgHsVVtI5+w
EXljS00vbYdnmdaOmqdy8znyPBCRuIeyrazLuFvAxWOxaXOsSyLE6y7aZ35VTkXXZGuJt/63tpPk
d9eXS/9EJH+s5uEe8Nq1LMSwLxAKW9nqqyqyhYDKvkmgrJPTUtMp7ad6nw+q4ro7NeteiiOnCxne
zfHEXaCBPYBuBY+EbKIi70TkjkQtIpeiJU+sD3RGykPmxffXH5unVY14THIS72bIdlTMU8aKfW8v
dELE9nNpu+GrjujSXdBd9uzVSgjuX2IhZf2bbDBjT6jySCTiHpZlXzM9LIrmWhSWHPie3Op1Xcaw
OMo9JLeGcLSttchNpJe8nBBt05LI8ksQjpmHY4cMl3Vd0rzUq/zIILu9snHUhYVRdgbHnSQwkrKv
o0gkOWthJ3NwSHZ76pTZ7BOr7BGUMS9OWDVuDK9G5tO2FPhSUmPiT6tGgLgKV/GQ9srpLsU71+Vn
3e0Wh7mFefGDLH0Li8jwnMuic6kese3SzdEoMIIzL37sdG9Gx43I3MhQxre5PO58iI5hbveCBC+S
uK/Hdc+tK6d870WdcqPrJ2LQI5BgHvY5iqtohVI1r7HqDnhC9bHYBhy4qDzow65nkEgNe45h35jG
FfrQl/SpQvIx1T00I657urblnpdim166rY8hPY8VqgPXjQfnqnaTJmbb86jokks8r82xIJLmQW6l
HpqJnpmeGpA+FZgeFiJsajukwnSnHpplj3c5C3BrNOHq0BA3p7wRNCyOUg/KdRyZeCnsno9ItSeb
9OVhZnQ/fd8yZ9g8kC+oh9e+YNW+o2jJl4jdwrazmU90anSfT4vggW/gQZbMYu7rplhyAsB9m0xD
nSE6NGHbcepBduqhFFp2vuQD9KMvZcLcsd76wHBDPciiqWsLudcuL21LX6i2Ey/12gaq7iEWEnXR
NIhM+TjUBToYhu1BVGtTHb/v3EdASz3QsqK0TbRDm0f3ar1qpnK6dkXRBoLKgyz0R6MZuXo6GVcu
9h1ZYtn+zIzkVdi6IR5qG6TmsZzxCiWh2w+NZh+3ZOufWPiP2IZ4oGV11FApizkb2wqlxDqcjkni
AlX3QEt0TXFRyxksH300GOq7PlmLMLcSD7ON3k0UWf6n6hSPOGUzD1XdRyuThZMVmrNkgaYxPku3
4YY5u+NO5dPEsy5aC9LXOqkOTjYu5RzXgWb30FpRJocYxyCd4ttR0fZUqjKws0U8tDZAoJKqBOHJ
7rq8FYmBnRdfw2qD8yHKXcOsExFFuzVzxqZiSVc04xTpYgpLUcTDaldp3A8kdlk/7326VOrW1TsK
szr2cGp3M+mhWlzWNRVNOWUfo9niQOEeTuOCGbJV0ZSJMe6PdlU31u02ULgH09Emaw2VsMtqnlQp
r1WbOoNFoHQPp4LUUamiBFRPHHpp4XjkdSHKNuyICns4XR3FPQXJ+Y6AvpfuveTsGE2RtGFrBntQ
xeOadE6Xc77RrjdpRDTL9YKnz0HJCXtYRarAZlg7yKyFba+S2qKjbeotC5OO78PJmUKTcmMunxLy
O6rxG0vJmzDRPlLtVnfbFk25qqJXEB4/blgEtu+wh9NEqU6gXkx5vVTy6Cr2fmiKIcyhyMNp39jI
JNK5PFKTOrS1uBZ4jMMWO/JwCsfCi7arjLK+Xb+oDX3ArHsRZHDkoVSqpYwgX285iLVTumNb8XSz
pAwLvcjD6VwyVzXUTDnw2uLf6ARxILVqR2GVBvKA6sYWx20xuLwbzH4cVvGpUroINLsH0kKqUczK
uJxtZjt0nQbVm6dOXs9CHtgcnMkDd3NS0nOqdNRNOZz2Jy+lLdHLNir0hzC3ehDFE54MkH9hOVZF
lZJu+U1IFehSD6M7HZK6qBqXGzaTFMn1YzvK12F6exilC10XRUB2VNv31G0vGbUvg0THHkKHpSjK
iZRTFhdRdIjq4lrtcWB/IPYQipDWYo9wlPE4+bnbxEdptjYstMQeRKMK6nQzgE3aqn8zlMOp6Kqw
SB576KR62cgKPfVs2OcLs+AXlIVl0NgDpt7YxAcNezvelddyWPPeFGHHrLEHS9VOa+UcKK27X/bZ
HWrxa9gK8SDZJrXRewNOpFXzyazJG7nzsDgVe3h049ys28KnfLM1er9vE85rR+wxTHEPkaQv1r5W
yZTbCKgEuG8ukiL5LUy2h8imVZYBmTzKmILqNor5DU1IWGID1tr9IAgLexzbGFJypfiaMkujY5KI
OQg49EwivRtipZ3FRNkcZSN/Z4ajhC52iE1o4iGyKquRjtU25U4CmWMhVqdo5O/DhHuYXOD8fdv6
wmao0hdLC2f7I6mnoJVCfU6XcS5uohaEy5a9Jk5/VnQzgVbxcJlQtsWjTGxmOvKagezVzaGyPWii
RQlCVgRtY0ziayfL+mqkKw+0iofOytK5hXoWFgrbebrH9S8tr4IKLJp42FwTR5cmAeSvZJvqQ0wL
PhwxVEAqKLTQxAOoXjpawFnNlJdU30TL/AEOH34JWoo+WWsmJDacgF2cK9lxdI1KicQiqI6AhtB9
eJpqFtCPXkHxdX3thvhqncdAhEoPoXUnYioqYnPZkJctEA4zKQQOs7jPr3KlAc6lm6c81u0bGrWH
2lRBRQqVXto0LOq3knQ2x5jhw9Ihc0C0/hrmTg+gG5woWNlNFggG/GNp1ysl2Lsw0R4+VzMVjcSR
yTfULmk7iPHUd3UYM4L6xKqBLX0yA30nhyOk/djvwytBbNixP5UeQJ3GtqnQYvIB6C9tap2JXkRz
vL0Ns4wHzyUiEBWpA4/O2xcLFdxq5acg0T7BaYLEU2k+2Lzh5dtV68u468LWoc9tmgvZ8LqlJt/n
scrmpcTHqO0/h+ntgVPttLBmbWyeVPrQ0O1VJ58qO884+eddFfVZTEsE/eBZC5NX3cxcagSvX45c
r+lSY7cdwvT3QMqafu2bgZm8VeT3tqIfIt28DxPtQXQFxmPLRWEA/7O9mK1BKZpp2FEdXGW6H3FL
XDFlCAbFKfrQzVGf0kj/Gqa5n0PXUTcmrmzOsKJLthO30bSXbdWEJWnh4ZRWZSmdbGFJrtEb1eH3
agzbi1PhYbRVbIQNM4gutuTNFKufC8KDjqGoz1lq5VZ047yZnBQdziOJpzeoXFQQ05f6fE0s5pjN
ClZiEe9bupkxJzSQMEZ9PlS3FtG02srk/azjNJ7FaVzKsO4w3Hq4vxQnQ52jCZgcwuOLecMvWraG
YchnQSVL2bp6LE0uirJPxb69SIwKOzejPtMpgVUSr7gxORrm1wSN1yaeAvX20GkUnE7wJRpzy+UH
hcybthmDNnGUe+AsVto1pa5NzsEyaQIk9HTcOhkWD3020kTqMaqHZIRzm2o8GNy8cVESVoL6VKQ4
hn1Wz+IxLxXp6nSBRkXm4oiHGcanItV1Aqy0egPcJFt3kI7zt62K9zCP+lSkuWa8AK7dmO+JwQdk
6SvIpGGn59SnIbmolwNbB1guQ0LjBmLt1tgqlcncBPVw4IT/PkaBnhsn5dqD7ctqEYcemmd5UdAx
7ByB+nSjrXFOmq7QuYxsMx7mRXdfXSKWwE0jo/f1Rx2O6ZJEOjfVZo9dyesULMROQQnPJxwJsa4y
nmOdu5bjQ8yBV05g95uGSfcQO7XAwLOk17mlopxStOPmptnWvgyU72XTVRlulhVsM1T1kKqp+2Vt
UVjOY346xcPSRcKB3XupLzYb29PSDtVFkGV8vtFMZrLpdtF5XbD9QzwU5QVcnNdNmGF8whGBOMnw
Bm5N+mK0J+EkoSkrBj4GPsCrfuEwrhl6PYPliV0ujZG/VGMb1punPuVINB0GjrHRuaDTO1XaN0sz
vQuzu1f1lsW2kLYtx1z0ye/9sKC0ovQpbu0Zkg/U7T7RaISWuYxcp3Niavm7gEOFC9d0c+CS8TLr
FEfrthM25IDUJOVAfUmjLRJZmGE8qJotgjP6FqSzeXMpQ/qq6Z9iMf1Rgj5kGA+no1qBXifxkM+8
KYsUTotrCDZCrc2h7JKyuej0trxznW0viSURz6eqGtl7uOImxtfQ/7PmXSI6ftHAueRwUTc95alo
FTTjy3WU8ZLutB7NL8uII3eIt7FvboaqisYDh8ISHxGDXnsmtFvdsUXQJTtwOKVeL90YyTrHYq3o
ZTHUy3ZAMXQTfouA2budEKmtOBKxgsylVdN+KseksnDbDu/u1GG87kc7d6T/fRWUFq8nyqP6k0Vs
HHO542TOzQrve9TTzrI6npk89AKj5sA3UbqLEg1lcs1lD/fC4nHH72Caw5LOmJtLrazZ83hI5HZa
unamx9nQkmWzWCi0sNtqpoey1d0A9WySbAdpFBFpNyiDXix9USeXLUETzXew9nJgpJkv9z3qXpl+
jumRxvO8p3Vhiv1di+pBhFUh1AuY3UodbxwZcs6qAbo+UYpLkoTFG5/pRWixQSHZ6rzi3W1Bm3eF
UGF6+zyvGU5i1haD3swVuU3aq4KhsOYg8aIkm4GZgqCDlOMkWdMiSpo0adEQaBOvsjFxSXgDh3Z5
ies6XZvxK69NWNFHvDhZw/XWuRfxkLvN6VdwQUtdDGTqwkIZ8WqaiqvY9ZjbvDQNvaZQvwLz300f
g0IZ8QKl6cp5nvU85I0s3a9Gjjs083s5BZrdi5Rjrya4JpIMeQJN5ZTh+rray7DLX9QnecUAYUal
HvJt0EV3HOKlztcxVoG7HJ/mhXqF9ojAiuRlx9YM297tqYhYMx6DjO9TvaZuXIqomoYcDqq+Lppe
sciG3eiA8Tb3S2HtFjOPmxjyKk6ARzZZsbYHktT4a5juHlxnNu5kdljn7ZjsMhXDSOCMXWIcxsWg
2EPsovsWxWsJBQIMTUudWOpMKRVYIPh8Ly2Wot5LSOFwRmMOwCjjBx0tcR5mHA+zSwxXpZnqB7jo
2rZXnMxsSvloeBi/n/psL1v3JRCZBgjDvRNXVU/i32FPu4W1grEHWrF2495ZqFehlbVeFrRwuYgn
EbjovfoGk9Yl6pydatWVB7uMZeqmrgsLOD7lCxm0uhX2yXm09eS2Arb57d65Loz5SX3SF8Okr6u6
0TnjYo4um6RHh7hYFvbE2eEj9+qoT/yC66ZFwVvZ53uLiHmvGzUPh0L0WB8XO0Tv4cLZqyhK2voI
VVyTHMoENqOnKmJsCPO+zw+De7o8djXUn8s2VvIQdTUMoOiqXrdh22ifIMZjssOe5RyZigkVLzpV
wr2zbdymOKw75VPE9tgZuPGK+5wQpJp0XeqFpnVD58ACC3nw5nbvTI/hAZvDQFve3Qdg738OCh0+
S6ydum1K3N7n2vT2sJbk6z6xUMU9ZJfjjqxtRJdDbXtqcXOFsQ1rAfxxhfIOFb2LorhcYIJIPtHZ
HpqIwlHDsr8NM4pXLk9Va0q0zH1eOCMzV+Ey7ZgKTJU+T2wRMDGyB4/myqzRp65eyGcTQboJ0t0n
itma9gPtUZdDrfVKzPuLdiyfmOVyXm8PbBV9nli5wjkjN0Of2xVXV6g1MoXpl0tYEvOpYkvDlZwb
0uWkkUOZ1lKOV5VwfRUGU58wRpN1ILyPu1ywvj6MibxoKNrC8oBPGTO6L8siUX2e0Gq5tqajBzHV
85vv+/Rc2T9keK9qTpZmmxcE+b3d6Qglf2zLJGtjNAwZh11dH1RjEZ+7A9M/ikJPps13Iz7BRv1l
J6oP33+Dh5cOOY+SusuUonMMR4NwHQtuCA5FnY7WzbcLGcNGD8AAxfviFdTKfVX0bZ5oWUB3x8rL
jjMXBCkCw67uKT/g2q27AeWLsoI9PsI6hZESYeGA+PydhO9iYxaaHWiZ0HbsFRz+Huq+r+ewna5P
DZQbLyQn5ZDHjkw6BT/U54gZJ8MxxLn0PMzvrnO7SNlxThSEHIbfuSl+W6IiyPQ09iIxzAyZZGxA
d2iasqMycEKzO9QHoRZmDd5XvIcYEzVA9syQMMXbeYv0u75iYZfUYFjafemt6pGLsW3PqVW+0R1h
+aSYDDI68SmCGppGcdGdl3wFzaZhlG8iWqpAw3ibIbdN/eY21QLxAyZzHeBO6fhxb5NhDpTvuVXO
S6Ghsm1zVPHtKMs4fj3Afb63IesRzkTuG37jCjpcyxgdS1Suw1Udo/gVxpq5JwD1R6fln+Mx8Yll
MGgXr5w7iGbcse7nEaHeXahmHs0JNmIOn2CWHrfHkbXrcB1tsCu41qIeu48YEXpyHO+XgkYbS5O9
cDBdYYua5ueuZys+dOO4qcNeVsX+aSg25U69hpx7cKxeP5OO0hezrqerTVXziRRuAREwA6NK407R
/X2F4H7Lm+Y8p+J9r6S2R9iw0R0+NcuhioH5+arWVbQf4a+teklwMcxBhSTxCXHAaxzx+UJyVhao
fjUnTXKNFS7DEizxKXFD1LABuqNNjtf4luPxTYLK12HL5Zx175SSsNfcuogvTU524Nm2mF7iwT41
SOOMmIeWipf4nIu6crdrk48aZnVcGru3yzHZgPVwXGCHUF7yhLfVx7A38dIgGhPG6cyaPNIRz2iz
tKddt+UvYdLxfTtVW+Fgj0iafB5odYyK/cNU46fsdDb2Q3bycgiKS+Ua45qct069A1Y1/VlW5Xqz
1ih6orP52CO8oBMXiSixHpvMrqThx2oazajS2UCz/VItcKPtiU31Iy73WXNATyjdzNsyg0H1TXNy
bEXADovaTHW7xAdgdId1lYhPoisr6J0UpgWj9TgCohv/AIEosKYSXsctgoEj0AjomxzBcdxEltNE
0BMB+hFP+CQ6QYDLucMd3GNTjmK6TFrLToNM4Nyfl3MbB7ELiDg//Q6uGcjmSokIxnTAIEG4617+
lowi7Gor8UeB2S0ZldpMnQvBphNwrmVaVChss0J8It2soBVJHKpyRSU96XnrjjJRQfs4Ijwgx1yj
thVtcUSzuooLktKBB9rcg/FG4tYOE4jed5oVyXjqFA7aHxKfQ7fBIDRlk6Y4Ngq/ECx6MfKwLh7x
OXRAKzwPwlXFUdfLeFVbO+URI++CwqZPoSuYqOaNRLDYUWkzrQ1Nt6SlpzDpHkrjpDEFiyOVC2X1
C2C9fhjLLWw4LPE5dCUXZTRjp/J2w+3JJVN/EY9tGBWV+DS6aFvhPKUzKld1PR51Ja8jYWwWZhcv
7651PDpLhuQ4dVStJ4yXX7RpmrCmIsyKvx9bqiGZxpb2ybGfx1dNO+S1GcKSuE+l26p1LbsSCql2
cirtXR8f9pY9EXnPr/9AmvWZdDOw83e44QcgsvOQAmvsoDlMFA6zuZdgdxjSY+dJK7i11G2HvtTD
mBamT8IIaTCQ+r7Rk26DOxcNS+Ci1bDjVLaFeTGsjQq7B0l8Np3jfdGLkSTHbtnhzPYNsACesMwf
rdoH7O5z6SjfEQynKqscbRGZX8SqY3DBqIRZnu9hUtKQK5bsJBXj3LGMQ3dtOYxTw2aYkKn5dhpd
Eo/ZrlGJbzrB8JwXkigR1IEn1MuTbTKRnUhmMyVWc2LFBDOFoybsXI34xBuyYLK3zWQzsnQVsCym
93Clcn3Cro8sZ59AuEYjgpEh03mnZ6byUpFYuqyyje2PQUvaZxD2Sk1cokocV1NxiK1b7fpDBT9s
QMK2TT6F0EyN2+dCu8wNlc46SZejTmhQk5z4DEKoNhnRpHMZOo8sW9gIl8ypCKKGw4813EejFjO1
xQTCZwdjp1tLx3RocRg9kTCvkKCVg4v8rncZrpE+kAbVKfT3PoV51QtUQyNlHJNiymZcdamMIrh7
ttI4LCX7/MESaLIxjciUDUAKSofGlK9aQaZfg3T36YN00ZogPk5ZlMCBDW32MlMbCzOMP65MmQUN
cIY8ZTBeE7/uu7X5xONdhFVwPndwZ9UyTm62Wd/z9gBDt2GYDS3CBrYQf9iXW0YYmSU2m20C7WkT
N+YgmsBa5fzLPff2Eo3jERlB9b2DcS3LtH2NTRV2l5D4k76iXXdj0RKXlXB75pgsVXWAoBZ2eE98
7tcO1yAKNUNhJTT+ZDvyrqtw2PVq+Hmp+2apOug9Dpq6TMUmTleNi6wogEb3/aX+yDbRZ3+1qBlx
MxB54kXL5teV61R32jhuzYkaDVnw+495JIn4TLBiJgVFNbwE/B5NdJwxKw/96sKYYMSf96WrQkwT
B+ll2aujBBrYIRm2L2Gqe6m7qQFTwGc0mV71dlDdWB9tV4RlD58JlmgaTx1jJpsbN5+6SuIUBhjv
YenDZ4JtHWw3drOYbKr29oRs88uOahboUg+ue9XRfYBeT6ZlJQ5du9YHoKSG0f7hVP/+qu/FJiYh
C51FXWQO9a77lOgtbHIT3IC+L72gtDWo5jpT01gddta1BwmT68MKGp8D5tAGLWdTylNd9/v7Pdbr
r3XcPzVK/hEo+SywgiwLckBWzphBcB/lnLU1Rk/1CB+T7u114RduoF29JcmJRtA6n6PPQ9u/DwKS
z/5qEEYF/H6GOMGcr6JN5x3YiVO12t/CxHs4Re1Ahj02yYnprgcCbr3y6pqjtpdhWPXHfWkrHZTC
OjklFqV1gq/aOLCc8clfMIhrnDYMojsK6e/Mh+jDCInEZ37B7zOoohJjctrPo4+aBdEDreSShhnd
g2kdt9W0bwM9whSui97o1zEPmyZIfNpXzIBURLqOHjnQH+o+uqa9ehOk9T9RvmCMUGVIT4+Yu+7/
cfZty3HjWLa/0lHPwx6QIG4npjvikMxUpu6WbfnywpBtFa8gQQIkCH79WVnTc6ZL01U1UVH1YktO
USQB7L32usRXqemhu669Xj7+uc9/M5UcTDy1/TKKYzrGGyzUU5teX6R6f+QneFmM/6LTfcvnaqLO
pNKX/KhNZE+uXFd9bwWpqgN0qqI8V3r39Z3by/9Fc/1Lv/evfugFiv8nqFeEpBzWdurR+21+2PK4
b/rEHLoOq64/1uXW9dk0asTVZAOdcLZvbZgHcR57w2t9RGPddjrr924N57oMUflCqQftbiCgtHYZ
bcPufYYix0y3HY+luVtt6WN+3qJUTF02730VNRmhqqFVNjthUAiNHI8uY2oaqxcz13qJs7QTjT7T
vYPdcxHQ0IuqCNPq57wLtN3ew0LOr03GOkT8wOY7NJsdslgtEU8zFWAN351i03FY32tglk5n0BX0
Cy7QinH4aBKNbqAVrfxZG42/npcpXQsOui/NFtyhLl9XnzRXe1g2pC51hNrhZQRoK5Zsm2MS+4xJ
XtVfhibt1HddLQj6gZBzH2edwe2rDZ8vJL2T2XXYsgGmUTb3vrFxVwgIJ8vDjpFNcoiScrN5KfGm
qXzlPjBdJOvOyE0sV66ODVt2DV3YNIYTUgKGXHCz8ruWLI0sSEM9zWvBJ1RhUstCahjgZttU8WkA
f7Md66pwCk2zyIGQbNWIK5uGWWQy4QK6kbW5KlOBshF7CdfLNZ7WWDfZLFHZZSqOel0seki+Tk7z
wod9E9+XZg/0aOaRdff7jNjI53pKhLinrqT0di9ruVRFv0Ojkh6VX2I4IuxcLP0dFBoSz8s0jcHF
VWRX1XIkcDVGNabJuHenwOnmv01SN2OVjyvA4LOAAkl9iDex2ZD3Q4oksUpGFxvIfukHH0HFsoO0
BQcdsazLIeBZjuM5YQDSkjPvBllnHe/UkXf1kI9883oGJBEiu14qy9XekMV2Bz9jj7rnY7W0H7Yt
qQaJ12FMlmNLmd3ysarTBC6xdegL9DW1/CIdHcYbte0AgWpGlm3OvHEA8zMlmUhQQTlHKc0VUn3b
d3EnZ36EwUq33QyJj4FqEwdvtR1jZrdW0G6RYLkDk5PDZI30y7ekj6CZmVeRmveC6VgWdWlZ+w29
j+yxaHQ6roVt2Wjvu4VU/APoWZM+tkFAJqRGMrLrnUVJdxvXvtt/NEM/LlDMzNGY3k9YtPVhMHVI
zkbH7fSpjrQkCba3ruIsEzpV5p4418Xf0rYsZcjKSunqyvt1ZddkbtLxc+t5YDk87wnU6JWnsYK1
M+P999L5qquyburkN0b5ZD5BXb7XOaZLOLug8xjDHVh9VuIfj1H6fWzndT/rxITwodtJHOemxkr6
3qZ4zU9Vl+z3TpHqSJJJtg9yXgQ/ENmY+mnq6m1/9BB4JBEm0fANkMXFiZifrXfD8HOHyU190/KJ
hqtxbPvyakpUPN8skxJJ3qY0Tb5IjkDsH7HvyntIyKNrjJH275C26Kz1rCoqGARFxdbs0l8jQ2Ld
TzAPop971aSqMD2Uju9EqPvhPq7KJj77sVnCIZrqdjupMBN+JfjWkU+El135VE+qMrkJLoInYkuU
hYhGcwT5rbtl850luyNnarjpPyK4oxwfFqZEfSR1N4rCbe2KvdMzOddH8Kfj+W5SK//ewxNgyEvg
bv6h3siMraQeN3/gbHRzVRBMq9abroXB8bGsFgN5TSTW6kMtrUrP2hjDM1dGM/9W16o1eTXYzrWZ
HOKSIHsopdvZ9tq6wvmERIWzQxJnQ79784U6hSsoGKli2BluuIomquyctVtkh8NwseTJYGi3d/eT
hzDtwMzsvyYkeI54tQpRkTmiIPgdyqXqtcQSFnnb14nOufZs/BQm5DPC4EhrWJ5ltNv35uwdVLIf
AvLp5jKrJyc27Pe78eOYtQ7HtM+AeK/2u19Wyp4RwTHjQOjgVqOeenzK5UEat8wHhDhi0nkYfKJZ
Bu3nwK56xHd2h3WtaB+yKnZyv/GbrYBabEiWUidSBtSIULLV9dkiZS3K9rlpovecdXNS1ClfosKS
NVaFCPvePs9kp+1pdbtXV4seo7KYfFKGW4rwrkcS27Z5DxQ5CV3W9L1TR7jGV+5adehg7gNwJXlM
uwbnnStLNoHnndbbra5I2+XjPscuT80sIugWZls2Huq53cZPjnQaYowhde6x2YhITiNGxu39CKe7
ZsrWkCJAB77i2eRnFZ+R9mvdA7NTNLwkzSb7W95Ti3dsqHVf/6C93PEmaFi22cNYyWY94jfb2gPT
XWo/8m6ty2tbNS09Q0TL+7tlTpC5dcB21PMCUUm0fN1hlQxPc1u37GTHpqrAbYYCC++IhI/Sdd26
YE6m1RSc4QQcYnKwBqmH2erCkLzHz5TPa1y77WsP03ho0lVSj2k+wX6xyiPsT2W+lWZ73ybc0ZNU
BloXNgwgq+p1llEezOIQKTePfoOAZBVxjoGCrB9xuYw9bD5UzSkakhSTo6bsouWD1vs4XIO6W++o
ioZ9+45Tww4dPFIJid9dJjWU5LSexH63E5Vqi514D+VZtnj0MJrlCBy79diQpwekX9j5TFyt3Glz
XLHLyb3V8ASocButzZzCKifwq6v2pcqnxofwjqqtVxmCzCQ/ilRjf8s66tv5gbhYTi/7bE3aZr1b
N3YOiGPe7lO8/fXn1m6IoMEvScfyoQMc5p9kh5t4vSftvBUDXZg74fyPTIWbm+j14HchfIXiyY07
HuZcrcfVd5H+KOLg9OOKe7ZeTy34gw/t2tRNnrb1aD9vRiTsi05EkDqDQxgZDO4U7asfAzxTySNc
61P1MsJ5pfs69VOXoL+CISLNdZu04qSFswH1W00kH7MpWgKOwn7D8YFqD5axPGKrKCxMGsYA2qiI
vsFVPqQ5waHenvdl6j6IBe/3oSO+53mz7Zi/aDGkn1gCXkROgyzbHL1oKpCIOIrlKukF42tGN6Kn
e1NPNSTHMew7j0a1/XhHtfFRn3EosF7acXLbkcVNuj7EA5nhv4s5q/qQysHXx7VHUs7jlNT0s7RI
eSlsWgIKkE3k+H0YTCmOZG598oD5Ex2e+k7Y/SZuh2nEhplibYAWD6KavOpgojrflbpXZstlmlaP
AcyXKN94o9cnu/sJgmjoXhOfw8aw7HKh4sY8dBYYU1brqp8ONEBX2x8hUYsPsqTDUMykTPAkmrqP
79LFXJJcub0UPxJs37rKlVxZUuhlIvGSdfsWPrWyh2tStmuoFj8YiNvoc2X5eDsPCyquvK7aKI9b
uMKFHLv7mgnPqfuULLA9OFXcG5z3YiMo0ykEvMZlgaaROze4BPJuGQcn8oTxqehCvQxX3Yal/oWR
2a/HRHR9jGSSGZZncdpQWdAePNLM0ng/KhxG3mUzK1t7v4A6pYZccy36286W4UGGSwDqPu/0xkrZ
kYNEgs2GYxQlRzHvKbZ9369Rde74wNyHpS/j9WmYlzjHoGFKvoa+9Gte+jo9oVxDamYHFc2IqVs2
b219qp2BsUYKXTUOW5rvu1MmGxGGxAs3k+RUoR745LWgNxWslHTGVTvZvI4TXsGz1STZOKYtv5a+
Cj9SqH/auwRLR1/trd3V3RQl8yPxsHhFC0TdbcVlsqN2itP5cY0MmORuEzmHjPwOQxGItRFeSuFG
DhnyXZhl8nH0UXXokpZ3mdabu1m7Xj1UHg76RYfXOGfb4vOkLptTmqbqduFVuK7irf8aqrV9r2g/
5w3h73o264+sVYPKKmIsaCdL33VTtpFGeZtVqHbDMSA9Lpz4mlTPPN7MtWuDVAVeZ57rfdm34zC3
7DqAvph+9JEU76veg7VQJG4Q0anUYvV9VuLNlZDJh5r8aFwZ3EfGOA/Z2uhNgsoZrz4UzcUP4NyH
bYdtipzjYJCsO002QR/T0LEtKr7G0fUap1BjQ1bqyfVcx6W6t9Fm3XGFzp8877xPeK5CurqbJTWs
+orKVU8H5pIoOZnGNOltu609wl6rYe0zH5tZPtOlN+Rhogs1B9g0hAGWBJbX5zFaVf8lqpEl3OYs
NKwpiG1rly2sQSmq3CKafO5Ro/ispBGlfRZYWJrvm2R0ul23cd2/IZTKoxyqnWR4u3usLWayFoKh
9gAXnTK5mmXftO+2GL3/YRxSqo9OYN8p0NFU4jxd6HeHSeiEPkBU07Ib8GdpXMRqY+ocQza1/dxA
H6AfFuukIXlQ1Vpf28lSwjMYikjMGPc26cM7tMYiQRcMyuZ+Y21vsS/Ug/DxndFYku87NKv+S8c6
dU5HzJmo1V58iS3toq8aU0q0ydvIEIIIELrO8XagWMrKZcXubudlK1ZdzfITh6bfPUuPvf2ztZNK
2oKJKcJ5VQ4sWt9zv7dblUVJImjmXDnrXJW0T+7tLrfwcwq5f/9jbqBmO8gWSYJPoa83BcMBNs6P
yHhm3XYYVri7XqkmSsZHjlWGHZHQeZLYnupNACysB8iaTy0ltT/Rru6ILtJ9RgmQ9ZzzCjbwI/oP
VHztlIfVXGoRxLg4/65181z5K9VV3fzc22hcj2MbOXW2Vi0MT2xXfi6mpN/Wr51i0CLxulP2q/Pd
tB5NRXSUq26Jb5qpKnk+YZrsbkPbphUeiWggBrRA2fPZrBOK0onDTuZ52eGSC4H0VN6OVTJd+XKT
TxNNgkN1wPbdPIS+77MZcZ0ZRGHVQpEvJtvxGLxkIa+QcLqcd2rRoNVqEZl1foxM5hbn7TsRe1H/
vCLaRB72jpC64P5yrmaVRcbEqUSZfdvAmgtvHY01vS5bRKbemCqMn5TETSioc2ncZ6QBb+DZ9nsb
oUoNJLradrzXV6gDYnHtcAS0L97T5gotQKy+jLA4F3XOVEWaJ7OyuoYldKx5s2R4yRjNJXbVgG4u
gnBuF3Xc3MvWkz2fseA/djHTh75s+IClVi7XIwGCcQe8grJHOWy8u/brrL4BifmM0sMlHJEqHBTw
ERkxydOQVOVX+Fm0TVFpbIpNO3d3zhFUZjsMRvy5F7LOzR4QOAL+Pzk1Yqb93eSo7e/mcrE3izFj
+4KAaPcaTZ21xbZEeIzpJp67Jb0MdzqJs31L/TNHLeGKap9Qq4PX5Las90IfIVZWPGuNr1AbYFS5
IuxObsBrsRNa4DuuvfeQIyCBUV6QHgi/5+cOxViWMDDQz4DSlb2lk5yiRypA4gMpSAzVel55Vbke
D2UJxELRXbbNYSNUtuLQSt68qyZkwx9iyBymn7c16dY8qoFcfYVXAwJqZyZtehjqJCR4NZvk/dyg
H7kKQ2uzpMUGarJ1mZFiVyVL/V0ybZNn6pd6zYO2MbodkfbrlrWr7KMvTROX3+SlNDnJDSrzj4Gb
V9f1LkW5q6YYxaxOu+WkkAkic8Vn/ToyLNlMIrIjRywISQ+9SuUv4F9Hd9yEIA/wtyxTtDIIVT9u
ifDis6kiBf1xo0ogg5HScEayBhYFBYoS7a8ZH8fvfb/RGPtcWrfDM5zaVJsnc+3pqXVp+IHWudpv
5j4pX3Xd74oh/zusya2ufTp9jErC2WuMyAz2A61lDWSkrditGucOewepQ55U8eQfZ1UKA6kRZktp
xSvy2EScA81G6UFumIeh6FGtM0+Kze2EHla+2jXr9bK9hydynH4ys1rfRVFqP8lSxB9BoHD71VhC
LXKKRjTGW6+39cBTCUPfvV3NJ9zz7maIO9DaeIsAbnicpON5rJWacmYG7TMTld1nKHW3bGJQ+RiT
en4zbyZ6FNxvd1zttTyOJawXDj0L29WEWImr2PTknCImGXveQO1zrSoWHkw1Qj28rvD7ydi0lO69
X2Dx+hUGImjObPBp/RnQMBUZXwPuQ+LbFtuCojEdUXEI6I8lcR/rjaNIpIASqgpVRssi2MOKPSpm
0ODZgckKuIlHvDpySsS8N1eJIeYZ9utt95TIESLwDQkMTw0uJKPNGpslx7YdnM9mYGP0wXS1SHNq
cDkfx7H047GdyrbOk1QY/+3CdT2PQ6/1zSbE3uNndJF96uLU9w+0Eh4FW2joUUoTjSdQKIV/Byh6
OGCbGIbjzFhri6Re+xh0OQTDHkZPsInAH+MazwJwRGnYaNBue5CW1xDck43qds0HtsT9dRSter+C
/dj+I2KITcp6REPeVPu4YfmUErej8+TQqXTJp8n5azrGKDjrZrgJpmZPYC9PUAjA3xE4B4waaCrK
z9EOOvlRQiETPgJn2lYcRJbEP5ycq0QgA6fbAQ/YfjHDecCEovla75PVOZ4UBO+yq1GZY8fsV53X
U2ngXw7zInUHizQpcuW5Wc7bmE7ySiCWG9Go5cplk0UMtodHr+hlEUbtWlVIV5zQMWHz6Yp2t8qf
HUQZKkvGzfVYxph3vS44O8uzmR2pihWO2gRMTJ2k8fOYokIrVq/mOhfpyqH1cTx0zw2HTU1B4Dff
fO4BaKSZHpa6/ki2HbtHFUU8vuYi1izXKumTYgQatubjsALayiCC2qqihQqNPKRmmuU7BII0axbg
Am0OSyjZmIVkT1HBKBO779GMVIWMQeqh3iHLZhVXdTBefOf4pfwniwKV3zIb9yJPe9Elj33lCUyT
DZqCurFaPwUI+Ltj0lqiQ8Ygtl8BYNbDXqFRd4Ac8FJvKAoRm15OyLpWtryrR9Ls5zgl23CnDHDa
jBvq4Zdu6vmVMNrU98leDiD3lKQbTotco+QRAjvBsaZmunvMf4Zgjshv9PMRdDGjc0xV2PJt8NpG
CEjcnTxHPeCUz6TXlyfE0fgU8axMC9UiGjB9vwA/7HLoK5xdMnixxMkN4QlDc8lcNJwa8CzWbz4J
yhYl56W78tivfTEzY7pDT6mcigSJNK7LplmH+ohusFc3ZQr7NZAv+0s8GNLSxqKtG7Vdl44ImUMn
UilWwImBYEE1pcY8G6PQsbrm60Z31CzOpCeABCOm9RNquww4bNxlUBbubTHhNeiP6bbE06toWNdH
6B3i1FHk3cLE5GfT6R56rg4TMofDVKNOTPOon9UVT0wStnMXSyqf4Rmt3a1Ha78Z/OJN2qaoQTY6
PjDR9NunCL+NirI6dnRcjhc3azSkq9zX9H65dNA3ZTR2G4ov8GVhMBXKqnoIOrZoVuaFcizwtANm
JXLMWhi6VWK1Gr43Ad01CHJBaPI6uzWaUAwIhoZpdJDbrkirGedrq8ZFPjBsHhVKRdnuP7oa04iv
bevH7phW6RB53F1DB2Qx87l5l6Lcx1pOlEjZ0aA0ml5rkzIvMxcruDV7kS7yQwx8rkH8C/B/903N
6dI9m2gZo8exwsDn3XppVOFYEGSf5GKd4GsM2ZyZ+3OtMffCS5IaepwFGh9+QI7iMt1AAVgxn++Y
IY3odJtZNKIgjDt54w0mSbeoriW/RVmU2vdD33bztaioH8/Rgqz0r5SQkuT8UrMdl1FHS9aLxEe3
I4E71btosUuDPQ429LlCZTwcwqLlfN9YB6GLZkSsH/YevMBcEoshT0P7ARYzcxW575JbU36g3mLz
H5Bv0K77dbQjvhslK3wN+7M3FQ2opxBxncdic8spjIOipxkou7/qO76TZ6CKjF03HSaBuSEaBIAD
hKdklgXezR3Y1gVRi47TnCRLTrluowxr7o4bG1LMGhnsMY4kBrV6OjZRjHkPHzDiCVmPiDWZhWkz
rJhrwdKT2xa1n0y6RWSApVviFwVMr0JW2riouL1l8WztM7NwVX8VVbroWxS2jTj2rF7Ue+8xmin6
SrYV1IkgpD02w9Dzm7Lqh+69l7gxNyGRnb0mCyJ17lZca4JE87Czx3YRurre2ll1H9HoNeWakwXV
8lS0o9SArVN4tDUkX7CYTZTD+4MHU2AOKKQ6dqADXiyMxRc4GBIb50rBAFMfNEZBdjmjAJtxY51o
zfyIc3oA8AwyDkZpqN1UeE9x2yGuUqzu9o+YnpTbccVKPqp9F7doonl0k0SlQmHHCdzrkssYTyZX
pOXcXHWtmNjt3o+Q6MZJGN0X3ywKphXdAuuQo6vMFuos9pwJzDgTkK7IZOWacwAb9qteYVn/OMJ2
wSbHi9VrDExjYwh3l/Ou1jZX2vuuCHq+JMo5y+/ZXKbDOYW43J+mwSy0qNZghtvEwqcGECnBvHUM
s1iODUD8OItsHEdHzChdU/SyUmg7zWQNKiSqG/qyCaTI35R71W5PsGRIHbD3upz3H3RgtPpmupH0
Z0IhdTwToL7THeTls/vQw5Iatc3A0u02TiMbfg4Ta81tCFVkAfBticx3hXIkA768YLbSWAuy3+TS
u4Vo63MXEBx6nnEJbbHsSdLl4MZzzMzT9MJRXeVRgR58369IBv5IfFfZu9nt8XAtEHu3X562KKF1
UC4gGd6KtP0GmC+iRctkZCzMWtHP5HbA264PqKw7HJDYSC9tvp+Nf1DRvNI8RFE8Y7HIaYZcwrDL
HVQGcBUqiZmpByvWPoIuvRHNj+VyPv4QC3T2sDdg1XkaVYgzgv2uf0/nOXFYexXTk8uMtBD6A2JC
UJSoSUMKmrAI9BpaTeV9Ugvnj9hG4YW49kOzvrp2M9vtuAvNPs3bwlM0L1O7XIcg9u2TFNqsDxcP
R3qyeikzDbObKUM1Wl3AcrOtOHMxwHyUIShxbWsoDe4xKNHwYEBtvAPamjqgVgzBlSlzLxCuTjKD
sCjxh42bDqjdPNVPoEnEqIhWhDI/tWA24lxExga8G9UqS/UsDFGgaw8E86z1aijnaXRZA71fmo0S
PAKaY/Y9L68AkiqAtwBsiHsBWrE3UcYdytc2Y9hlHTDEfoTaI4NJPfrO4wZ5KMKBhi3l9RcorMMy
Z4tHiM10pVfHmjb3E/zDUYcSvrG4mGkNKkfxb3Z2sOeNmLzCpIq6nIARZLNIuqnMYZRMP1L86+hm
9XVlzqq+YL8V2u/NXPbMtHwYEzsfgBbsC5jKURmd/61cNrIFm/YnGHVvW0F4Oy7ZHmr2gIHVsBS8
hPj7zzGY3joL8ZAOehxsfyDqc5t+4OufY6i/NRRiPV0xrsHn0uZJArRo2J+U0Ly1Exrh1qjKRogj
jkkCEEmt5M5it7Z/oOH9DcMqjAx+zfQBFJY4MNIwmYiw/qZ6bNyN9tEID0Q7GwBOydoiFkCoKXnc
LKBbNFhtRPIx2vCcfp9CdWEV/Su20RtiWYURzdZEsziOSDPtiwbKkDuQB6cc9RrGj5jFyfPv/6Tf
IlO94YLOk8WrBk7xEYYAk3jvwlguhalQ5xYeJxPcSeFI0qMq3cLwB3f4N0iWb92JWvDDcJok7Mgl
MjkcbGcOE7DmP/iFfuvT37DPDBL9rKgVA3NEf+vm+NlLU/4BXfy3PvsNPRRl+qRNVbJjQOxHVs/h
3Cw9/ZMf/oZh5uLYDePC2REY9AGD1CYrYyCPv/+Yf+vK39BDy21tHFMNP1YksjjT1zKLa5z+f+7T
Lz/1n8hxSWco2EG4L8mu4c3rFFIm9/H973/4b7yhhP76w/kca2+2Fq9LLVTywwJT8jnhIUGukEy0
ycwCNvYJSiFm/lQ8H33rZ1PLygvYCLEj4lDZp3Sa7X0bA179/V/ol831X6zut242og0UsFCVHrVU
NRBoNQSP4Qr+ew2x488pKm/8zZDGA79qTPuh3ZsPMd40dipts9ToVar6gHTGH9tKEd2cOYGS7D+v
7t+/b/+neh0f//M67N//A3/+Pho0+1Xt3vzx7x9Gjf//4/Jv/v/3/Ppf/P3qdbx/0a/27Tf96t/g
c//xc4sX9/KrPxxQl7vwbnmdw9OrXXr3y+fjCi/f+b/94l9ef/mUD8G8/u2nlx+6GQo0PXPz3f30
jy+df/ztJ4x84/gi2vn3f/4Z//iGyy/xt5/+7/DjRb8Mf3kZfvzlvvk+fnuZ/wKuDv5o/+Unvb5Y
97efFP2rQtGgoMkjVMTgMPz0F//6y1eSvyaEUy5SBWogE5dkpgFpqPXfforpX/E3sP7lmCsKAo76
T3+x43L5Ev8rehxM+6WIWULwHfFP/3XFv3pu//0c/zIs+nFsBmfxwb9eOEJyEguCK4txZQTsyjeH
CcZKGKM1GwKFvAYsyvS3wcjuQIWwGUpscxz3/mfHG4NKufs2xuB3qzGK82klWWhGEDvlALRj8wxD
4OZ5BQMw/6eb/I9L/tUlXk6Z/14Jv1yipIrAPETgjrC3DlV0hcI87pB3InW5ZWhxkwOOI0xuanW7
TtMLKFX33C6FrSD/6/j0R4Hwbw77/7qAFM5buFVCvVXPJl1spAfICwMuXADdtzUHEY4CVS0P9WSS
fCnLMoM+/XqppyVr4z+UIV524Le3gMuL9SsjHEyON0InmzbJ3OseYBjCE8EiFR8Q73zfTMMfqWEu
H/Q/fxBi1iFlVip5K0bie2kdaB4TrFzX8eQqEKmEM5/HSYPbHzD2gZvXmE8XCH31XuWiJMNttCXv
2BAPt4BmowOmt+ULADp/mLeEPEE7ueaXdXGFGd98XoYxwBsw7Q4ROvis68ArYRxd6wx2GzRi1X4s
l+RxikAUq0vcyDDxL7a0ZxDxZJE2U3ldDZHE0NOEK8t2DPLLjzuqERA59g9jLBnQLr/db7b7OQZV
7mDX/tvwS8sPT/hdqte11k90F59+/y29VA6/vnFYEhilkJinJP0fwXZiH0hfNROsUmkpDyiIvoDn
Ceh7dnmZJCD71JUCCrWqP6ihk8sC/fUPThm0SkIKmvyyjeDr/3S8aqOEsQr+bdLW/UG6vj0L8MxO
CfC7oqKYuDViB9Q7J+xGByzowYKVKOSAB9qDLd3X1XEBdzHHaBmvdJx0BaYzEpZePlyBJeZyqZIU
vSx4XYffv2e/CCzeXDvY6gIEXoIZnnhb7BFAEJiAwIdLxclQTECF/x91b7YbN7KE6z4RF5jJ+ZZk
sUpSSZZs2ZZ9Q1h2i/PM5PT0+2P1OgdtqWFhAftmX3Sj0ZKKLDIzMiL+IW6StEBvO8EvBDQ5FM4I
8oDM965d3KvJgBBaJNeKjrAfV/bV3wHIXKLGOttwwXx4RBTHGl/agUrgQ7/LApqkP/9832/ftUk7
XdqWJCBZjIP9/ZGPMqO9MHHbjGPDvYTxlL6LE8bfD7q3Wy/o1OgFmlnK9/bn25cNfVZ6Njia0CGr
/n5lJauYbhcWiTGFaTApz/W9bPzfxuzu8c60DSk8ZMj7rNvXM4lq6EeG1pUlbX2nPjp9V1z3cfr8
zkO8KD9fv31my0roCQJY/rUWrKl6x6FrWx4bWb7EDIXbWWNe7SdAacCjbHJPmzlbJthptdiK68oq
X0Ribg/tBmkSfINzZ/UYIDl5QUUhfQDK1E8lhVgEP1cGPf2DwKjdR83WAMht504ua4/ZknLDYlG5
P4nSizRghENWMiqbeUNHfSG+WQIrNMjVsEgyfo2ZOuKsO9xarkqd7cHfA/TQldy0xZcb/9Uti3bK
E9QArcwgnzK9CAZBa0ZSDl+W0QUUbmd4GyOE8y17tnLjoWq3+Dpuc9iJRv7SS9WcBpV6NGvqk7Z4
dBGZtR2VTfbSJzGYSEPM7QyHnt3ExABXsL7rZJDB1JbP9sQahGv+udvaDWKd95iyOGB0Fty38VBn
nnaa00keDDk+iZrdPu/Re12L4Wu7WANz8mjULkstsXHiYoyKNn8IfSUsQy4Lyzl7HpIFXlnXySCx
yy7IpPW97mnTJqqSHyE3kjxkGwfxZmsHp8xfqCAGf0pGN6wYguon4/gRa6q/7ILTk0Er5wTuOxAB
gXtWgGkFB0iYU9oGVa89ObCoQjPuvcBLobNZrhEHyhzSiFgG983Kng2T1wEUkAXawAlcrkAalVmd
rbL9lAvvEeSuYhv2Y1jEbnok+TE4WJiOURq8mnroP9qMR/erVn0gwThCCXjudeilg4IBoznlcPB2
bUe1Eiz7LrcDF+PpritfavqfuJtPN9043WxV8VIyL+a4UCmHCSav/jBDgZ6NW8SImG3VkxtK3bnD
vxxBIkgOnWqzCCXARhi3rPNmPzLXhvwKtWILg6Z40RKNFcubZRjIi4WsLij0zvoy7TTyOtkHYEOT
DZc4eWnoIEMuJlrT9nRDLW3OizPkPjwaqLNb9Ww0VfmBpji4waS5nwZsdLY8fbYNvTmlq97f2LHz
qI8l35H09GznitxqfzFkBneD3UMLFRwel7W7ziwbvfWgKMUl/cM0e3ZjckYrMR4Mt/SO41o+A9ky
hIoVLka2xmXh9jvpOa6XyFlAJSCuHGmvP7YeiUza6cXfW6BihQlhPJC4DyGMVVak2W639cLLUtme
bWh8XlPtTLaUFYQ6An6jznZpmazrSzml51nXtIOY4yxoXRZtM2bPlxvndsliVL1FucaZ5nl8b2mp
4auCyhNhGEq8bhe2mpO2tw2UgEOGTClwVvjrW+dcCXvhniokEdkIGwLS27mZkdPkRZxHyxjXfkUA
05hN7nuOxd/wPVi6xd8vuNKtB1l2TzAHXN9e8pfO5q7jLn++hAvlFC8j1sC+OxEJ6jzhAoMNWwkO
e9Daa+5DTh/oNvIQKQbIhzbyKbJkx58scYLxnp/Lxi3CoiMqEaiKg721T5ZszpfTCaEHs2ASnoAl
zPha2vnLqsfxvYT0VJEkBZmNVRa0/jbC/zEknv6qS4KJIVm5wDeDPwzZZyypCHkanzsRawu74YEs
1rF3yueR/GoPZ3RDCXmlfXcJSsoivFBTPuUL95Yp+0429nbqSuuBegfvaUh3PrN0ntFg5oHLVCSf
uab/rSbSPWGxM0M77MeO3Th3l284r8XLviW6zHrYjwLHlg9jy41d3kErvbsM301fBwFGo3BmhrYV
iHpfNjXwUywhQjWif9JzU5ytPkfNkpSHfmOpMC9l/TvSuSbBBFH7Y7NaRFR70w5Ek/kDjLDxsGjs
X+gj8jBrG3/lmtqphEV7Pe5vZ9FYedbWnLcEyiFtOP5Xuy3Xl0ic0fAMMzspwxnyEjuYNGvd3Een
bLvN5y9s7sRdomHhp+7AC1CZakFE1BZpRZXdNZ5ehK7VcvwMRATWMB+/nysM9PIY6kvyXNjWg+jj
w5oW69FgapFfrDzIfYUtG79JM+DBItJEE0A5kwZZdL1H4EGEOPjVRPRxJ16N4ZFQ7G93yPunrGaH
M/VQBlRBNawXPrCbqAou8bfco2PcpfWxLoQBo6hpTl0+jIf9jOs9LpCkrGpLsYGcrTjbNnctwcYC
+nyI9vZ0WGV5eVAzvDItLtfPkCOakwP66xvoUH0dC5DLWqnH6jl30xckBI+xnq8cGD0o0MSj3k+b
2CMuFiNbIMbT5nZxmK5ka7buM/lc+ubYF4xjgTEHuaOLsCWHaQBSdzdDJAkt7GkC03Lgv3TpqWwb
Drx17O6Ikt1NZqbjlTmDuQwW7avFSJcQRRNwnprdQ9N4cZgDGPkNWDbUVZRrp77dkme8EQEJDOjY
EdSbyR8R0R8RH5FqLNlL0zVPWFONEfMNq58M/9k+GWXe3uh1sYRJO36CFpwcqXOyEHhMPOmmgMlU
rTUZsZGFUFHi0DA2/QR3PbI2yqSpSfbUoJ2aq95KnXuhIADNEPMCk6krrISuuXL3Aq6gXex3W39n
iNSMHHMR10xBfFZauYS5IyEBFIgL5LwNERyb7Wbr2U7A8s/uXuY1TluEUAz5lwtYZllzCisNIQA9
/CJc6jwL5t3ABWc1PQCFQepaJiY5CrS9tCo4eVee2CT7v/CO0A7jBINXdHWJHKgdD9Ixr+C7oQar
HB/uyeaDvs5AsDj/Fi7TzlvR50GWmzGXz/mwkQ8zheKztxo6pBAq6pV1XTbT9wTWyV/F2KenqnPj
cF5i0G1p/2QWyiFP1p9qIXnWRErQ0vQhaDB/97VuLANWA3KagharLSAmQBSTOjVcZvsyM04aAzEC
Y4B9NCVmSPJ8r81FwIQ00kRdRQm9tIOb8E6T9Fab+xswzYZFOH8W+nzdM+vCdzPakp6n/dXaLD5n
lsVBLkIi89F+WCNRN++EASfIfEiKHLVHr597zSjCOiFk4qELcplhStplqR4OS8Wu3SufrUCJpm+E
pUxlL2JpvChNyZ9ETKRp6nT9bIwmOLUjN0aWcQKZtR2/4AvaBFK45Ze6A2E1N/1pkoQKTQxPNZ4w
flV0/c9kA1LiJFaHzXbGY9GQBKdLt0VzsQtyqOEKP9egzl3iuKkVZ0PnnEsIDrqwsAqaGjRbbc9f
7RW9BX8ndAy2KfAnFsG6eDAWt4fjlRVBX7FuUZWCrSTe0ZznZ29SSDzq6SF1WTGxV0HgrxlTBlvr
Zb/PydUfBN2H42ALykJOa98jzca98hme2ZNeKHJkS38YkFr5UGpYoci0r4VImQupOwAaTnJfl/O5
XcV3Csgu0iervxl02X9WWvEt50yDt3bs4PVczz1BDcJecQv1VjvAMnJp0Y5k13s43cZquy0UJ97k
jnCNLPfRyIrndq3OJBjL/YbDGVmgcdv25DWa8M4iz2zqRjcLRjlnCHeqTx6QJ8ZQWzTKku8K7xxJ
Up7e62jBvmU6z74mTT6IwrkqTVZYW7IalOY2JFg806qcec6m435pjLq/QRc+P1adpiNTZrnJvXmV
JWswF0UarC5xLYbpdyi6dGHSiiEVEow9SFdUK4zKIvcexo0vS44pN4bk1Bn2+U3fnMpEMJVZDVfC
y19qLX2BQPTU95xDQ23dofrTw8uJPi4UYXu60+1rNWGZ3EF4osojJ6C4lofcWLUDOnbXN/czs14b
NAV71bItNIgc9IChSvqnpuLomWY1f0ggWEJG0XnZ9T6BA4La9Upn0vf0cvlQ2GPxsVNTFlS6OGiQ
B4MFyIf5H4Y8XE65fmzqc8aczQC2jxsmrifO+LsT9Rnc5y+psX2vDCeFOb94AV2LiQ6IshA3IypT
GqvJW+P4RzkPfEpfveibrj9X8VSfS069y+qn3jxA5MiuKVZfaELwrUr7I6Tlo+3JhzrhmBxiTq68
1f7aG1WWuXUnlXjTrdXxRtZiPwMT1ieK6SkYyKEICkn70Ht1xWHmtShkNHi5enq3ZoQxmpHFoXLQ
axTWeK2pLSPittBYtu1gdlx+hVSBPpcEC9bwh7KfUG2YuINp6SxCL+UYZrVzxDGhMphq8+Fy9noL
+zQ148c/F/7WDvi8rvttZMC6kI6t668dSad8Qi+br9hE1xSdIJeg7uP41LU0BXO92qJNEwXfgrcM
M3KLkLDCKSvaL1b31e3aR7TKqJ1SCt09zVCOrh1sx3kspuReZ/JiYFToZXBpUmE6wxBq5+neriB8
SHckAR6Tz5dG5qVGcoRERlOlL/YyTgFUSoTlWx3O2ijOElbktd0u1XnRBAndtCelDjXQaOxaFYiN
1Neg14Omo0fbizD8qd2Pyv2VazhD1gg2YDfvWWCaNb5NzRtaiRvDqBPvjYQTb1vkIAIGQAHjiugK
vHYzyssMGRs75RgP1JQu476uB0VHwkavbleF9QV7aQIvffygUGw3AZn+HcDqX5pirgeYYZvIXHc0
4ffWFC71nZXJQh1zZzD9QW7pCUkdp5DdmX6h4TuV2pMeTGVmhH9eUBfQ/dWConz3XKBoAga9pN8v
zc4WKivgHqFdm3y4UE6YwyH7mM32LlZp2+9Kz3HE0DcmFVj5fYMF9ievha1vLOLpzzfzFk8xeQOO
cLCgx7T39ZgXJZXepg1u7uYeBPaGgTmypZ1hGdEMmA9ZQnT98yXf9uxN+qOWYwJP6Dj4v/r6Rj3q
lJuxOg6x4R7KDup/l/Bf2P48LkM/wZXS5rCe+/KUJdP/Nqjx0iwEJ+AGPJe3D5T1+8OveKjGWGvj
sXNJxgoaOgEjA95zo/qXx0qXGX2j5dL3fANTcZpKC5QMvi9i0kDh9Rr2+fJdW4c7aPXf1rHM3oOd
/iVMeYblsXA9KcB9Xn0xPD0S0pJqZDJ7PtzEIw3zbDT7K0ICrZzZfUw5Pv1Wp3uGWvG5Wsr1OC2i
9SGfq6Ccsl9b+eXPb/p3xsffzxoc0bZ0FjtN4FdAfQsxN/P0lj1W5N8bqGB//Z38Fjk5Xrl07yDc
rzDo/XqWxTKGL8yE2R2I/P3dKulodlwXw9HNnDuIm/gNa1Z9aGIzC3SyZl9M9g+zzD9D+Lwqdedz
n9kaWsT5VskCYj2srs3KtveMYvf++u/73bI8aVksdba2fYFE/gF5GC5uc4mTDMcKo4rAKUme7Y5Q
o/SaI1PKK9V055Qm2VcGzrTR0PCKkB7S0tWaJwFtysf4Df1aK6XPMKyVJMO4m8XY+2Oe/7SHkzXq
S4j29WEbnStjMB4kOY5KoHXgSZMftDE5pA6dGgdeTDDW0El31LGwdUT3epkHZoV94mDstbWOC0gZ
1xVz87SKR0Mra4ftLgdbjifX1Z9XiHz7bHYk2aKBb3uea7/Gcz0xLfjpMt6beVALGsouCZwxQUAx
V/TFnG4M1tRAB4ovtT9Ok375mrRWoep3DQmhQ6s25qTbUHpdt7pi4BA8ycO05834Bm3RAMvylpYE
9j4undCkejeeibeQlmPhjsIcE8sGlH5N6qCXQZzvSTZJSgfk7tgi0lOD8+D0T0oiRsBY5+x6sFQF
vFZfK7Oon/X3Bg+8xVwdy/NYXhLkXnde22JW+QbL0Em6I/yIaznzYCQrIasn+534Ld9GGqBD4XoO
CK8jndeRBhQkRgaJ31Nc0xXMyXvEWmxR54z1S7kNdDjwzgwwSKEq2p0h66LnZhTjneNqSsK5TZ8l
JXw2gzehbqUXSAnI8y1wmeBvaop3+tvn3gCbN0racLBxtHewvH97aQB4AKCWQ9R4gxzXVK5SbClj
mIdKhLI08TyqlzaoBrLOpVrQ2M/q114vrQXtJ9WlL9h+vROx3gZIB1oEeKIhMZJ+c0yUUg0Ofhft
EZeWvwykNAGPgYuVvQzm9b2rybdpl4Ny0fF2CZ1AjPH65G2wNUEAgn6WhCoq2mYNd1hyGyT+ACKx
aOCSUG8jIId0zeQDZhhPzdIUt3ZFcm/qUJddsd6WZredJgpvv8D3yselQke9NEy3uTG/Y9D39hzl
jq0dKHZsIvprIkGPvKwaFraWo63ZsRnaMdQKOhBKp36ila2Hk16+A1r+S8LP1VgRukeGalmvdxKc
THdu8CY6xjmNza4xTArxRZ5z1EyntBrppyYQ4UWhrgbaUzeeQaNy7xnSb9cOlWz0kOmyHuMQKUhG
/GhohBrimtaKiDqy2dagxExtym7DGp/kRr516YnUgsIJ8rwbIZAjmmUW/dodfjGlyh4KKqqgaoz0
ZG6OeUwK5A9ZbHwuOzwEhAao1wrb9TdAhyjFJTAwY6xnrB2hhGr2sMz0SS7YRlOaug/m9nOvhO1s
5HILniYi/m5oCz4p7TBH2/YuQ+xfw4aNoa7g4Zo6nI3fT+fW3bK0NwkbyTqm90UFjCkoXyJpmaNP
Y7nhDKTIzTz5TNucbrbFi67nzg1RDZaH2u5niOr0iC6xvpIz0OiaYT5lDmgtxlF+u0CbZos23QOt
va6Au+/SnJfw50PrbQLrEl9JXmGc6BKx1u9fpE9MINjeGY61w2GssNALK2ffEmY63SS9h6zd3apv
JmJP+N5T8c6ZefGA/z2fcBE1WgacF+hQ4jW/x3OXwpsX5hvqJShaI/vlXhT0+92STrjReeaXurWq
IIPVfcX0Nz0sTE7IRaOPzdQr6sYCS0qlOxXiZZYpZxeIkgMABIP6uy7UdbE2T9pA8/WCP9DaEBp9
vhjrnxS3xSer3dEAiyZ7TlPyqFd7jw/xPUBamz303Wx+0UsrhNx+7idMHCx7g2W6c16qxHvhH0CP
UtP/Moe8PDINeD2iwpHv5MP/klmgsHeFKzzP5FS291PsH1kXzjRFnc9pc+wAKS4AQWXukLAAEWoz
tuE2lrOfFNvVohf6RY8QxNkXwIP26gLDbLqCONV7sPBn/aHc41tnP5rwF8HF2281iH6YrGARDrLA
45+X2Nu450qbjIJ9r1Omvq6RFA5hQ0Xj5ai55pHBQuAmhIpipSq+dKOQirwT9d4kzw5rivyUoswk
k9FfDzBKBfYqfUElSGu79dd2dPxsR+4vWMxweb0KUGgivsDkgDSidhhwGtE9GM2iDn3XFwcLMgtG
TsScPz+P1wfl5eYs8lr2284a2n/+j5dpr26eawXTlbK0wzui5x5QzoICAJcxbeU9G/1/udy+xWEq
GYJi4s2xg4xmAIgsjrO1r1qnOuMeQEQaWDvUju9VxO7rLNghxhFRYHRCZBNUjr9/vbSfQBv7LD2m
aYr+PJtMYmHPGAXTi4CavNSfmaB5yBgsHhqkoSdUh/EJDVJ9Zzam83U2K+8+n9TJNtQH+PTLAc2W
7Zvz1B1m9mhId2W4Kd22PnrzavvtWGfn2sg92CoV6OY21tGQ8eE4n9s7dv2AiUV+xfQGgQnGgDi5
kVWIPLU9UcOYaYCCYA7NxMoD3UinqyWeIzqS3aFPOvNYycS4hsuhgagUHwaEKQFlm4FhBDJcU/TZ
2e60HKe+IvlQUydH26RNIe6+bqhSfpBK7VnsbDsxd+phJVGLqjLOQyelUkMHPNE2tCQdQXwD/Qyc
OqxRY15DULXggRVeHtpVVzMJ0MyuFeaCM0yLuqBLFhtHw+nck5dxD3jw7UrjT+1ofkhSTBM1usM3
rq3huKVt4rtCBH1ERW69s9FejUGE+CZdkjAJiZaopFOv//6yvaTrPa3klIdB4Z4udY9RwhqpB2wR
enKpXFb6h7brGKjczkjet9U8yHZ/gU1hhm4/Yv+TK/J6p3fyMCvTn6XMkbZDPfQ5GWxaSpN5wOgs
D10CZGjWfR0BIpjB3pWIXGPTHtdmNs/e/vF5M34YU/loObBN5sWGSWIp46D6qj4heXbfaTi9Lh6g
/bGh2MHkMQSa16N/iZzCMlBWRWm/Hft09WkRvRMsXgfPyyUcHrTl6bawXs90pgqzaARg2l0teRs2
E+3XqZ8oM9oNMshodDwb7b2q6HVSwEWJnSbJDfUEYeNVhEo0vOrtFJVL1zjdAfAL8dvGGJopKQSE
ASA9DSfRqwafrsAc/1eFz06n5JyD50cCTz+Vjsvvq2rtqnLKK4yKld1q4PIMrUXAvoV5vl8QldVV
643ukWj3SNuhOJamPX3+c5C+MOD+mZhc7oEWuaSWgfS7E8T/GaXZNr0je82OMKhiNMDaDafKNHoK
cX3Y/H7CBCer9OHHom/xHQ/SvGsWWKfYuLiftMLZdl+PHkGnmUeK4X9P+iB5lN1Adpe2UVWk/Uc8
8oYrq3f4OmPqnDtGbJ+ddu6+yARWgr/UIjvO3nhvOAmilkkr30m+rL2N9tt3JIGlZWobWM3TbHtN
plyZcGN2HKGRYledMTFbIr1NUMdOzXR9+RKeSst7fU6c85DyA4DHOPA2fQtLAXdkIwULDXoRuAjG
yclLUjd0MBpiX+vD1bLJlxYuxgkZNhQy/EbDLDEeClkZyJOz6Xrb0uFUdnYPA2Bzj/biTKDaw0Gz
coyqNrs7lDZ6QIqQHWOvtahq5RYy9MxP2nSJCjRSdwt/GbWYlPhpmuzmBkh/47m8x2H5y9bnBkFI
XVuz4mZNvfSTLp2wMXPGJ62pf/15yVzmObx+nDTh4VQ6tILfDPNoPfRvG3VThOEQvRPFhAAnn85Z
Mn/CMDwODGWKaBuF6Wf2GgcYG0I4slqmkeP362sZ3SvMq0RQemyzHH+Im65I9B9MHnKAl73thk+x
z9OEmg3z6RojRjxueOj2EVHvzy1v8TPIYz3QRyh71jiYUSfxJkYc3Qea3XxR5aoibBMfKxrSYbH1
72U25ptoZQpqbnasYbls4NcawBxFCbNgSysSE4e3i0bhu8QPcTfeZAkMypUMO3LH4zgvWmQwQwEi
TpdiLDi6pxXHFNwXYuVXZVN9zpKd3pGx7QoMZfFSs7Bskoj1rwmHGLFAjgv1njWyjk2OV6CbB0p3
xWHt1RFBNe6Y0vw0T8aTqWHwgvD1U5xmv6h1lN+CT91Uo+ZgyIv9BcM53HuU+vKQlm53wD+BcrxO
W2aBLePRpjdwNIH8IoBJFvrEJRevNN7p4bzJ0vZaUuB64O2x701SuC5ZCkbJ2plK6wW1gXu/75Ue
j9tgFsn0Thv3MqLy1VJlJhQMNTq5mC28JjNXiOmlrkYiLHSqMAeHfoJYlt60Wy0CfauWyNDj/C61
x/RGojT3QZcRv808dHwyyeARwQegiV8nLz7PiX0bb9YQCVg+i329JnkTdiv7esqhvPK7QUtOGGoe
6xIVcBzKmd1M2v7SDN32IPF/ikS3TX8x1n44KYM9gNtFfc4H3T4ga06iFEr853kq+48A/kyvxN3m
AevtLTAlPI3dLvpg2Ft3QFw+3ULm8q5AZB9G9DEnr1iJHJunbiu7dnCEbHA80QnLQ8uI1mG/HRDT
ck/Ep88W8vRwmDhmtJSJeYElnTzCSZNdOGr5ndQblMlYK3w3YqeEIsPMpHOaNlrkMZ88GKYElwUe
pJ86wj6k9ILIQNkQ743B+5fVwiKhF7Pz0fdT8vfDabDtssA7047cHlJOjr9k1LcWh1NjNqFjsSH+
HNreXg9UEUY6KRaFuvW6Ssd5HGbwhu4OTyISkJbdAG3Ou4Jz5J7Szere2Q3ibWJJ2YZzMRUvNHXH
8V6lIC70tk4mSPHgMRmMuYIZKgQOHUzPG4/1pqc3i2dmh2Swo7ZRPXYYhAu76IxDU7H5nbkGCpgd
PHWpnANPcVDp6NRDvTF7SAliPLYdXyWzm/5jNRCurXo/3K245+TJynurbn6sexhJaiuGcc2iY2jH
D/iL3SG3YYXmTcbsOXqTjw2uHleb7d6WU1pEoAwvKP+bEIObl8Ipf8iUe9d0zFixc8VE1SYICrXQ
WGn6x2FjrWNMn/99tLYFqVbvJukTjDLj4DHL5kFA8oUjwm7yPE7JlCV4gzGIfjOP5nhs7P00rQrI
4C15SZFxzqhKMfd736sM78ih9aj1ud6Ib8XEOt+wzwqLvh9OsOI5ewrC7lC03ZcsKzT8Yzgzy54b
ah2nCem4bKGnpaAA2ID896cl6x1/GA2LFY1qvoEZEio5d8ECtQDjBT4hT+VwZeJIwmYhXGRiJh8Y
FzxxxTJcpaPu3ooOAF/h+H3ljYl7Ghx2aI1HcKhj1hrWsTeGQwP5G873eOyTAT8VAYuoHmNMevav
qVn7tHFt28J2EsNBrQ2izC72riSmEQevRPpfbvZne3V+VvB1g6I05RW7czqjqTEORDBWsbW6x6kr
SVnwQfMv292zeXwwTbmCxinQemQ6acXzTz1jpGjndVx21/9tRedt9rNvhuZl/H9A0ok658+Czo8/
8h/DmP6o/ynf/O9f/S3edNz/wFFxKAQoASBYWP+fdtP2/oOdHvHb2rNXk0Tj/9duGvp/BGi453p7
WxYcgh/9V7spjf+gDQNVoqAhDwAn+V+0m1Bmfs+dTcYC0VK3UVB5jrHDtb+H4EZvYeVp4xDpOPqW
R425F/EtqQ/227gi2Vc1HnFY/C3TYB+9PMfOvbNpj4cV+N3dQNWMg7JM3Bs5FQbOWItBI8ErYE6t
GBkRv2CyBoSQugtyVB7q7HEmKyc3YGN2DuZba29g7AVNbGO8mKXNgWJPYFs+932YVbV9lXpD2x+U
qqr2CJe9+LZlyzKHwmDILIs/b5gC0lTTEEDaTs4LkwaekZgwrMzx5uMyee79Ro6Fzy8iCfQyBUG0
aA5tp4qPk2y7nxMW+j9WTNmqz3oZ289VMdZPUiVJH6wSJ06/suI0jRJzSH4BYeZfSwD9zu90OeFT
PzsFbm1TtXwadF0dmWPYS/Qynfq2ri3TmLd1+Wa4yAn9udbbuwyPaD2sapFPvl2PGwNApKS9UI4a
daGdJx2Tm6oMJ/0Jqh4WOfiefKh6gQH8KpT3rcWkLvmh06DNgZ1XjSEZkPZxkTD7/g5ajcUMDOyt
/XFOBfxkr9auh8FAagFdRZG5MJbBuHGndYDqWDeNuGpETdky1uqrUmNe+nIcB74AMaaFON1XUZcD
KGJwWZw3yF/3zCAzf6XQjz7DZwMvhTiHq8m8dPV1W2yYQRpkPIe4nNsv1VCXx2lzG8yJLeUk0PK6
BuvSTVlfUpWMX7quxSAa1D3zYBObzUdhJ3l34A6WL9M8lvd126UPBb78fYRNsXdK0akd8VdPnvJk
cSz8tyx4jwA7ajFC11HbVzW2U39tk+Dh2JdBuoqUxkSNk2ZO+Q9rmLBTZHJAYtwIp6173+p3HcEq
sDesdF1/HLop7w+xi+WSjxd+R6+5GcbYH1dHcW6t7vBFoaPcAlXOyzfOT/ecZ57HvAAPp9LDNMZV
y4Jllk8wFPaMAVyf1cZxrpq+O8Zzvjsad9hic3xr0xGPb3UeKlM+qGF2Pxf5wHSXIuWqWr1LjzwM
DO/jfDTKj/BBoCV4g3HKOtu4F+k23iyTnvbHEqpk5ZNT1N9qfMBvHIwFtFA0PTTlERaTqCuXE04Z
43UWrzau7QvYfW/V88GrG/ubl+TC9SuRiS5olJZwUEyIWvAcQehDEdRfudhGkTxSgDJqgWQbSrhm
rBh0j8lHc5Oegmebe0/6nHVfmVjloiRzzRtnnsYa9x0+PEd1EZiN+xVGpVsGeCEyP5zy8YdjZbb+
ITGTxj7AOWWECk776kNXb5i6FUqZ1/1kYtG+4Y6UR0bfqierSYfnNE9QY5TY3ZfHnjiQR7LYlHGi
F4/7T2IzvsaPdUo3P7YLh/KzTdCWN5mjZj+FhwTwYnttGiy4qemHrDCGyschZL5llI4J8NxKJLe0
UuJ011axzRkIs4KsItDsfcQWu5e+lv0o8OWJT9JLy19rp0SUe4lxrtnhG/DDkP7sbbu5A3e3jouu
bzh7KjvzZWyYP3tVMTVlhQh3s2y4uN0lCrq5tqOOeQ2RQjDT4uyKPPnMisLGrPJYlXW/NRGHyfoN
/l151yWuPqNP7EzHp76WRwt/D+9Ay/Bn3pvLEXILbsrpWuEwuyAJULmgl4qn0mSfSbm3TwQbq3os
PDf+4eaaeycTFkRkOx1+eElbPGWrQRHrjrB7wIYq7WunL+oO5aD+ouYUEyI3xxnD7xgj7vjs7zNN
qOYXrTzPILZnUj+6guj4BZO1HJNuHUFopKZhdY40P9lmM433AerLZsjb3lnHk4MjxqMbC/w+xaxW
v1LsFBPdUH0YcBy+MazsezKK6mSUGZ4UslU/ykW1n9RMlxRbMN1HcqJ9MglnjAo2OweVIIachZ94
JQU7QpYflrcY9ilbjPreK3B+96dtnYCWRuvKKbvtaWRgUXsQDboM0RpNferj0cw+6Wa1WPwuWBRe
B2j+VOqWEQoq46pYJF6voHkt4WjGC1TFrfOhwUzj++5Aei9X0UQGnIsvJerH7L5Kx4qAIhPLBj+a
6+85RrMnuL2LEai5zX7Zyk6DNOsbF8+/zlsYeIWH8WOiqellcTJ6/lZVdd+t3sTldRwGXDzjPFGB
qVXNyPCF2Jpwi3dwbCYfZHjXtNIMsLb4Hj+rTT84WZxMoUufoECxKeyvFGEmBzcD5nYWciQrD0dd
L8aA3HMW/OAkDvtqSvHxUClwtjsd6O5b1zFKmW8oFucY/g7+0ojtqq38P+Sdx47lSJqlX2VegAmS
Rrm9vFq6FrEh3D3CqYVRG5++P0YlpjOzB9XozQCD2RSQqAzP8HtJs1+c8x3Wjb3QyDVHK2IPjbh1
0nnoc3daEzr0WkUDL2YEuZiQEdYCiR2eEtEAN59a6+cUp/ohin0vMO1aBt1Qq7Wlkh8ZbA7Mbu4v
e0o+u8jSdkaSV4SwREUf9G1CQqMdTdZrl4Fu3FQ1J/EqZsfO0quyRnGwELWCQLNkWh8I641JCNOI
BAgEDP9hHeVKyCByc1xSEyPARb3t/axw18QszTrjJa491g+13iX2fsxyb7rOPD4/gXNCDh8HSh0r
zoturcdtdbYg8oO309N9RvW/MQeZ8Kzkw6nHaLXGH+m2awzl6YFQKn0Tg7x9yGwj39pDmLP38bOv
AhD0t5eE3XuOW2U9zar91CRU32x2rGQ9wt6GG2qHDsPaylmV/lgam4zwH6wbTZk54M0rTXu24iSH
Uk0UWxV4WS/LNVjXYb5KD/zUpuCBidZFncZqE4WdMDZDE02HOtHEVRoD2m8IzlGF160Xb6YbZ+nB
n0X7y5OhuSrIU+HZ8er8UBQtq1hOhMHdEubh3eY5h/I4l41/GefaP+udqVTQGTBliroVR7tptGwV
DnH3WZsdegbyVtQPNMldChGvE2wwNcgD5AGEZDaXjlEk+C166lAcw/OuUHY4sTrv0otB9gJev0y4
mGoY1mRFEzJdrzzyqh2zfaGIYimcITr9aqVC9AXv85gXthevS9NjA86lNF1RBsDRzH1s3gAmbDCC
rTDSW+8acbxCRNmtawdk99rABcTIMiL6jlxQL+U4083tOEIrpHRxZc61qvPfw24xX+yc1zRgxYdv
2c6d+9GfqxfhAH9g55bgodJcl6gu2af70ojhgKa4Edawqhq16RN+5DmpXJXcGiOMLiwNGoB7Zkv9
4vjy3qwL5yFsG7fGjuigN4wGRGaclSbPCTRdfmeR9/p2aNN1Q2+4HjpWdCuNwvTehh166kM+HvKo
EFqtOMZtQOdUxRwZAHh3Ce4xufFiyyte2SRWv8ymMJOHrMPISijGUh2lqOaRmfVd/kGhED6oYVLR
2UOiogN86NS87JqjYoPjEPmBkimGCA5o1bFcjLuXjKRiHFHc0be+UuGp7IdhwyvQ/Cp623gYSTBq
10bt5/fxPGnPptT9F3PASmgOvv+rF4P+zBZtPJHfoL1jQ9Xk4gyZ78cq7d85fykXLNmZVlB4bbor
Skup1Vjo3kEvI/VaJYohVs8d88oeDOWSlVmk6UE/T7Mdbl+XXAwiOdogQvaZUynrGfx0LaeKaRNg
gHuP6v/ouAN482qIxSFpTSffomsgjcKJud1WVhxLtQtFHCXHmbXgye4tJQ/MzMmdwKgotXXv5/73
UA7FV9ugeYeg2APGaOmlXqxUkZ3txOPUGDsdNpwW8PTG1hGmaIP0TkvrFLfeyER4ZSBo0j6qpnX3
ikgJr1r7c26nh7hMwbsF80C7s0b1U3lvchoN78GuqEt2BAmYGNSzCRULEPP+wy6xnKvISbcjGgdk
VTlxfqZVESpQWs5B8D7xYM6aV5wZpJKP0wtrENe5jihYBfmB8OHtJ537Zj5moQrvoVXK/I5onrkk
c272I/PMaksLd3Ex9vmm8KJ+Y0IUcgRGi2GgU8lLu1EAqmMp5SVGL5XeargJRIgadWFdu5S4oqNt
tEN880a3d25OEobjPm2TjkGuXd6zFJba2bOpSZ4UIIZ550tlC5Zuc5wcmLAk6VsCW7fYwxVValtn
ULx/EBOlfzAXyVi/K7INfmROVIYrd4oMlyKJ/UPE9z6aTbIa2pYys5lkwkReEfqKzsRkfsrKpgua
rhnBiIfgUsLEVj6mHga97EMQ7lhAipuNabfGvtLNbAcQh1rCDJ3pMcaRWkAgcVKd1WstPJBcfZRe
kA+MbjAXRtVtusxst6BsBnLeohHjeyH88Cga5B3bOvW4u/wS8MUR852SaJE7U1crboYCOo7m5O37
lFFu13JSxSUH/+IGJOHZM/DgsfPqY6njptyHcMLUqrMLN37hknKYeU1dSZmjj+N5GAUj1VWStEPx
DOcbBKnBO1zdR32n1qVTJwSXyDChtWud4S6Vvv9OEIrNgFl1NcFR/Dok2DaJmvdG5LnDKdasGc5M
iB9hNWtut2VDyZ589hrtlBTZu4/7hYrcqKM7UC7ciVZY/9DEhOYi12eSwqIHooD0Hhdj1vLw+KhW
V7MY0l0G6DNeJyGoZLMruKbKWAu/ZyaC5sFwUzojRgxDjDU+Vl8qaoQ4tOwlKFj1oT1KOfSPYK6d
gJQewf1vq+IwCKlZsDPzh56QDryGRASeook3lqolhNsbkhnhoFqIhs/W9Xrcn4ygHW6hBgeqohXG
M9E2kcNYXUUvLWsAvg9vBj+eJ5FxI14zNy++XiLD5U+DabfKgVQ/mVZIdpgCT0bQNfq0m6LS/Sk5
+smYkGb73BoWHVMG6/ej0JzyoLW5RtiZC4u1zts+wEhoOKs8spt8PRe2uNl5JB5kUlkL8604pKbS
50+0V6RSjQ42v27qnvjk/b1FTgh/vnKNikiy9lDr5fQRob55UexaSQGMunRnpIZ5BKdDYCk0OYPF
qJG/R9ngwppoSB8I3Mog6GXEnovdUKZafvX7XnIuCQ8SlMYv9iKjzEfeMStiy7KK2VLphaNc1zT7
67YJSaqCjBqTLZWk+oDk0As5sSWRGv/fDy4NnHGLk+sv+5EFePc3GN31I/pY0HN/HV3+55/7Ez1n
/2GaLDBcC1k5o8plfvgnek78IQAYLf4JuGouG4L/Pb40nT/wVsDj+T+ML+0/DBQg2ApMyid+pPs/
GV+aC/nub6t/jDww74kQQQDsAXf7h7wBJoGpD4qnmSAJtSndj4hYH86qprjGlgqXMB0bx0nxXBE6
vLYxSO9oY/OPybLdS+qBoptab5falKJxPd6VoqOTKb3nCPXWGoY9CrMeKnJAJhnNpDXcDw3jltEU
zXqs+/yxjZFUpX5DZRBb7yljSLN1LqqlhvXsBItHSgE7hPc9ojgHEMJGz0I8/Wn4PBE7t22WTQY4
5HMhlPPhJgYTs8zftJWJbMjz5wv1ZBHAhqBIZZW0GpAhUCGP27EdakJivO1secv92RdiDTsUp6Dh
Ll5XbV35470kUo1v8OdouquxLs4EOG9Uaz6wfTpVTR0FiJgDDKLf5OtNR0KCUjakmTfvzLh5JBrH
vFVJUQF70OodveczGYwrRxvPvc2H6Xe1OKek9aJqza5WiX1Lo4BmaHcRoFGAxFfFLpm6r9pU8zV8
oVVgpizBiEC4O1pGnF9JfnhxbLXOmdfmFjnShSWBbpbfnYXKwqciQQq4njz6HJU+ST86xHVhrht3
hOCMIhLhXrTW5nSvqf5eM+2BRVo7PROGbB8ELXDdm9M6YdxL6CQfjSujfUGQ2iNrwIdYDJ+hrVyi
l6x8O0HhR3ZVWDf7N0jEppdViC4DFqlw0Tr2NCxi7IPpz+pJFBVMOmnFK/QT/TotYvXI7JiCmmFF
vWPDGt0m5+IX9jMudgxnqVPejY2m0dSyp9etW5zSxmTOK93nFWgDLVI/Wbt0bM5R0x402BL6HL2O
Ed7sKdko0s74qtpr03TfWfmo09ivB/aqe5ujnjgTlW46Y2Phy9Zp+ldMYLQgJAhnVZvyqgb9nNkj
WRzU455HBI1Uh6nVn8PixczrCQwPAgbStPlvpwepa6uGALZnEAaEwSqmXxM3Ybst47KlqB6NnYTm
UNrGBym8yWk2/O889S+Ewa4svTgSt3EnOg8LcEpqvfnQzLHxPqCw0hlYJxsL3tij76AEDIF+rEzl
kg/JUvY2x8K+M8a52ya+Ee9Klv5ftSX7U9dkSRe03LF3uRT1UYStOqVW433YjYyZ5pfRSQNEdiB9
tz9Am8tfU0j+OK6ZDZxjpusH5oXNXrlN9NS6gLF5VFuqWgZpsKswLMmxuosdMRxct8x/ZCp0H2eL
nXyuZ1ng1KVzip3KP7FAc7aGM47bzjCiQ6/N0wWsffE0d8n05BFXfkz1unguGkXFNizZkk3tNx8E
yLtracQDHnzfvmBYr8/Z4I33Rl+Kq23M/bHTG+PdINR+40bVBNHDd04yd7JDA2j4NjdV/EsQwIEn
FvzeT9akpA1VwH4ucz8mFwQz49kGqHTKSSw3yOge9DvPm/SHUQzyCr7BOBdZFT/D/SHw0LebM4+K
exbaqJ/JrGYLjI6JG7yo3Z1BZvMVcy6BTh1cVdJ/9f+Oyyz0v7uzPMtDpW8J1IYoEsAM/VNfk2Vk
+Ih2jg5eFOXX2mqq4ZC2Q3uVS2xmH2Kdq41xJDHG6JkFZjNlhFdsbOg5G6vrnym6tS2TBslbQA/A
GMyocEYnOgxfn+xHK4neu7DHKYLBw75zSj09dXpxdUNS6IGyzXe1Y5QrMGX5RUH5WPEkPTNaqFaN
5ZOKOxHQwy6Wwa+yn5qGWUDfj8XN6Yl8WI+qD5/qcTQ1cJRKzkHrzsxX4pIfzAgQZBseb8iS5YwI
KGhJeJjQ40Ox2QyAQN7hhchkLQfGKzac/2cwAd47bp9jS27NVjOxf7sajAS430o467pcEr07FyIt
Eb47VmJnjQpyT1fBmKQXD/XUneO6eQzBb7Gu0Nn1TPYRQxuVVhkm0LeSbCUw9LOMS1VgxMWpna3h
FDbV2U14/ROWVowLIrbijC3SnilEYRcEwY5O9BUP9ngsh9Haagy0sM859rViC8cZw9hqmQw91DNx
BnUfkW0zj+7OJ14Gd63LUzXDBTyPte2eVZ+2Z7wz/oWtUfwc67SEMMDlNUMv+lAZjk6lj0o1QGdN
hKZXTGccwAkCl86/GCQ4jCsyDNufLjmR1kq4Iv6FuqoMpoYMi2Z5U9TyznjL22Mu71G/vFFkKvbH
OJzENdPK6b6WiTxbesn9HLfDtR65KnGwtCjTCtoISJLwapY3mGiE/sjAD0yQm5VP7Oani21w+9SD
GLdyOQcQXPgnwn+cU21VWTCws+A5kN6jt5whyXKazMu5Mi8njLWcNfZy6nTL+TMvJ1GynEmQ/fUD
XSLC78jhyJoQ77w23twfSClY5JRjdMq7nnSrzvE+0txUpzrU6qPOWuMuLuA2LraW/kQB4nw55Ojt
JpZS26FOnDv+be3WS/oOo0KsnCSIZANF7gCBJ2EDIqqdfSoUJmT82p5P/Cv9jpuOWybEE6k/9eQU
Aa1RoxCMxsVwLd3UC3Rb2mgvXL+d1+YSerk3Rj9Mj+XMzuAViVZT8GOyukP4J7JuX0XNEJ3NXMc8
VLWJRehB5w39hugYWEcN+XgsiSINLaEXxypa+2qSEewnm3nmZNuzHjQWvSyvQVrhze/ETWiDefHI
DrknNN3Y5r5oN01qGYT0NnaGMjss9B2AtDzfaIzqRqbjlY8EvQ4/F9HbuPZ8rLarxp1jbdMXORXQ
QKIyu2qOzbeZTHIyZuPS4GwhKdLnETOkgfGxMxmDST6XUt67oWKrTTrQRm9VHXRmuW+xo25Tt3vu
hrMzo2eOQv2C3a++WFB22KtqYUCNGq+QRoaB7rKJNEIFe86PpnVR1eOKhDFMOEP6A/UMuRnp+GWU
tPdeQ94OK8W7UJfjlRmVGTht85m4n4yS/CO7xoTzRpkM+rgGRAUqIXX1nRtX93j+H9KK7J4p9+6M
EHtCXLi0qkWjb3r2RqfOmZx9TlxpkCSETXraAyHM3HmJIc4a9/9Gn+uvvGVgz3cUrdIlBZYgvzuu
8+fZqBOoI2MM73AeViORYac0IxpuGqvuxfB0RRyYVN9+ZfAMQuKoRdCSRpaiCyVE/V/68v9r2pO/
Ecj/H2KO06+BC174J/8GOs4G5eMr/sj/113z8fNXG/+j4fvzB/zZ8Ll/IBMw8aOS1WKgMuHu/rPh
M/6gp7NQnhhIPL1FyPInatxEyUKPyL9tghO38B//p1zF+YOVJAkc/DisQnRo/5N+T/wXTgeMDgCI
IM0ZVXk27py/y1VkVNQqQTV5aJIkSvf93GY3lziVbs2yslOraerzdF/kBAat3LohHTjxyl6uKzc2
Dxi30o1jsNPmBbedi6GDcOW6TPhfoCcJ0pLal6uI5NtmoxVNdJwrBxIrmg7SOkddRNfKtgvy6S1V
vzu5HpfrykgQEiA3jejYoqL1Nuh63Jd2RPNndO6or7x62OiKISJ/FesTRUiWbUI08gAFSOTOWUdE
3qKRoV/zjT5N9lPFpi4wJ3Kp9pKkKFjXM+NejYmxdydMSbaCVZPeEyjbiC6lLqx7hMh1yNZ1YKJG
CnFNyaBJCiNGLfp3nOjVvGFfjBTNsjTroYxDC2ByWERv0sLwvPO8UH0JR+vu6jQP1yDByj5glDr2
K9FYw0ecttOB9qfAeMW1/A6YpGU1ypYAVJuu30/Mj9ZjYToHgyX0SpA847AeLuliBTTNp44J8hv+
Zo+E1dkMOxAHxJ2YSDYAoc0N41eLHt7e1K0rLmZhjJdxmrWTKHKYWUstfhUJveujiYjSoEZjArW1
/Fr4r4gM5EHJuDWIPdSBZjByJrRXTYaG1iSPuiY5yLa19Rvr9JEIPckey9+mgDq9pxZ+6SKYBT8Q
OnX9ZhKuvGnVsHxY8QGUfsl6uh43/BjrJHxL7r3MK9TNgHIbkXAfD8Ytcr1ogPbajUE6pnJthKVc
Wb0+PXSJ/p0qyVSCVKZgRIh3qFjiBpicTG4+wwQm26pgQEFzRTu6REEnNmxOixYoMxR4K9bZCXKG
EUgcScKPOP+IUdNIJ0Lj4VPi9cWGQO1HtL/RVeTDq1kLpPcONn2eDy4N+6fBfLkcmsPI8HCn5Xqx
mI/ZTSF43QgcZpfIFCUpgK71UIhaOxAXmgWpsPjopPR20HAXVn997B1oGJFmBY4Hx3sOvQsK+vZC
1BoN/1DIcx6PpOXqVvzTGtp85xH780oiSHkdRGbv+2Gh/LLqg+8Y9+yk2+iWebVLGdBXD25jVVeM
/gAkMnvezOjVFuIRd0yUT49ZV0vkIll0UP2I3MB1m2PtxDAw/CpcuxPrZqtKiRVIxaOsjAxFbwQt
PjJDcrhya2OVjIEB/hirIcTrYnT9hdZqZjkaYwVKld0/5XF9N9QN6BV9HlesoWDIsau6hTGbIHtW
HWJakENLqGtlm+gsmyBSwwNSeGbervZYlvWvvk/uMgAgK5aIBDV2XReQ4+veuo63LPI0SFLLelGi
432zyMDkMBJPqJICoQptZRfhz5y2l5bQv0MKSlZhmvCkV/Wpdtwe151DoqGv0aBk07dbkqeOwz+Q
ZM9fRS2KQCuyWYNct4hl+g7+hk3UgCCqUSSo42dVtec01lyoxQTm4kSZgtF1gcUpe37T+Htv0zSc
MQ5YcidEOl68OANZ6GnIAOzq0eko8XLWA0BD82GLzdvdIGqzNpmYyvumTUgydWmjaqeYr4B1WNwo
FBN7EuEZreMkJFQqZY4YWFZJ9BmFy7DSQ1O9JGlHLqgIxysqqnpDWZtt/Ni2vzrZfNdSiLXee/I4
OaHYxlSajDngxjgZwgrbxzQZoVY7TqDLPquaZFYdcwW/PHLDO2vJPSWKEzefSajJqoM1s6Fd815H
34x+1tkAK+8vt+rdv2wHf02ZcH67zP9qR9BJ6cCoSxIifivmL8u08i+W2AqZV5zGenzwzHZg4WmM
hbPuEOrdWmZ/zxRGFmdcBfqSaDV2MGUzlE+l1BT2nhzpSCT99IwN0GClT9b4XjMd5ibN8u1DlzS4
pkZ9ZMAeuyGiDoZ3BZMYz4gPNkGN420iYKKh1J3Hl9YR2YMCkyvQZPjOYJ/qZPYu89xnd7EXc0TJ
OmxhQQoyxTqzY3kszEU5HDuvWasq5jeZgjnlAtRf6ZKfTuQ1HE0/zNrDOLpqR+Z5eZojbdrm8b/W
L9Penlz/6CvcnZ6JNIjkR+ycfti9sNGp185IxlzT+7AxKywQyAJwjBq4pKAOcm91XoUmBCFNgHJu
VnvPaTSW84OBX2IHZQ3x1AQbet/oZHSfXSvxNrQ9TMr6QfuFSEkhdTStQx5V9OSNpWsPTNjqzVR1
9q1Qrbhr2ck+ylFtZtEgcE9qkuLKeWG4p0Z1KxjXMTPSyAHtHPu11GqxHohbDbpcQm/oStSYOo7+
mgS2rYi8x9j2yqAFYZ6q0+B3H1Vn7PqYEayJafRap5/DgM0DAdy5MhDg2zjx1lim24dYzwAb06kC
+yNprtcB/2D91Pal3icf6MkRaORYbXt3OJIJ+2COfXKNwyKGTiicuyGJ9y7uwQPXSoZJyslfUANU
4arFxHmY2Y4yuqxbdDoR1FZYl+VbqiBh6Gb9OY2xHTQMOVb2DCPe4Nm8SVcaj0lkf7mwNB6qmDcP
zEp/bTuboYDmxa1GPrwdzgevN6yIaQBCsZ+5suo3trqoUbwM9fOOHAb7ijRgMDmUbXt69eeJ6Y1f
6PWHAiTDQAYbwKMdaiayADBCKnDw3b4jaI2vXt2JaxKXzudIJt/CoMXuGtlC+8SL0KImdoYxKI3O
3vkaGdBujLYL3ZXzKAThoyzQgKKbfvFollMfM0TL5p2de0PAYNm+uFPcXHqCPQdgAmX0w2YB/aBb
nXXJU84bKUfu+Z6RsmMxbHUczXuSmWWsrEQ4H1S1mct1wkp4PzJ4PSYjyZh8mwZdHRu37GEs5TgG
+LAF/RLDSh2F/gJvsig42g2HXS232UTfH3FigfZqZrJdMfZH16KLfD5OM+Xad+EsgjiQD6pKi9fF
8PgL2Uu/p/TqTI7IRbBUsxNk4WeyLfP6cl8rf+b086BBb0agEozSgYpmKhPXyiqGhyj1/bceQctT
UlhLbGoYPcxaRskjkAo98tfInox55tuVCVfTbOX60fFG9rPSskkw8Fr3HGf5UAaNL+0NqS3txmzM
d1I4kyPOIPCeusrS9xzdxJsKx++h7smpM4xh2Bt6uWVNztU12qm9yzI1/WgESoZVOMHtWbXwtD+A
rw+PBKBbb+HkOjXf6BDWzOMJOF4lEJb3DILEjzkDdM+lpL07XZI+kHPvf9StnJ4Ma/FW4QrN8Jia
RHBShdt7i1VhvsEkaUYrg3Z2m4jZ+eodK93XWt9hsMLQOW3sPuu5VytcjQHLbkRIbJ+vIKCAVZdh
KhjllWF20lABX6zeHdf6bA4/9QJVEe9c671iKWk6yFKmJk4MuiM6DVOPUI6PKoQLNiVFUGsN1v2O
y+Idg1PxaI9ediAQVgB1BKoFKNbCpWWFJckpiCQEOhm/PXLokUSko6vJ11Uol3jraTR/dG6tsv1E
w/2JxAuFcRHmw6VG6rGSZgjlNc/cdj551Ni6gbD6pCaOly1YFPcn0VzGmZRipmGp2WQ7jNPzC1xj
E61jZ7R79HPac9na8R2aLO+zmozucTBooablkaR5yqachyDiJSyqFHecJ3lGggbz1Bmiq3FIgOnT
/0zFGK26LiryFXaH6K6z/fmp0xPtptKJw97VGc1Cr8i17663SnjHhennbE10+4oMHJcZrvvhIiEx
v7MQEJ/44Bim88jLX6qLsgO7+TBDySujt3LCWrklgJ5RPP3Gt0lK/RqEZS43RZeQBCETFyW6NmTD
qkkz+WKA4xqRVk9IIzXdIy479BBBIwRBD6C1E2b0RVbdNql/w03nP/D5lNexYymxYuLyXsjRQLSw
TKiZf5h1MJHV8150FW6AwusQiLMPsTdGNE6HxtLGnSg4AQhqRX0SpNBUGKDUU3WzrDq59YkZ7aUm
Wg9pQST2DaHVbZC7+QA3nzGKiQTUwrhUNp3/AtXYKFaod54NzVCf9DGiWqVTYlkrWSpH8SigIW7U
xBoe7+V0p5rxzdT1x0Hr5FMxSJlseuA0N+QFenU3ZFO8H2bT/nBQX/B/qby7JpE5HaQ9Zpt6Mtu3
Xor2e4p0r1hrY+U9VjpY4dlKkQCMOTcRe/74UDRFDOaNueMpgp6cbSmEtUtUsRze9rVWHmJmxnha
RfzMotM8EjvbNceMoJR05/faQKuNRO1a+nFzcz24m3ksZ0I1CpLhXas9uCjJ38l9mh4byq1pbcDH
P9AqOdGW4PD8wIi4aLYd49v13PN0Bia5xO5NGhiE1zqTk2DG67BjbiY+BlU2ByIzqqtuZCjSfBfR
gdWwkqGfrKnAYtxzCNClNt1pzVisktwev1wRdT+jOtdgCqXEM0PGHpaKlXPig3Z2gK5bdi6CVaQK
Q6mZDCDs0aUsStVLNKbMVPmI0eT5JMDTS9cxYTTFkFH+Sl5sFSziPVwZnjwwguyeLDtPDUJLJqyX
ei7KaBcRN4G635IXT0PUjct8CTjop7e6EmF2K7TC4RkmbpGYwkRXYs15LsgVwVN9V2PfHjYDnXCy
m6SlqC/cakYuQ1UEqcWsCE+tiZbXcx+Bq+yir7mZxan1vEzfeHKaoWBjVkAoii72BBhI6isxop46
jvmgsbxx/SbesNNQP2qfsk3HLfM8SV/+srMRwZ3ml6+2ncUvfjkg5x5MfdyNuraYTnD8Oc7UH1QZ
k58MFvw7M0ZFRwzXCzp7UeZTsKRHr5URtlsEU9qOK0muMcHSx+k0Y4Xp0uZHDFMgGLn2l4XefQFP
1/bTzGpiU5o0kZHvHF3AG1uV43Qms2Z+RK2oX3OmM2tTy6qVH7aTQjWdVg+t44df1VwjomKz+Jjr
E8Hb7JN7otI7jX6xE8nDzFAKUVmcv1q+NlzzzJqeqtotARbNcHr5rPVb4oKA8ss6vLS5bh8HXvgn
1VH6N1qu9pE7ISdIpvK7Yldws83GfuKxpxJOraORtOIwGWH3FnWDdSocYz65swHizBb9AXwkQSGd
KHdmRjCyaz9Skzf3cAXliSQQADW9qPaZkzjvOt/cZyjSCIqoznqHyfs6nI3sXPdlcte6KmBMZa0A
7RURcgbmDG1oRt+eFT+HUKn2ll1viiYXYKAwg1T0mRslWBx2dffuDwToyKwdd36MMQFPM7ESDuIs
fJ2vPgcW/sd6PNht8mW4WFeZVpAG2KRICwW5NrbZH804TPZO1OWn0EvJaC3jJIiMKf8Brq68zBZL
bGSYDX/JvN1DWOn2QAbctdZ56Zbfp2VJYQkkDju/4vL8922c8U8kn27jy9N1PHno2Ay2S3/v4jSO
33LkIDmYQ2JSdi5VmieqiI1RaY2BzSOkAix/xopUcnKiVO8eSD4M/1sk8yLX+Ye6xXUMC1KpwyuO
z/0f5rymD+VUGO50UI2zQ1zSfeLdHAmvGiy/vXleaTh3mU6ew4aknvFhUBX9H5EoiAHUwPsdW8PL
OKHveR2IM422ReozPxMx6d0fjg2yDnuFZr+il83voD7wySNGe/OkBgH790CuGAfj0y2nsgxMusZX
xh/aduo68WgOo/bVxCGFd+9Fz+iDehcZYJS8dYlYaM2DhagtYSiAiPbVayIelCSe7mXlpMQMeZa/
UbOencjGaNZCVYJCQkS3sWqqoIOn8+C6hToBvxOXPo+4Dks7R2Oev5ls7u/xTxxdJK2BuQwt3WV8
Wf+eZIIu5YTUABLGG0au9kP9e+zJapgRKDQi/bv+PRg1sYf8xA7p3U121jzM0Wy8OkKXGPtISmL8
tRTsU2f3BOBFXrInhxfLWyx4TvPf1b3xu9L3f1f90+8OIBky9WWX7FboUr0bAm/6BKOrxD6EXcmO
WvomrKOlnWCa5HzA2MjJsUe5oIXmMw7e/lATKg62kUloNuNk0lK/WoAa9CzAMhZJw9LJFEtPQwoE
/7j0OWE8dfHGm7mf04qFUmqMdERLb+QtXVIcj8m6qQsE1LJhRrlMRANOE+0z/91kTUu/lS6dl7/0
YObSjSmN8bYkRgVdCtEHEIr92JwfHbvN3m0kIx+2C4htXRKYNb2yTONDsqvcvnYz/eVutBxm4QzS
67cmrJ3ypxY7PVIozFbfnYCre/fv31fzv3BDGbe4bCVM22Q/QSbvP+hNfemk5NRynSTUWpdamyLS
lVBmto3IDuUi/pZeQ6hv2FfhZmqqm8fO6xxPFVB1zRlBtHeRZJo2a4sEUyvrVVlk4wNdT1WuLeak
bzAVamw1iZCP1kgOSW2mFjPAZNw47nSDhHUbgfmTdTEaw9nAINqxUJjCL5y1YkvyqXNwYpndEwU4
MdJ30qNwjMdaxLC2wjsyFEkPCCOIISLcGnr0yDsurmDsLzRm5AdoFkHkbqLbGjReJB/rRnoObkhp
EwrjUKByd+j7oXbzOwct8Z2oDGBTlWVHT7CRyl2EVGSDZJUVXiUqlEC0be2Vw0XeeU1LYhCVTLe2
mS2PK85VH0H+lGfHWeqFDHqDyBEa8P9g70x2JDeybfsrD3dOwdiYkRzciffu0XlGHzkhIqNhb+zb
r3+LWVUPqSiVdDW8wAMkFQpShoezMTt2zt5rl/rd7Rq4IqnXUUjK9mz5ffM4h3gMCjvp18Bvso0P
Pp3JZuYGLxFThZcRCa1eLwbIXdCmEfqFCgOIHzguM4ukZWI6hQftSV45BxUq368mfGPKk/49D3yf
7asTwZ6TsI43Y+NPC4kMCtbK7Xr/oEQdfMM1g7mEYCrAYGG8DQJt3I50RugUxN5qjGV/yhLGwJaI
zWtaizNPJUUnmqXxAoqb8d0nrHDLj2vXpuHp2zROPIs+b1k9iCngDYCDvsKOSs+MSU60U13HljbL
fje5VfvSW2Z8b0SN9Vgl0LkAxIsIBU7F0jQOybe5acNNnTv2hWSVWjuu224LZg3gSiP37EZm8qBF
A7E1jXxMKfDPF6m/cFDJtyq4hOEr9sqNBO+1n9iXZV7c+f5A/lJGg0L93ImgDznflFGHWG5wMdPe
EV2wQjHfemedBqRZkm5d782f8ySzHVGCBD/nTGIZOSFnxM8alsskKmgyplJ+jL5jq7T1w/w5tfKZ
X1k/J1kNLJYdhAQXL9sy6dKWYUhsXMOSMcLqrTesbuVLSHcvPtiOMkNMAqXJsJl97N3pMDVw+ra8
ikKAaVuyEBeQHo38k5OBra7ioauPNV6m7TBI81hZmAs3feVwuO4w0XTYhcCWHxJPYbSYaGDITR2b
xYXd2dQT1c+e7ri0dzFVPVdeCXuuDbE4xs9xvbwgVsJkyI1PVTCDmOx9d1eaRbf81uQQMWi9GCNG
RI1RyEOZTs3rny9UDEh/v5u7JoUFixSeCxiGzmLF/6U7LOjM482hrvBD0k38myqtL8v+288P+VuD
8P9IWPjdlBvHHn/9L4AwsBaaXMv/POB++mja/7P60MiZfx1t//PP/XOuLX6jNY9RQUC1ArZgs0n8
Y67tyd88y7cVQ2oTpIJcNMb/Gmy7vzGVADosXGjxrrs09P/FYVim4YisPfYej6Kfu/k3MrS/FHpA
lImntqDEkUDA+fVrnonrGDj/qUag73UpdiISz/pQxRsZpzzCevoLYtpPgd0vg4rl8yhtOTS7XBEU
h18KSzxZwRKXjdwPA8U+tNLkAxAYVjRT0zGngb/Jg7mpVh3/FToueI8sQOzgsMiCDNejZT+kPdbo
zS+37Q8mKF938p+/l+UJzxFICVCVf3lF/AaJUALTez9Y2fcW3RnqP3DfLLcHq3VOkGOKfZHZbCYx
WWPRdCXrTpz+/JdYhjRfr43N6AEHH+Qviorfv6apR49pTDpvX8Yjrv0lnA+FVnH/55/yB3fccZAw
LJBAJkVfwUAuFzmJ5gT6H4sN5+Unz3HjwxBj2a2GZviLC/sH30kiw7S546w/PEi//06Q0+iiJB7n
JRR8OwICM7huuJX+/Dt9WeCWu4efEnEnuRI8w9aXp8oKUrMaZODuZZTzNVIUXjrrbgFavP35B/3B
xUOWpsCm831IKPjyQYxSuKLL4xvEggBWI/kc4rlap9i6aZ79PSD8P74VXWTc3DjSmfD9/tohuy0K
t3HcPdBxsc48tGpRD205n6mL0Nsd/vy7/axWvzx/pIVga8BawTDxK4s0Nj1nrt0Q5YPBrB0MrX8J
AErcMh9WR/xAixiuUkykBuswF2RwYrMJfhARBYdDj9Vtknr13tZ5v7FTRV8fyR4jNeJVNxQ/8xnf
fF5uvEj7mBITTbpxTvcSqfIc9YyhKiBn7WxuOpkoCsVEfSNOrf7HJsX2En4U/8P3HHe8ArgqWIv/
7XlclKYDonZ3H2p0OYk0vCNKczxDvXwwJo2zjbh20lM+UXqWW5IurXtaNt5fXOo/el59Vm6G/wsg
1Pn6ViSTAxWL2Nks65zj6MTXGuvKyhSR+ouewr9/kk/+A211qKKSa/3lk6IyagafFIq9GzAXGDvI
8HWRf28iIqP//PGhPfHvb4cPktn8yQ3iPPnz3/9SZ8ADsw3XauAskG0CLMuIDzUr/tkSarxlupVt
qKvuQ7r12wTNVLohgQAXrULqAkpnHA4Qd7L95LqYm5tOqrsu7uWrpKY9DCoh3tCuuunOb1rnsm37
4iKN8niva1ATq5LCkrkm0pM1RAyiE3K3OwrAKYcygs/p13rac/6uNnVdkSQta9/kPxT0SWVYyGA/
tBZm/NyEABQl8gaXwQiOLmrUNuyJlu1dL74JRJ684ivOj4R2o8Cke3mYfM5GVN3uMa1a95mRj3OD
QDs+zA04DSNg5iUZFp88YQVXZjLRSGxpmgRlfoxkDN8Ur+UKS2V571g1QqBOl68e3W/CRyuMftFU
BWtdMM5zdT/tNEeGQyza5M4QZXXjiZySdnTppZKqMdcoIO3quRz74Kruo+Ax8ud4j0jGe1NDg8Y8
EPYLaVZPmrElBj6jUBdJW9/YPmh8N482lViqZyM/6N7E2o2A1roF8EJP2I6UdyEcu7mZe3AXIXSF
fQPje8/XWaJXfYRMGeryhlo5O/VFPAJRV9l06Xc+NzNOQaqBOAs6F599FdNOHvoPSiauyWAvBECO
vgW+3euqDQIumW11x6pwmiez0f0jbTMETrksG7UKanzZlG0Tghfttw9eljvHriPobqgqY10r6VxW
vSIutxLoDOLQKwMO2Gz9qORMCBhJ5lB544NABwaYd6c97jeqCS5fbzTyFXLLgC/bR1oqehPjSCnl
S1SigIZw6bzY5D73K0+k0U3P2V3SZUr5HK8TDT4emrqsnA5dsxVWCf9xaGSbPdqIjmkei+StAucK
qjmQPPE+nqo7TlMpnfloKAmAr4MTKL11Zjru5xzSCENiQA9mI/AD4wWCRTcT7tlNl1aaV6dZtaqA
+DwQpaJCsUJvrvbWTIGzYj3Ifyhb9j72erynvlNXR7II3JUdpt2hx+dwxXwgjFeJQ1JlUSARWIs0
zzeeDq7TbgwP0sZmviB0+X2joWbuE3lLBBtaOwI4DSOeL1Hj7DoM6acIZwcuTp3f2Xpo12k87cbS
je4t4Y/ov8t2RyiwOgxGEe78Cp6SJ8lcqooRA7waeT6yGbrLKso6tXMJxnjsCSi7wGXxUZigEeOu
jqlPq+q7H9CwpEBFbmCYS8fRSAh9t3qYYeYsh73hKWdTZcj6UuER0YmoaR0BM8WZXoMDoi+x4vyX
v4o6TK4TbQ4HUj+D99RGZcB8exhAIogSV5jo6XDb4kAUW7Ydpj7aGwDuEThH9Vsv85aGSjMd/MHI
9zVU1i2oRXPnCSRhzBV3Y0+BOM6mcxEQt7kdF/xP3SXOqi9PoYy9i6ZAUb7O54GDAj0QlOJIzib6
7lVthjcGOKELHFf+a+wp+8GaiSHNwpAWdh1AX211DfxHSFLQmTdukerxKnhGeEK8129USXGcW5LJ
WNk/e7RZTl4h0jW7HjyCruuQT876qsVU1q1LZ5gJWI0dxH41EC53ASk6HfTRMafwtuV83dhVtO0T
d76zKre5gtgQ/xhjVlxhIK1jm4/3VZWO56YvBpy9RvBchkRJdbjvH1TlzLS9JmiEyAyuQj957pSv
iG7Jx8U9Du1AnYMsvxVwv445jMDj0DFUD9KENIq+32cdCKnCVsOHHgBDI89I85l3zTCfR7+yr5ys
uRoCvNFeycBhHATTBWcyLzHQOyH96CjDo+GSkpwVw65AuLlqzHbpVCKHmOu6h2eBpGBXO1AYMcEQ
WKuNz5FWRD648p4iad6jGaiYgPIqK1PsadpLWgSFeYWXC4BqfWknSwaXaRCVwwq+pwv0CoQV1iHf
HLUPCxCRSJXTYnsAwRLFBJaP1gBQoRtAngxdcKtFkG/dIMRc5jlXTtHrDalRM3HNCmDk0FXfAz/w
1i48n7Wa5rOSlbdLBq2GlUL/+qzdaNyaWTjt3CoAOOOJEGW+o/Gbr4pJlw/UZeM3SxMAnCk72Nfx
gFWcxYbIcUBqJmL+O0SU8qX2hx6s8ZhB88xUrkaW8yqBvI9W0t24VREIhGx12m9VwRUB0ze750xq
ZD8hi9dTH9XND7g9EJRJEMETxzBy9Ha4T5G5NPPnZMVoS2OA9ZAUXoH2FEd+3Iz+amx2GOucNfFI
NE+n7Ja1fyNYfK55CStsjA20Z9tPXyxhVyeLluXK7GaSbiZM22kWRoiqUsaVyuM1xrpYz8F442bO
Y2/FAvmL8WADhltjpajOyii8XTMTOECctKldFLgDT27aZAyUneoOUv+dGzfVoSjxHfktQdVtkyan
cWoc4pg7pmHwRFjlO13tFc2bfV9Z1j4sMEmxpJDyWwMkGaCYXU5tbp27MovJCY70S+E5zRaFC9qA
KbnQNasFncXikw0p3iYau/6sRP8Q0g/STAbl8EFHCppBITR5CzV00hnCDzWjnHaG4RUwQYr8OMTN
Z2FZxWkcAvMOOUS1Q6h2joHcn6ZZgh/zbfR7pmn0j32ahp9yThmJcG9uKm8SR1dWwc7QPrMImYW7
BkEo/efuGgFGuMuwySDNSXBypUmHCqSHBwD6cFrTWcP7mYtvyKQ98uIikhu8ftzNgURpAVpNn8Dq
ouQcLYGZFmnoaCXzrhhjRi9TjPgC+HY8gJdFwAwBo3izRoupnLbSdqdbrggu3IxUMd88OhECvZJw
pdTpnqd6LK7GYrwes6J5l3nZXValzcDUZHTL2fCaUSSxBUHTvNqNkvtcVP0xl+TKFMajDpa5bQdB
ZFvpQJ9woJBjU47hJuwUM+RmbJFED6TpsAkexhLR2ZTXD04ZgciIPGtT+X39XulhZuemKFhZeEvB
14XDprRYm9NChdcQ/sJvZs/oqhElcvScgS/KJ9BRNDL6M6OUp3LS7QpRNjbRnh73NGyLiHUbBWu5
zbpxUxeoq2C2z3vaw6jJrB7XVOleWTN6DCuO428U9hIGTxJAAA9KGIc2zeN81I9NYsQ7BsPbPhVv
WsWHDnHwMeumeuXSLT7ATQFfadLFhq/nHKBLzfuMROeOpiRpg+4OXQdElLI0vJNfYMiy7NiFfHYP
+DzfQK+EUzdgbSeBitypMd16oR9uVZRAWen9eI9eCsxfvihpZfDs5uiHS8HbPExqOyfzAVX1w9Qi
P4FKgcqwe2QO25+jxXbd1y/QqdmjI+MNXtGjZadXOlZ3IVPkVZybN9nofoTpRz14/b6KkQOJOETj
Dx8sr8rT4veLmcMY1kyGJTODy6w24FX7JuY7n3zZwfbeihEgdWjla3aptaaxvgcQlj/N9jutuGzn
WRU84SHJUfCVGZLsCahY3sT3XRHDjGv0Qz17j6pK+Lt6xdv1fSzkZQSBwrEkGp4cOnKX1clO57gN
Lf8AM+1+8BIYidWRdJFsLRt9bauU393qidYt+4EZwIR6aUGcWkaXbBxJ/yKqrKMm8Go3qOw24a3C
YRz9oO1wVDAKDQJrV4ZlrtoK8VEF9f2AvaS/0XR4b9A4Nh9tlvk0zRBrkt148mOpdn0wQLIagh+w
qziYc9y/bxcv+XLI55U1pHqLMFftcsJBQmaBuxrR9WlKM7G2giFaSinY7Y49ueso8zrcGlitAVDX
K1/rK8upx3WjiYrNSmZHOCedvRFyRGgGZMcdoX1ZyBdOLDyco8WgAKGW3swF95tza7EaDPfOU+GN
Yw8Ira36OxDKXdNS52tF9ZmnFvr9gDUfdem6sv3baLav4Bk8tZO+zlXgrIgW78ChEAKWuFl9jKK5
ZNPXD6J1xnWNkcUak/I5gSCzAclSYtH94RrOE3aado3VGexq2XDT6vSxtOzuPGV9/jjSDGU2JLND
PSDEBDsJwjWAWVNWgLHivmv3ESZFlpQiObko8xBUAlqq8oHa1q2/a7Pr90RI8E1FQvZM0t9IzGmr
KLcL5MBZ9+mSaXkTF6B5ambguwmh1M7wx3YzpeJKc2bZJZx/ToMOKI4U6kirPoP9QTFdetVzVBpy
j62m29NiuYPIWuyCslrLPrz2KA9vmsrotiNrxxa0nrpCIZVS9I+cm2Ozrq5nS+hVHY/pTigOx56u
n+w0mbcdOoUdRnyxUNp8DLxqvLcMzdFFl9SS9SB2oP6Kt5EvdXJrN9sgqglWuKbLgxUZ3Z79VlxD
UQWsV6T6lFcHPTFdUbqwrsRUZfASuuQqhVD7iIVaPXqj/AhG09pYlu73UWaLp6zP2gPAWuOuhK36
Y+DZPre1h4k2tku8IraxJ/aj3zPjBpGR+c217BqMKbRx0OlGsCOrGCv8QDWvqfsa90FgmDUAwNo7
QfpGughZvHVmN4jZ0U8T4JdnYjUKInkrSsWQjtdbgPJlG1fmtI7I7OV1EzE0YmnTq06olRJBzFKl
5SbRSp3Kup1eunkiu7tW24zXdycaszsGDkTvIZHMT/NwPDNPXdI00vKE+aYn6kd9i2hErfucOz5P
vn+A8GvucJlaZPsM3b6wmvjKGev6COZ0C3lv3DGhlJyl8voCWWS/TeKaulLa+ZU/dBS4OotIdjOH
DejI6FjOfb3vRkvt86yVF3zOwntjKDpLqz8EaKawYProuJmRb+yYap4D2N3QWDYMxMRcq7F9H9F/
PJtp+F27c3ZVARF5yuL5neN4fesPVRYhqTM6Umo7YgzSur/A9vBgWfKJj21OcPmODOOdLSkoQJ1h
o63rgJabNWLh4EbV0bUlDHpDum7sbQ7+6eDni2Arj7GNeprHpyjKnYyKAGV4YjlPoEZM9KFF+bRQ
7KBCFoBPYLrBhAUGt54gX3yjV6EfmC37SEij8jVJI/s27mNxtio499HE0RCZXFyfkXD/qLLcv6Uf
p1DP2i2BGyWUxWBO1i38ahpMnXuZNrq+1KiOtsof02M/EiRVVoHaVkhn98DOCWxvyFW2XTM+QUBF
IStrhBQeXE9syfP3oXHEgWya6TkqAD5mSVLT4VA/3LFgvoyxZO3YZrhtsETdZHYAe7GfCMhaTEye
bydHHr9vvqMgftY6rA5jaEeXoC2T7VwU8YXV9wg7jJSO6gV8UuCoDti6b1MinPceVYh1MuaUnOfB
tb01aQ/us6lHkW7B/I9yW3dR/FnwkLnovaekxHbVTvdzjuwRIIVRB1vPGFuEO2mdPQ9KdlsDNSK2
n3a+F1bo7Ms+Y3ecUmfD1OQuUR1rpl8D0YK3sUswkWy8hZyNDb5Zp00pH4JUX6Rtf+3BKTtlRHvg
IGHv4F3N5itd5/42IXWWb+HOKOwijXq7dbPikQ+qH3BaFmTgsXaaRX6NGDLdJbp0L2Xk4802h4hl
zms14OrSPrUyt7YzslbAnkVFWJoM+oehmua7NOir+zi1nSuR+2I7oHhYCY3qcjISuuxNVmYHoIAj
xFM37mBGBzPC6slkTcwF+y9mPy9fzX7eg/IcjG3sLj5oh+SyNf75YFe5Ib30qUqJF0/ZDNAPdEa5
UlWT7YxgKF9Vimh1uSfpvcv6c42fpvuotSRwOeAwue+41B4pcHKJRrDq2wANGkLSW8hE+d7vo3Et
6V+iehGM4WV3dkJTbujk9Cj9SQUjTQ2Za0V8XzDAAQtYeJkj7Aw51Di6ymrvQv8q46SEPOasfcNo
NsaYynLV+1V6JcFir9KqeXSrOIk2kBJIk8KI+ao4Sh383rMY+gftdgDJw6ys7QD8CJQkaQ4BMTLU
dqxKfqs2eh6wla8s2Y1bw0zFntbHO0mzzlGPxLYV+Ia6KTpUQzvs6dRi/fMCcW4s3WxtYntXujPS
dRa7zkG3Gu5MlFYn24tvFfzwLdSRU+CIEZAmWWtkWEQ5or+gu3KbxPoxFmAFNnlC7gY1OAzgthag
ZQIYjBeAbLu960JlZfES3jtqHn/fTVb5RPuj/Ka9pr0NB6999nwvueHKcy6mdbcz+xp/nZMNa4W5
dUcybrERvfXRRgtaAdXkjUTXFayEnwU/6MFS4TuUXBcaUS8WWtY8Mlcb1yU9JtULSj2siJlIC7+F
suMIc9wKM5gFvqWRsWMudcSaaZf+A3tpBxsEgaK3QrbFMTgtgno+tv5U4tDLBSNVrwWTAIb3qpVp
8pCqPtiakVddNvg5N4FYJi5BbHyfMGqOWRxts6jgp3dDc4sOh7w+ZBM3tEXwwhQNQKuwoaMnXXek
iU4tSzjoSB7LTUkARB5ZYsWkZ1yTfrWRpdPfBFm2aZukWZFZtOUEBBm1Lj+7uX7Q7eg/aOJR2XbD
JZApxBG4cc35Odfj09zA8iMJzdpFfbwxSNJF89KG62KK41NY0BNioHMMs9h4bAYj3vgxvUva7uk6
jub4VAJnzfPI2bUFp64KgOjBEz6H2d4xaLxEtX2kgoUBDJ5LzTvRsiuuisYriS0pBh+fiUeOo9MM
EO09I8JBxlTFuC4a9IE7gSEb7IjrR3c2+cQXFH3F0UpUsW3jqLxT/QSzxG0VIcRl3jClpuGhgtXc
WS3OL41cxoGXdi/CsjrUacghsua0UuAbd+oT5jfAKZOYiOPymnpVhbQ1xeCqZ77XvGsBhCyDClk8
2nPf2suJJQPIEBY0bubKfp+siqIXHrhPzoY2rTWdxfLBm5bFMu2XFnJqB/anozCKrAbPM/YJMwS2
N/olT3JM3ed2IjqtTqbiKkMicMvg0z0qy7YfhAyBsitpRFhoDWcg1Clr/BewzgWFjJHro2CHEzzb
IqadpmjadZKgkFVC1hgpkWhcPxzt2A+Ql8RjIJLyM3U1eKvWb/IbXWELW9VVIrDW+k76XhlSHINx
Gg+CychdTPpBiDHCaNh3CvV9ch33RuIS/5G5ZKhBng5vCB11njvD7jkdg4F5TXB9nMB28v/1QLrN
KjM4MK3HHICpXxbyzi+kV66BbZmvTRlah6FuEY01XrSoWQO6EV7VhNhgkawj0NotYuFH0fjtZ6Gt
4pEhUvCUhzkoHd79rdFw5QF16PSoqCQPk47np2Aqomec4LyasDrbF6s21CtdYOd7hqGE5J8ZCYEd
w4ptKOFnu3e3mkfkVBqOw5ZSJNvcncZPa0Y4ZtC3WWtCOfCpeA6u+0rbj4bMo6ONpOqqHgZ4l+Zi
xXObAmmdF58UbeYls7MtSfWpg9eZJgsvQJFVLx7BL6eZWpuies7qfUoBiDY0b4iY6OU9m5f+6HVX
AC2qxZ5hg2GvpKzDLWUe+WCp8T2m3UO8OzIKejcCwK8ZQo0L0+QaHQfue5Z9TE5FmZ8Zl7Wc8kL6
XTLOKEq0lZd3MLtr9GZT5nFxJE1IB7jwldUO2dEZJo/g0Kg9xU5RvicUaaQCmC0YkgSDL2hfL87u
G38QghDtvLhiwfAAasXcOauc6mLPMXm01r1VcYoucplAn48zUn1myBBvZlIP32hYD2chgupO9m7x
Iasug2GgkRtCJv70HeldEUhZXoaOCzDNMnv7E7xD8YGkb3CAIBTdi0Z68pwQ/eOuMtutFaE3FVgb
4oydYIXJRB14VH2UgrZz38gKQLhXkIYE76kRt0bdOo+hm+fvOqwfTZ+uqG6oSPqphDmDi9nEgSOr
9IzQcnoFcB2565reKTKxmSQUl9b7fGha2noS/WO+4xjARe6QZKeISctZnJKocnLwWaZg3jAG8fWE
kBg+FVNX1ohQe9hHo/YiSti/Nin9it0wVzw6OU76DJ01mw1uNgbRkMfFFfK3kbGV7qxr0bk07Fy4
XGup3PC1q8sg3UCMe3bMqUyWxOvo2Od1cRtxo7yd4zXOQ8OAcNqi5MQG5g5Oj74vn96SUA80V7LS
xRbnwpRdMzGGi8vTnDT7wGTPBIzQjGrt+lp976ArQX+n5L8IA3t4UO2ys/lq2IdYiCBZaNM/he70
o67hwDE5HsYVR2veE2okvgHDBNNS66Jiy6WPPTLHcV/CbM7ea/SjtCxbSfr6hFTENC9lSwuTvcBB
9I6K0Ik2Lh3sn7YMBh42/+LebPse6eDkmBqbq42HoTNdaLlgzxd/hpm8BVD9jpiEpbUG3yDMjStE
jK82qN7qyQXaM0IwWPWMbqaLNDUAeA+tep4rpg4MMTi8wRPP00OdpfZ7krXiYqodzQF3nsz9tAT0
2mmv1lnSTjuVMQTikdTHIewYlLkM0844UUa4Yk7HbtIEzRJrCFOttIz6KXGjhYtKNVFE5afdm/6F
NBz/lKC2OqP8NTBoOpzWprqpr6apMzbMajnjT+nOUeD5gEiYGKLjIoIl35SflYf6eeVnSYy1W95k
zH33FgbD+ygHKQGQ0hgPSQ6AbsfcPtrpxnmVEKluDZU4b4aitYOX8XKyzOK9k3ayEMkycZiHwqf5
61TPeCyAjoWFeU0gvHEbwij7CyHGIn/4veTFFw4qKDZuCzCws8gnflEsRKlwyzICOMGZnuEpJ+Yz
dPvoJmtLKAjMZsUNNqbkQfQwmf7Cte/8kVwCCQpTUHKbEN580ffMlqG82B+9/YQh5QZzVH3o64Yp
AkD3vT2MAt14xNZaCETJw8yWUnddviv71IQk3rylZYNx3COMAGwi9gDNgEmPijQkynjmzZZ51uFg
05bJlQu2IsfYXyunOJGpOl+1TXzdWD2jCklv0Eapla07iHesK1TA7PVAfYsutfb5mBqw2sgOVgFr
WVeDAxSDvB87DgdymMxzFau3RGMUNty+xVzIgp8U2i0w9S9SqdH7q1Bfa3HCfLlvPj1bh+BVi+6g
u1zaX+5bzqPE5XOo1tFQcm4QZ8cZgQd0yXTUJpKlAebzZPvM3c2pmy7ippt2fralClg0BsOCyw59
d42NUHurLldbDCr9URDhuC5G42JEybz1MuTRsZ1Ay0/wTvyFXOYPlDlYBxB9evwTfc6inPvlK8Ts
JWXv1/5e1GXCEQdzU4bdfYwuZqO9NcdebXo25zUZt9HJFKL7YOLVHWuxqPVouEl8j7xiC+dHo9v4
89/u32V70JYcwrng5PooU79c35AenjJJf9mTYMUaOsK1vBQEwfzFx5hLzuLX++g7KB55BVjazS+f
UzIwdpqg9PeMP8nq6S3XOBBu0G3GMVM/LA7wrJEprALoNpug69VtTBE6bmiMpxdodvybbPJSZDO8
LKXU+Q0+DzDkaTAbWycW92WbNo9/fmnMr9eG9VqYUgKEQtZL7+eLTLMiroWGBM9e31gsCrOl5Rpw
zAjSPl0MHJHz6Kc3hYiLFwTl5D3nAE2iPotOkzOpDWKG6V1iAvhHlPjf0l//sbL6d+Lr/5lE+38X
iIyHdBES/2ed9uYji+JfFdqMUP/5h/4h0nZdmNLL6wgXlOxd/vdfIm1X/UZDZIF/mQCnsfgA/vqX
SNv7zUNFy9thIgoVyuIVb4qujf77vyzvNwcZnO8vgnuTn/i3RNr+17VCeOwQBPmhuWOX4rj0da2Q
Zc6vV+3jOpqnVTUgo+v6cHiO+ra/scfhvjNq4xYvAzCCCKrQxQRKnQmBSZCRxA78ktOSfa2rIj4G
qd9tif2Ra6bJzIWdFuxTFstvo4IdxY+PVk0ylOcwzrOPRAHG6Bq1GWbf2FZJm24UEalnwK/BPaKX
ggQ4s3kCEpG/Fp5KNziROYwFaXqeCnmbFiTQZCb5xYgZhkc7UWIrGGahF/AhdKRtcVcU/jM5Tcz+
BzrDhICMW2XgYYf8jp7NstCUNSXwxqm6E7kd4ZZGyGaXrQ9/1GCu1LU4o6BMbJuQmj+kab3CxCcP
cZBW+1b4w5M1AQQCgpV9+kGpL7GLRD88leOqmfA1dnR57pPOyvdJECA8dZTtb0iZcGPwyuS4rRBl
m99TAmvWyqHpKSoPWaw5orpizFjk6wbP83dsb2zUGWtqjNijFy+F6fqQhkgIXXmhWdOc6eWVbPuf
xA2yqTwja8BdmBwCbG8ue1qIBSqhnw/5/18S7qfy47//6/U9j6HPNm0dv7W/vt34GQQVw39eD86d
Tl5//MEf+edqAEYeqprNG0yAruLV/n+rgc0rL+k5IiRzqXl/sWzY1m8Ln9D13WVD/91i4OPYsAhf
kLZ0SYsXf28x+Pm2/7ppMohW0iJ2mpJ1qVqXovaXyiEMQ5zW2qI3TKrZoTbT7pUpOQMrzw7OoLea
i6ECgpkZTnEBuS9ayVyHx3r0kgvSHmDkSskDCN733SeGcA2P09ixO2NMH5Lxwkh1RK8cJFMtZXBy
cpoV4Ti/Mr05M2va2B2wATXmF4YBOX3wPXflFkG3qv342p6QL5Li9EgA1nvgEB+EWO5Es7/aW3lm
AmYCfLirmKUQcenF2zhxzYdMxjgtqjTKTqhn9RUGqPlGm27+Rl6mQNLBGrSgFw983nBT+qRRW4tt
ZVUqJ3y06Oaua6Mv187UYTiFEwVnp8sQkPGpQW6H+QrwQ0mEJgWeUxXhk5M3w9HQhb1xFYq5Suco
udLilWlCe0pMojcGMLU3EJm8fRHJ0ab/UnA4R6LcnSMMugcD1t1FEQ7dLf05iexEW0SRtIn1MKHP
COtxvIthgV83kUPXO+iLvZG7Z4t8jYeWRv1HRZrlcwxf7xvpj/QrhOefY6+yYb4W2N9VEN/1SW4d
fWt6TNy+OtMRQ9uTVvKIkxQ0OdyNyz7y9OMQjGIfC2EjJQpjLMMQ5KoqeR2qEnQTwC1iU2PThEM7
uP2d4yewqMvoI4BAvSadBEx0p6pnFU+E9TpT+abm4HNKJm/euP74BKflkEby1HVWuo1L0/zWL4gG
suLTc+IO/rOjxvKSFgCUwpwma9dxsHZSwRaQIjNnI4nkNX0RZhD/l70zaW5cabPzf/EeXyAxJICF
NwQ4iJQoUVJpqA1CVwPmMTElfn0/rP7Cvt0dbru9c4R3FXGrdCWKTLx53nOes7Y+iz4iQZ+tO3b7
1k+qG3AGzGppPx8r04nPc8meD9cWvQPCF5TjGdZdp73vuD8J6418BQ8PEQRPisI5oHBKRWtce1Ta
kCjZslRLQCMabb3SWFpVD7THFucgXekdMlaNi7IU94RCIOixAmLrtgLA13ReJ+Z0vYN2NLKxTg1t
j+zPKPgFYSezgjuKgzi906ZV6JKxHY31NKAryp9xdvzzMBKr7Kwu2MmBhpG0gWUyMAGfZeBR5UAU
OCiQWbLMw3Ome+85IJ++a8uq/JApaAepMi7KrjRiTI+J2OY9MkC3ooesNSLUoscmNLTZRXJszK2z
YnlJMt3RxN7og9WN3r7MsdJWq3fP83Jf2fioPZ4nd7EfO5ELN9kdWNrrpd2v0CJbnnp9Dg+YxWg4
W81fbqr3tLlkp8RdsFiNZnFpF4l/yFAohDxLuQI7O0kSdw/utz4RvfHfi4wMEUyyerqIrJsf8e+/
w0qmIjuBLK5uVe195lMtH9a48A+wiJxdj/Oaw+f6FWF62OEskP/a9ZGF6CMZJyoXy36Iui7WTwlw
aWgfBYV9ZHZh3VRftgumMVuZDAAeh2KU4IJlO76mzWzBHCKL3hf0eXpNDq1O1+JkkjY/ot47W3pZ
ve/BL2AyNtK+60ebD5PpiW2ceQF6PnxVcIIWhweFh2qaUB3dZt3xPq4xSem53uRru7wmVexT7JCz
LimU2lnwTI6LZ2ShV0xqPzVcO4vGRXcRSskbAPPE48d4ffCT1d0lnq02sZ14FDvoBdmM37YuXDb0
a03ow0iHfRFgiTBirszUQTl7awTqfB1F/mpzqO387UbfDr0pwsoclqPJ1udV18ASpqZob8EvT0ez
W+pjXc7UyVdB/RckwuE0s6BhcVyYj3zI23STge/blHOHjRsPqv1LZo1nhYMmhlzAL6MdzUn9s0o4
+GAm+PYunzAFL7jLWf9Xv2wc9lsouHtqyTTUJ3XAuQgbo6jdNxg0F8pkzzrjJ4/p+54ytiqTxnG9
+jJ/65NqRQTzARJBJNk1DSyGuC8DjSHIddnXpQo/6cjnfwA7rzJsxUPtsgP0ym1hjuUmTQIQSvFE
HNm7HXOXBkaoeiSvnFO+klBgan6q12k5ucyhDtkAZ3jiEptF1Th/Fb5dHGac5VEcT3cA8y+5jVO8
yIEIIvn1YQY5j+UR/iibGs297XKCQ09aQ+KK3XYEg/sdJMMlnbxfuWT4hNxnwzcvWv3W5hwbcC+r
3D1M2JBCtdLZYQ5mpMq4ZwS9+jbNWP/OGA8fTclEzFcnzoXzYqItAMcue7hnJKqzVSXbxlCwrog5
bxXkyI1bxga+K5Xe9oaJCRUkyY2XS1Iz/OSvbhXY7wpsZpR1EL54SrAgjdunpDT6ve7G2A3FNIHG
qghYvC2rl5w6ZLd7j5LsUwM79rsKHPIr7nJ9DOL6K4uq3ikXDZsrbgCZBhWsWsatNMe30ZrOcV6d
xjlfz6JK7mjmBVLBJyWM2b8TaKDiyaRsj0N1EebR6DpWTra6tQHdVAsWRgtpeoMXhiRlvu+5N+Gn
oZoYywKgdbEON30FxXvxWwrm2RHwt76FImGDhbjgVSyV1T/Zydzdtv63t9jzT+bp+AzZFJZV7Fon
F3tQzS49G2REqdPwAaS5/85X049abD0PokiZtLVcOh5v+bQ+V7U/PNOuaxOR0EUFLLfMugu9Jbiv
Wre/M9BeIneoehfGmjZfOHqugPp4IfwClnG2NBcVC+TXSj1fNM59HmrCck9GkS43la/Xai8TTWWb
narnNr36fTv/3jfckeJE33ghiLZSncCIkpjtN+y25bmtvDI0FGHJ0YFtu7HtKriAu31ZvOmhQahn
X5Seh6yHB+BfwTbjmxh6XIkgku26sC9ITs01KIRHGC/RXQ2+Mdtqs/TecleV7Easm8QtPvPUIQGa
kFPKTmD0Dqzex2ier5jU1WHJxSer4T4F8rlU+bbJ3WvcD1M0FgNtmI+FmX7yQHuZ++lLuc6+W2Yg
jEnS7RKQt6HMceG5ehU8d5nC4nSLTdyLcrnquxYTTBjjlIxs7XTn2E13Jbu+NJoXBMwgdcYzTTWI
+W03Y7BQeQvKzLSfOX79W40V5FpsZDhbRvga7DNTp5OesXZlQFuUEWXUxh26VZkXpjj91OTlunOm
2X2AjsEknH85CQNstTjjaeQXHXbleCdz1dBCBG5eYfXbuMqCWgnl+Rhb9PxRBbQcbGMyw6Y3PnIt
2wMOtvJ29jWP6LiTW1pFWN0qHPPNmrq3dNOKB8bv7uh7k3Vomzkh+Z+fKmPp3smpeS/USvsRlJ8U
Sq0GfsFqxX8ErtHeB7EQV4f1h1/WfL9BfyU2EFuCU3iDsqqv9823TvYf3dS4UUY4GWgFRvQBi3ps
CuPVzSr/ra6uXpQuBa4Hf6mSbYJ5Umcoxbx039DM6DTJhLzMWpObyGuTAvCKqIjsivIwdN2Bq4U8
gPCTvKhVchtjq3yAFoZ9pCkj+1rb3qZDd0uYpX+HZiKiwu1QUnvZGRw8dhpaM2gDEXc97x16B8jo
xeGME38nvSIIsbW7GIbG+Fet0+5CK4cfEbSIH+nats+SwsQbZrD5sbHK+hWEj/rjJ93AhNWPloFf
b0IH/GpAFOEDlvVP0LbxfsG/wAaXCZrlknNrCcr+qPmrq4/MylJqga/Vd2L2rRNLiOwpwTGesTnr
shdlljwyylZFGFOTs4BWt2e5Y56Fp/lcEzjayFSpm5hqxIPpgcWpnVXQg+pZ0WzM1ZfTjcHZgPvw
ojHaUzUBUUTao3oPVJc8Fl1ePjXwkI5s4DF/5iKbeOnZS7XcBLZ8YsgaquvDtU4vKnd2+HYx54EA
exkhph9gBM4kIaY4lHNXnx010Kdtut52jePvuZ57GJrY43d1qRndFlgudPb672Lpbfh4lf04r1Jt
l0F0p0TlkvlTsq4eXPc3V9Zuu1ZJ8N0OsRUFXABvUhb89zLJsvMk0uzgOgMDuVN3x4boM08Nh4BT
3fkitLKHwpjrLW3ZoIdoTzpmhnABNgX52Vr7+8pMacteXHYR3lAd/bUY8JVbwc3gUfOAA6n44Qft
tnHQeifq0unoKAdwsnOpf3D6fg74FEna9UnYzn4SiX4RsLcF69Qp4fws6/gUp8mZUAOTowjuLDiV
EbQFrE+0or5mBnHLeS3JXUC1B9rv3V3LuNiC4M42K4rkUc9P10s+e/D6u5vbvetXwanBTUOII8VR
QdjzJU0BbW685VpMxGcOtDOOdtlB4B/HHmc5I1jY4Vr9BbBOxNzlppfEdOXG6MynXCfxzol31OEC
POiKY1xNl3yWkZfMHC6akZzmayMR+gyMvdsNsBA3tl7uc0f9dQ00XK26+ZmO9jUiKqOibug87tzS
2ferIHddmHUbujZv1JLiyqHPJYScFISleU44P7cUkprX2SDbNZ1hbKfWsLbc8+KDn1clfcZZf5mu
+RQzJfAyEejZQkWuDjwp8qOY2nrTTZV/j6XV2SvahsPaTe4mMjnY1XuTxNkyinlTWhztFPJYViSa
WGF9CaxXy2J4IhkCUQ3OcdmUmHlaXFwMvoe0uS18wM5jMs23FUdhgetmmZ6Um9fvFW4JcJwQvD/7
uF5hi6ce1ACgUGj8tJRcql4A2nFI4VU3dAT4NMWneGgA5E3npirqcz7k4jdPwP7cGiXX3LTnGwfE
6VPnKJYkFAZ0WupaXrArO9tu4t6yYRvL/RQrEvujvhB7dh/D3msT+QgfniDNIEfCSkia9uI4e7Dy
/SeJuQCPVjpm74iYw+dSkU1TYGcw3XF48tIEp7gTzc3AN3kILHiKk3RwLDVqiPgCzht36fmF8GL1
NHSzcy48q9kTSQKVCGDo3uZ3erEqi2+GNfVLYs3fbZlbW25CUHDJpt5rwZ/GBbc9i7IJ3cCFZqRq
Q9zztBVbjDBYD2Pc6Vobt0ZuEuIpnWTnMVhsAtEZVPuJAGx05qLxrHB+zmYbeE9euRjboIJAh0hS
YYw0t1a/UsGTuJxYdFEfpMaFQGq4D4OheV5k8dG3M9blzMCvnH0VhZPfeB3EMJrYQ7xNXbsB2KW4
/Ph8hj1b6Lsx0L+brjaOGAvT/wsUzf/BKuT/pSWHxHv1nymap4++pmaz+Pi7qIlAcf1X/xQ1/X+4
riXxvcn/sciYv9Xw3/+b5/wDIRPChM0akTKNv4magj0GZSwwCX2+lPd3Do2AQ+NZ6C38F5pXyNb9
Vzg0/2ER6LJKgVZqS5aAsAqu//1vmqZUrtF6QzBsXXV1Uul7cLs/FDLuJlYORjxcOGZ/iFH2/5sl
vO/9+3WeROK1hMv6XaJ7Wn+KX/72f05SF0wzhCQw00GPMOYRBnAcnkWzi8HpxjKBz26wnkL38zJj
fVxUu5Q35ZSu50xggqCgRi8hLMaFskiOtbfG180Ji7pF7jPTGHKSxOVTZirtPzhlt6jNaILzst0Y
uCDB6v1KDcbRSAa5S1TQrpua/kcKEhKyCLK/n5NSRlBCPnMTztVYkP2EpRgOBtQMr6tRICtO/sRk
bWKZpyFdEA6WPuegEqwzloXCbNEYzKOJKM6eMnpvMy75fLb9/DkBI7huECXUngVNddFusy3a/Da3
c3VXtLwUC3ZWsF14QOhrKzL+8ayzAhhzN33S2+L8GjxFf4YayS2jqPS3LGG5dKInbuDm0zVFcB5M
7eDmEJaB+GazCB6lOwFIXlNCe2WzF7M1XjS26ShucApTn2BzrwdkvNMrlxA0ZMO/nw01/MQLzV8b
yscZCZJ8CL6Gln3PVs/SQHQNTGpCV8UfLd5jUQzl7lHh9sZ95uiiJkSX5D05Iu5s0ADSk2Wb82l2
jZrbJsRPm/zTGbXJuTc5YNOtVWj3AWacx95HmbeZwow3tkv9sCS4bcIVJ1W9WTtvOEqvQsdhAq33
jTMutxPG8x31z3WY84jY5dmwnvA5t7+YkD3aulsF7o+9IgG3Bb+1NRi+sfEKKHj7EZRC8wCRu8k3
qYOfjvfBOGC1q7sqdFQbULLXjHSr4inCyJia60tVWmbRU5KQ0PxhaUHSuC19fc/fm7uNNdfi2zU8
lyTPOBEKdIfgIZUzrlITlK4bjr3MQ1cYw82IW5a0Yt3kE+A+LlQbxYJk7/D4baMmYbZ19eRRk8IN
KI7kRF95vAy+v6HJLqdIwGv1TVyRcoY54LZ345gOv2FY8EaCo/6WmHRJxrDEP3llskdV1MG9V7jY
gTtdajI2zpi+Ud6CDzgbs2RnUePm8BwU04O0rtiS1UrFAfQwuDxNWOA3wz73FRpOlzB2pjIGBAdN
Mkp5uGytbLF2uSr1k9Ws9mMt/KKLZmENK0s94IJMKNPy2dFJBho7mdvLFIvgt/Kb9LXPePW2jt83
d0FZEnb0g0S+TAOKF9Z9rNmjnS0fFd2Vv7jO0D9h1b38wB7fQav02EgKxFI3lGXeE4MWnfg2ULOe
0qGtXiY3jy9ysb23erxGOjFyA2dAiTOfE2STEbV1IgA61m711MiOtIweSXnjqGpJA+TA4iJlU7i7
y2Ax5LzupYHfffEs9qlS0qJiWv4euxUidwpXdDPBV6F+lHFknyKzP/bz1IFWTszytBYFT+KG6WDa
FF6VEE0rZ2jprVaU7xV+8ZLrKz+aNFrODgYzz6dp9jXzDiGjw9oZWKcxRnmak9C6NnFn/DxyrBD9
KYfPH4yqTB+A96HT9eC2CuqRxHzJGt9+4VdK0qMlYL6RfivhOMv+KUHNixx4BFuWaNWlJJ+1XVsF
mL1FrnnDbUar0sIx9D7Dz/3NYc5v1G9rg221J3BgOH5lYE6fEnJdydKSRzD8arlunGZs08PCd2q0
w3FMJAVHfIcBfHCqRupwimM8koWxTiDXWVKXZo/uRydBjmg7BWxATDZx79mgWDRhs4NPzDW7ZvWl
zfwODP/4YOAqxnO9uGyD6Vz1tzG83re5WtuvLllpQa9SVMVNRo8OrR7wcBF9ynR12dj1OrkRNFOw
RKNO4FwBDU0fGjOZ0y18KPvYTDJJ96q0h+CoyVbhnB0Fny62K5mMHNrNP+YYryd1weTOASPW8U7V
qs02s/KcnWNz9YzmdmW3DkCeHiXeOD1iX1MgVjsN7T0wls0g6uIG7qvULtlPH/cL6I/eH2971Vb8
E389Bjkrttby4zveSf1vbzII2ha99zLmfXWcYIuf1tzkIDaVLA8y1TxBi3rUr5UvOPRA2c5nZyj8
elsVnNRrXUiykgVUD0yvjvfVEKB7Ap+JT419LE3XrYmbxhu9/kePU3rppd2mYVbnw3Ziq09oiO4g
flBICklTvdb0PR6TwieNnXs8dhJZJgXF1+upsmoTY9qoTtgj7a3Nd44tmkvVnMYb7GOu3qwMUn/R
XFSeHZqxyOPOcZMigF37t63W9cwD9iT2dACH4w8z0R58OgQXfdtIDUHIl1P6auLJ5hftlxlZLTRM
4BqCnw1Ps36zV/z/HL/tw9ITwkvMRb83PJ9vpZXA5PZpvn3Hpx3YrA9Wj3IhU64J5ZCQV0NrFLS7
qiuPEx6r2f+eRwiorGwRY5fYejA95X7beqZMI87WXy4fpM+AfZITDiaLnKUp95aTYTv1myEmmF0O
/deacYEO3Q7XehgEBho9vzTrkqFi4McgsDiaVlGC0Zm8d3dM05+1QEWkwbUDCSPKAsrCCEOuR4hb
FkI86+JcFycJ5mgtSAfxdMkusBXThWML58qyscYeRmsztMZgIpQV3j2KeNOFtG07y03p1SQiDbt3
ItVTm77YpeJDoDGeKSP/6KwgPjdT84rDOKWYgLBHSnEOtHaFq5TBgNqdccB7eNKpI58owUznsNNu
KekncPJdmy6UAFW8EmyhKNgbsbajA1j+Z2cN9qmGbUTXtCcSihSaQGFgNOTt6Ih3rB/dr2Kxnb98
EoLlgVajJtkGpDG7jbAYEjYUdAw/Phga8M2jR70ovl//0bQl9/6R+AX6RZHEcD8wS/LpZHeOJD7b
CDb+dO1EN9mkEnUZF6NBjXSc13noeEdVoq4ZhK6rUMfksdeXpqJCe/V5XPKAFz99EZMOFKAvAIzW
yBvG6Cz3MsuUFZm6mljfaFRl6mpQWuBt6WPWZQbx8X70ocw7V55D7189c8Xw2+4mqKb0kRq/E4M1
WWgrnX/AkuIUCKwKQ71YDfFE9MRxDsnUMps4Yp1/zQUtuaE2lK1udIy/asNbYI7DIkf3uNO2aT+a
dbn6u3KWc7nJ1pL+stGmN2+QlvfFRb9HIoivG6oy6ruW0Pgg5M6dnPQVsYyIEw3rxNTiVEBTwqc+
mRoyO35S4hw10czNIIxPLZL23XShpSM9UWYExAUcPIgqv9o5GUk+FWdUF6wt/zMyH/fUKWBokG4a
VTbuV4MW+Aoo/iEJ3CXfaBgsl7xFK5lZDuws1ZdbDzYuj9wpftCx6+LEH/115/fVJy044pV3og0F
EJG8n1jmglfzggdv7Ht6z5YZcDKVf4+r0FmzNQcyRAbb6TtrnHn9+FC80KvCcVXaNmh7X+X6lXJD
9ax6NI0oW91FR6NMlMDG2o4/AdPgp4NnVW4aX6VVSBeDSTk6t5sf21csslYjTZ+dFqWCfJPl3MGG
1uwu/mR4LN6FeCHmOo3EqNmeGFRbtGtXPc0rh8qmreN2jIxKe9kmrpOUoXIYFuswOvbiE0df9JGm
HqicRGXpXdU8acFg4SZ3HW2nPMbqrjxXTPNVVKz5ZN64fdmjbsrsqS06draaBfFKs8VmBf2LntDR
5jZbJF0aEMN00XXjbG7KWhrHoownnvc6YyHkpTJ4bmIKKzZ2rJkEeVCWHWtUUMS0YHZktpOVbfom
a+kGiJC3eGk9p/klhgq3dGYWcjsWrXlaMNdOWxgOAeAhdiGvevSpvamMMf0uvISKoM4jg76pEZhB
SUsT+m/ClvzFHMFfzIqEIBu65oBovqBPZ3xGa27GhAfpGPjInSYxd1xj3ftZX9sibKMuKfNJoPtS
EcJ4GNQBEI629n0KvubY4XBwBIIfmMfuQh8JKOsBKRYQQLYyYGPpS0Ll9MSVPRLop9LvB9jPFIw9
e8BjACaU3yR5FpJ6i59iDhe0jBMsMHLoXTIRhIHYyTTDxAgJszHwj2wGzGPc17zhYj75N0Pu9g/K
Ttpi4xQ4VRDlueZNS5vvM8sxb1Bd3TY0mvxLegq0AaY4ceKW7F4kFWzCXzGPd81NhdZ3XtLiV7rK
Khq4fG0be97j0S73WWMMkSUSi2WZvFd8AO4zI/a3WsKNw+thcm9g/OibSaWgE4ZiO8Iz2WA0JxA9
lhQBTbAGChsCWN2J+jKjRj/QRd9Eg2BqJJitAcPuuWeXt00Nrg20DmEajXlQg8iEbUdetm7Kw8iD
LcyZLxNVzA+0b5svYHUsqh9h3lI0ol5ZLo8hLcfycZIswClO0Tu3hiOUGssckV2VB3rKgpvYwz3D
fGKh3lIsbkZB3GUnIQqMPH3mr3RxlfU59ZvgSO5+dsIGfhNmS7/+pthq3/mm+mmJsD4kE1aSYaqD
98aY/CNFsfab1bFs93mAhh4v0NiXxNoHWj1xO2Vx6m75ioXxsEqbVPZit5SVTKlqn6t+MPGDxGwE
50CLZ5v07amMa0pmqfo+eDKdftF8VvyOR5omQZJr42cavVr9xlRUUYpsZpO1q2PfxEuRAwTgJLUW
GgSdxLzJQBh9GWwZb1luMllOlG8IlGlwlRuB5j7vKA8iigrmlSJZh6YM4XeUl7jzxB3nukcLR2DZ
MddMJoWouD4zW7/NXHyc5KMoWMfuETEjqSPkHI6dgW/tfYC+NUXLmMUmbnCDNwWJBnC8Lsl8Z9eA
GV9Cq1EIqq032nTc0ElBV9Usvls3s+LIsYJCR77yg5uAAtMAdtOsktCuU4bo2S7lt5/YJfy8KT2p
+WpdyFmQh6aZMpiOIpef0NOp3KExK7sgCzSHYbTtR+od2cEmvsmRGPtEapMY61HYtgoTQkZ4z91n
WczlPC/rydqQ3TdviUu1BzZvTE+Dn/Z615Ck/xw0su7+/zs+6yEDNPCfOz4dyhcwaf6vHZ93H+lH
/6Ho9Pg3Cuk//92/KqS++Q/4pYidMsBeY3pXq/c/FVKLMmn8CPj+6ZO5er3/pwnc+ofJWciJYOP3
RgbkH/3TBC7cf0iuSkCJ6YzGB07E479A6hYmpvF/l5YAWeswsdk2LnVEV76Lv4uk1qj9ZbCMZauH
FnCHRLePlkmxj1pT5ycphoADrCLuFC2kSXqcx9fHjvjzBDJwK219VujcypTbvFU4xIPzxMnC36iV
9Wl3UlxHDvvGWxyef/2fZ2H557kYG3nZXlyqr18Nh2XBk6mdubl0Vl2qKEPg4hZJ3S19Z7VkjUg6
tu+jPG0DfzMQDOYiNjGFsWK2eJ7/60hJ9yrSWuPWyQM9N+JH5I2zzRdpcYkvxuCmu04MFvlfgF7F
OlWRSGfH5RItuuJ+Zt1wa/4ZQ9zrRCJqPITDgLgd9W4zxef4zxBT+zz8H5nd3zB7EJ+bDZMJqPMs
7mhzLOnMylJ8fuvSOzmLPFso8tXXscridtxHPJNYzHZJzkTl03e16/9MZdrqcW3MU57l98o2EdZQ
m35BdLBvDdPWyW6lP6o8GH4yF8d+aaFTMcGR4JSkGNqNVlQLbWBiOxdrEAVHh+mM1812Gg3X0XS+
DqleqZpb0fvphb1j+66Yc91+YOJVS3GllwY0tchgVkDERulvAix8r3w1FOQp6R9iaDKw9cqWqXv9
M4EzyziPheZaeVf/mdEl4OFgg/zI7A6ZBx/U3EgG+1ia7nrnDF5vEKvkMkc8ETPwoUfCfu39FRrN
CIBpukN00LQH/rlx+PQ4PdTLIuYw82NV3/rmgHw4BSUSaTO14oDqyF1GIR0HN6aDDefEpYRLCHzL
kdIP6I4Ha/GHq9eigbCUrBZ/Hv5coEDLZfEObNtUEjhvFIVpVWCJbeq1En9i0i7Uaac0R+XXi1p7
vbJV6dU3nPT9V6NisRx516HhA6vm8jf1zLSEp+AXpr0Jo7CkKAPLpXcloBrcytCNYnnMcxPzXSBG
GrDE6FfbdEkUugn8JB3qPmmOmCMwE2VtX+DMyxAoMu/BQ9X4pRSVd+EQd8ZNMor06M8zQroSVfvq
Q9N5ZNxUv1cqOU+BWxymxqLGr+B/bT3FhATgEpTZYD2DLkIJoCieW/Jotvopq+31C0bmegevmkId
oIypuO/HBDUCW5g1by1MttNhNRMoQDl1WIfFaVDJSA9W74OxdvdB7mEl7YOWfrHYDAq8pa7tPHc6
bYn0kRIkE0E79LAFVeLeOpRjuVFL2Qw9PZol9Wm0ORPAN1TOXd+yO43mtNFkRvMq+z0EeF+3noYn
Rv0G1kQmA0wdDR6UDe0I8YuxlvF+9aj5rpaGGlc6MTdln2a7JHaWV0gmVdip3KcZoOurd10mfG5a
WM/3qMk9/c0VZnaznJ7hWOQpsji8ehx1C4Fxx35AY2Tic2DkHMYJ3xK9hWW1yYFyVIfO7JxfoirU
SemZElYamoLtOgxsV4sl87hg2Nzt9oHu5h338/SvhaYmTBrg/ohlmAImBJmv54zg0A0TAgkPB/aM
sUFFt0l2e7L8at20P9o9cHhWJf76wjak/sQsMAX0pdhLsoeQS1y94pbB0DtPWxwM8zntGgM2lIUY
MWGrmZ/aOYuRbhnCnShlfFBop1XHIG/F7XGSbTnuF20LCxagSeoaB6BEWI15r4au2SlISBofMP1b
YcCq6rdIYq/+5efKMPFW8UHZBEhvUUzLiHtNJUv/szLoWibgb+/dniaAOn1dM8P8axhLGictaAQo
Bf0uGNMuShU6B0d4Rf0Z6iyV2knWHdiNIKApvFgc+wWu207roH7GKW8T6XHadTs52HoqPGPPdOZd
RWJr9qYtgG06jEpK9y5ELSlhRnJiPPI91zFOZDvzD8AlzXRIMnMs7hw7Ximd4sgBB2BX2xasJ/SE
sR8f4qxInrmK1GU0JQs16Mqmnz2CG8w7MXBrmp/R6edfgV6RiTA9ZQCGeOUz5GVHXsrlWpbFAgKr
cQZ8G+CFvs5plpu2j1lnwfHhbEANZPDFdZky71s3mc/GiJcik1vwDNiZhJfR6TNkwJ1iZzWQw9kc
LkvTZuHEfKAOEMH7eDd0bnCoiUt/SfC1r/XYNxdjGjJqdbts/Swco6Sh2nMt5Ch6IBo6jGEuhNOY
r7jhnaI4KLdkTZBhAcdSKVfL2UD45UWoLXiCM9idB0WBFwNCb9sffsctKvTpxnzWyAV3jdnODnyc
pcAuW6BNBSPlIJhzkuq8yCZ7tP10eqGALjgWOgmgpBnsO3NqrNhB+KyH7grqsZ8n/JR9NOfc8TdJ
gW5zWLAifnsz1AziFuIMKxCVpDFmJPtmLdhC1XOyNpGPNL4RGeiwe4dhWx8gDbfBg0Y/nTbG7KV3
SIDBu3S1eyEYeursPFuwxlWPYxVww6JxNo1iLnl7m0MuipPJOOQZ13/0s7/ytpzCrOXMtKg1sn+7
PVpsmFg0Aw7ZaP+gFMes1BZiHsYqSPl2U3FjLjNkmesDAJBk/qSdHIfcPOZUxfdVHk6LlT0aXe0d
ReeZ1n6yEV6qRBJ/Z72zIV2XZCGe9RR5iV3QxulSK/Q6F93Si1cMsGsMzCXhRumUKO2/UzEk0LwK
uEFNuh6WyiTu3wboiNQWstMt+ab3edLMeFpYVu3hCc0nI50TJzTlPGxrL9PeVuSZd546AxI1bo4v
Z5bpe6r0M8AVtEQrJ3YQelPf7LKldVg9SAgr0sPLgvhrX+/F9mqRhKkH+VdnpC1QY3jwxnHK8xvh
cH2xqKm6ONaK+7DIxDPM4Pa3K1LVnO28m34IDdczs0FhVfdySNlupPlsINtZK3lk7bcV+xEIyVyW
i+WvBMb6F67SbHpp2Ipke9mQ9u+wLFEfiX/O21oAPgJiRqgtt7i7eBmTJBg1Jq+4/bKTcuoYb6x0
uoGlz37SYJxDrAT6RYN1bU9PnelzT8wKAxkrUI190yyyWjESdo+Taovm6PbdpDc2sfaL9myWAfaa
3qGi0q3nakU0d+kH8OI8soZyqFAlHAraQi7TfEwYxIeHbO1T3LyJf6xhmx7iYLbvTcfBnFsNMxSg
hc1w3LSky80y4VnODPLVo5n9ckEzb6lwppi8QQHh4PVfDEzsgLg1IKYbnxhm/QEKNmj3HLTBs85y
52ucOjzRidPX9yP2wZeRKDS4Qz2Low085VZZDRbhskvEKyUX4kUyq10705N9UE7UizZVL6u9W0m6
vEyL9BJ1om0X2kXrfPKApG3Lkz4gRN+wX4dYfVh9F6fhMpVgVgC5tD+IdQRkMrc1NgIIiRG68cjA
gfm0fumSMXmemwKhgXKNdGMyLz6B/1tovKJ5z3pbZ6cLg24t58/BoS/NIYUWiRhOOTP5h1hWGcKC
eMoLS9wYls3Jj0MQp233L+ydx5bsyNldX4VLc/QCEIgAMNAkvc8sbyZYVbeq4L3H02vjkpSa1C/9
5JwcNrv65s0CIj5zzj5oQtROn4xuOsXsGMYNAr82uoR5J2ZhomZHC81i+bozWQvi0BA025x5dhcs
4SU7/gYUS7Gp7VIMx5bO+rEua/aCxB2bmLFiI1yZFld5MMbFfTXW/j3P/rSbOma4i9jhml9lU9ti
wwrhoEHbOupJLTamRlUQJta3pRTDomIevAUVkQF7KFdj8ALJKWAabcIEXaRFNRs5hW6cC1GCYusH
pqkRyestMYSlCnBupC7htzoEvK7u3uO2D8tNW7NegahqA8chIVMiaHeb+17zpq2P//W14LsFBTtU
8VIghM93oeZqCsabFZL7rgIRs0bRtLegYWR4iHBAuYtWpPZTLzqlr7LIMsQSBBIb3MSxB1SrXXDx
rbk5I16GKNradfGrjYOXbPIQRvvUy+lNhEH/bvIp1CrqA5wnDt83xB1R1FtLVMM77l92OSH+oCsy
Zv2RApcTNpo6ivW2Cg6eyIdv2H9gSkY72VcQzcId6gbrTNPgeIcyKszPKC/EChFaKlcUGYxfAjzJ
TLGJrX8fzFkHYxKxbfJb9HCPlIxVyGUAq2jHYErXvMxGuegJD/jk9VWnOobbsQgMndu9Q8m+84Ig
KVYdGPheL0FgML9Pr6ZOMbT2IHkaByA7ntrQEeti5SMYpauivVFECuJjgUplvsuGC2wJ2o7+lWEY
WPmxTUCYe4Dsx6fKqw30uY1wo01YZ8FXV1Zy3wWt8QaL2VnVgax2ccExP5nMMNFgK84afM/rCmLh
KpWOj/6OoGwgQqyIQPGYqn63tNK7+kTSbHFeBc8MFXEX+CQnxxsvStTdVDV5fSjJYsdkAtaVeamf
qTX7bnRGbe8zAe1MaClLGTC/dArHDZZ+E7pfoQvXU9T+U+C6FTr3CNZPjsaPR3eyN4x3AT+RnHAY
a2SdjlVmBIOGCL+7Ul8VlVLVmrs5SdYoyev7ykOeL6rWHldhFta/oiZQzcY13abCxZMlc8vefJHp
013RI+VstbBNxQDXfJ9LmjTkD6vp9VXC7+GH8fN0j6SqobIP1QktiGIL41sYV7z+jPz16NsuKwqA
N8W4LNNuF1vqV91S8MQKY1VoZmh5Aroks9S3JEZT8XZKvExT8MXjxgIyZdzYqvAr6UKMh55IV0no
8H1HVMgopS4W1sFDKms+UJcXN4dreBM2lf9OTQHfjcNPPVjxhz67lVA3SQr9TKzCUWZrw8rlPs70
4sErGn1bzYYiDk4sKLXYGmFmf7UINUhorKy9KOLdlDmsAVULMK0YimwTYZ18wA5Dwsjk6J8uvJ8j
c8P+g7khc0wPmuPGbUZ92CUzX3zNIdn/mlqFXzwj+ArNgXQODeZQBGcQtZJl12vlh4yVM64nVcrT
2Ipqlw/U9DGD420UFf2uYP/KY1LEt94R44XYFFlBcyGypUcy5jKUbabvMapjCHJUkEtppc7jKJXC
KwmsUNWZRU+MvLYvYn1lUsl/JxoWxKopf18mr6WLKAwSoWzPteIQbVSUR8tCYCreprnr75DUbMme
i7cZorWFwSyYGTLmqifK3RIBzVjDSvrdc7C3W5W1jH8cEbhslXKMg2M0vRF6oO6zHOkd8uCoRoZt
jfUi01vS6CXHJZObLfmw+970C5jCBuLo2ALKxb4EwJfMM4odLbU2AlMt+M5GnrqE/rS1rfK1r/Sj
bYwsXHVpy/vEtSDbpNVwl+gsbgY9SJ1lnMWvJajiV5KBSA1pq+rCKNtYWxmJ4oVklZQQqFbAd1tS
0chbUEq1ljZIw0I3F6UY250YbEDNfo9O2raOozQNCil3Yt2AMD9DN0eP3IXoMHzU21zGG6zvlHfK
T08cVLDrp8Z5yTTcvijgSnTOgjBP9i2PaKTcDmdwNzwqRb5CX+cMs0u3lVfHJ38YdLwaz32ikeLe
ViP5rBnwaeJoD9PkF+ZxMKKiWTNNY7Ub1G9a5OiPUpUNHibMNU9T51Lt+bF4KYdI39qgi/mtkpVQ
II0HW+Y3a7tG8HfAGEQZ0gegiKWU1DlTbH8OGf5Xjb/IkBvMC5op/e5G29tyPuT3JbEolEOedklE
iRTL61+aiIu1NdIMwWBQ5Fs5IPKPEnAVeWJfCukB92xoB5qFG9DeLLxehkdUcdne1ivnW2/EjShw
AKjsESjIvPGmQLGsBw2gmVEnGvaJjvmRhvx6iJq9GrBGL8Z8Us/KTOWbjLWlXiNX7Pw2PNplU2wB
5GLYJMYrRIYhx08gn+IJTZX+A70GA8jkylsLxiki7bpBh86W5Bx0eDD5bwU7si9+ldIw67Um6mFH
6T3+BEjyb3EtzR26i3Jd6Wkz3ukxvNCWXLLOaTAXzCwgKqlJ+iblsI2aKI5C9jkOTcudLlJ2vTIz
uPT+A5L4/lfWCoZu6IBX/v+bhXDKq4/0H3TX//vH/rpYcMUfFlZi5MVE+dnAXf66VXDNPzAIOcJC
WM32QBesDv6OlrH4CbTa/E/o0rAljIe/o2WMP0A8K+nqjmPws0r9W1sF/ow/E5gcaTF9I4QUj4Zh
SD74P+4UBhRHXCJcqFlnscmPs2Lby5JYo8i4iKp296HXEZiLhgdp0bdJsXH2ZfrfAb3Ia/wvPodJ
AQBK1mJuJWbi159k2ML1NTpDj60GSSw7HEJo1+JNPi1VSzzY0Sp3JVlBaXghNASZhmSJRw7MGY1F
sygr8diWNjgz7IzPE45APTuKaCgYR3OCeo2z6pV9LIgOWPQdww/Z3EEF2xoeSaOyoEjW26e+jk5Q
KelTsnWU1rchHq597B1MUTCeVxsci5AjSGeKEGNGMn5sQ1Gt2Z5/WJxaK91u1Uoqlud0/Jj2Bv6g
FUKRkfyW8LVmR4uvZxN74y7yxY1Oldnh3K/zxdZCNK9MExEucoJubFpFethTl6VcBnicR/Oca/lG
wYfonBctnu6p8B4ABh5qf9jRQx0yyONRzBTDLh+GQb7BAMZsPsA/sNgtWPA9Edrkzk5gi3LBZTPI
PyiI+zn+Lkd/12r9yUYu5zf2uZLVPcSbrUmNagzaqjdNVMQ2HwNbwXJs4zV+8U+4Pl9hCe+ynUAu
M/X+4dLy9pxedMoTClF2OOVqsKdjY/RnjeERlieOpR5CraCSwuC8r/R7SAFLxqoKy2n/UA7+zcCG
LfpFxLflxkhBxjUqR1SZdAviKcU8t9A1VMH1Q5kNP1iT9kOtv001HshCZ6DfF69+H25GTn+zFHKT
EuySerTotvvE47WIJTkHyIot6CKroenwxXYXn8wqD2Q69eJ9BXSS4U37xB4CJe9XnqaXWu/QZhEH
SPu4yocJOVRDAEAFiiD2CB4fmvdIIL22mmmhD8mrzaNZBuoJFLYOZzr7ysuKoxv0Yl5HpLfo2jqN
ml96w23g6R4XDTkoKlvbrE8kSkKIiY9W+mJX1XRlFR+/dFN6rGPrzhsQ8jpj72Kz9Pu9ZeIjQ3Zp
Z+5KldmuCeJX1Xrf5PqdIagU8qm2cCTh86EiKHS2TeAFtH7aUze8WEbWz6PyFaJpOA32qRuQ1Ci5
6aRgOoccpTgjzFjWVYCSyBrzk8UYEwG0jx4puDU0i2sk+DthGXTwtPD0AGwznODW+caJloLR9b7O
RLaUkGk4Dm5hiPnO94aXYmp2U6w+6QfXxFgli1gzqnPpGvOsLE6WoRJrwKWr2gk/ZeJsyvhmGTp1
pnGH1QGLmbVJ0L3rTrrrzGTBTq4nGEm9aNhMmaBueTRsDG1muhdI5RedoTOe6dQlb41DYDIgN6cn
1A5yhWLvLVTKJrCOvm+SoPZIGU9RfJj11jTBWk/E0HUZmpEy+KU662Z40fw6mVdXp/guG3kNXQa9
sfsOuAqdhPzKY2MfldPdOHeKWEDSTZxkO5np/SkptWiT2+gGDOwZ2AdqZvf61aftWmfGrVITRYbO
N1/yPenaHoXEGQBSD3ZRkI1adRtykyqOInmTxM+nSQQYgtluOHvesYlS8wYGqJriM5cgrEb1nAKj
UfyDFZkrm4QCejUO+TEPqie2XVcva97aMS3mBVeAiMJ5nvrxwe57n/XxebAbCDeILtLqUdfc6yTK
N0Lj3s3G3FAun/SxfSvH+CUe7XTbFPw92A6MGo1tR9dhh+b9aGn3rsPXkxolm+fs0LRMJlvoPiCy
crIt7Sra2U6/73VnZ+I0mECFizjdMvYhAxPUZD96+6wIoMB4vPlZidzFKJ1v07Sfh1msBwxhXfbj
hjSYYhkQBrcGO4ptwch2zuR+mC3iqhJLDSlexGapADVtpD2ZuTgNwJjXvGEXUP4vJbyM0bbLtZUC
89XTmqQImxeDohLd1FvnerdMcx613jnpXXMhMwW+DdL3bV3FZzP395NvfZfk5yz0yk9WRlifJr5W
zUMr3fUb2CSMDmBLIFViqKxpuCKDCusFsm1mQfGRV2/fGC1GWku7MUJiThH4MXNe7WzpiBphnX/B
BcKBmdzr4A/5mv27mmVQafM8gIIP7HhdKRtPHdPPyTqgZlkn1UEFZDESXLpDgwUe2jso+daK+AmT
xprWdotnaWH3AKByDiE9Zz8ReFva/FWRvwekFBH98NJVxn5I3FWTWEfWzbu+K+BXZyvDJbfKcdRe
D4c5OrHBRfBQej0OVWs3hpcyb17GlGyhPtm5POlOYry2SXM1e1r3CTad7W7DBoiwrL0dosUJIUP1
qLzmo4oJkmFQH6Nfe3HcivC+djGv2jIXYHfSngz7NExilUKmAv9b3WmTOKO933SQaxZuxCuvSfsm
h+C7GI8+gG0UZtdg+Em76aKDOo1I0ax08dN4Obhq8pZYdh2p32ibwx8GCV+Bb12Fakhpqnbzdkkn
nktvUdjJyn11omEVtT+NBMs+cnQCcKtldZHlwEuYv/KKPCM9PtjJO6ikNzA4aGqjFW30qdXbK+iO
pcglx4sXnCWHFvPOuwr4gN0Pl9YFH1Gk11Km76mvJatRsz5du0SlYdK+j2cbJh8iAbGMXINVSw1G
p/1op/Y1iNx1At01hj88VdknjcAx0M5EnxKKBBCPiAgM7AWNOGLRBJkDMpA+fDDTg+BQoDdjA1u0
E+hoBMdNy0g73fbiTEo4vXNy1d3wu3O6tUhATFkkLVl5swV2QEJPuQhi/Zz7M1jGLWFnx3doQKAV
q/uWDIoAjVyYNm/BOUtOZv0UWfFKlNqmqKNLEdU7g7Z0Ibrw2Q4BOWmTuUaeteyjmz2tsha6EaHA
eVp/We5wDELy50q+wMo8WdhigZAle5gjKPqSo0VQmbLVczVUny7gk3XDxniBtutZllq9ROaMHTlK
nxj1WHfADAm1YaHJfp0UMEV4ypYx87LXqkPM/CRuEHVmlrwVgXrzo/EXwbUvdZds4YEgqraq5you
dnkfAediJCbZ55h4pgaKmemxI6eSVhUGKSErMr0viywFd7EdDbm2O+YOOKh76S77YDi5hO4ECLnd
/idh/92Gd03pHvrUvXlNeI3qA2OnlUqQ+t0PU7DJ602gsiteDWSuZjWAxw+4PxA96u19y1W0GvMW
B+52IirCNl/8Xr8PW53zwNkSlAbxfdsIuWtD6zbhIyyq9jTo6V1n3OBwrxOG0lP4rqHqG0ojRlki
ES9/9n2zU715QungY2ofDoOLOhGI0I+bPRPZSp/sH3oDI1WVsxuhkShKJmen0Bj9ReI8qt7fOFbz
EcoMNxHYR1IBw4VD/dBq9kvciJx4lOdylgajmGjNI+GXyzDiyLIoSYEPHcpUPRjpYyeBT6A7WrZ1
jCWCLYbLYZ0++TTCyww5zsG1mYrY3MgV0J2D7WXxuXBU+kuDQ7zOWEHuPY+9EMe027zKPs6fS6aT
uMJxKRE2Nf5kYDhubqQ75yoW3VfHomPNflffSsk0kowDr4PJ7CxNRw5rtuj6L0XS0p0jUnXUiZ1g
xRarFK93ET8jA3fWiUGo0NQR3TpqTfCeUg3vkrDwUFRo0lg3BUIS0rnNdhkgpV7PUeoZNKA93Al/
ZyP1/eaPdH5BwJ8+USDpu5Tg4y1ZCgYGsUpsDFx/VycYq4OegebRNbt6oN+jPqYwQ8pbZfVdmcbi
EarhsNTITOVXGvR7HefqMe8sf99qzKrsyueOQwW08kbD2fvsxONF2hFQ3uZFecYS6K+5a5jHkbCw
19yiPpuZ7R2Sqq0PLsYHckA0Wq+hIoDBhs11btCxLTNzPOeoKKhn8Eo95E5jP+uVPv4qCIggelp5
Gx9J0tUi5uRtEJN7QdVZIqUSvD8OOpNPJ1Ltq5YIiTi5C6Kr1TXyUbpRcO8Kfbyre7e4GH0l7zsr
Gq5V7gaQT587Zr1osKqtOzXDvZcb1hPxCjDLsnA038jK7TdY0jnKpiG5qzq7vfThZJ9GLsx3GEr2
Ls1bh33zwFq5mrJbm/TNTRpNfSWiOtqn2GnoIVnEu/68u82ddsOkkOwV6nqwHwXxwx0xQcIzDXRx
ETk9AQPIdG6ws3iEdhb4HmG2SU/UIBufF9H6zEw5nt4jmZiXAvHEzgKNeNSmCezolAFwSsJbzk4k
IHIiDOSya5LxapojN2mRjqATeDJHdlz1mBLnbGAULqdfMolI1+trLDWF1z16mnpysukK5OVNhcnO
koSQ57DPppYshibcaWo44mSE9NfPc0q51HS4G5bmMvbn/tXtVwbLe0jo+rI1rC/FXlKg1LCqeM0w
eUkUxIYQaMQ3c+ga3xDxAewe1MXxLX2bedXLYOaPLHT2oe5cEqtdYSNZBjMPKm+3XUwEWEW0d+Ou
wc+9MrpHEe5jm6hS9dhZ3ZMH2KAYSZtFGA/LLD6NAxIrrK5O6Hf7wsBBLDUz2RFnEONAMK+j0y5m
qcYyj7K1WwbnMuxrpMMU5XUIydy0NsjBcJFp5qpY1+0LKXALVitHN8Al4zobP8l+iqx++pPy9PZX
UudfENHf8jBr6v/5P/C0/8Oww7EURnes9vSa0DvhXv/T0IVAVSomqfqdSl5o88PjNLTDFX6NudCM
ZDzoKisvQ+5Pd5xPwX0fKvloRHV0raAN9YtaZUQ7x136ybZzvmrmt4a1vnuR85sUzO9UPL9d5fye
Gb/fuPndyyc/fiBvnQFKzqvZzu+oM7+t4/zeJvMbTEI7LzPBYvWhTWI0gB7v+ji/9c78/lcuBig4
F+U5dWt327f9HNeM8WsP/HpcZUbl3UwhmX7PZ4sxnzLTfN74HieP3hAVVFq9eLRZvN+VRk197gdB
86BHef0AfD0FMKiqAyEpyL4mujF3PulMT3Lmzaefms9BsrucX3MqwLc5n5LV2IR7hsILl7jBdfz7
MGU0Ds8p9M11+vuwbRO3342xE7wTESYXhT6691YUu+tAmPFzJwIahr6ffXBBr47l2Ad3lpsbvzwX
sW1aYkwqIi7535cATHyUpPPNgMyk+/Lm2yKf740odMcffb5LUGqic5rvF2O+abTflw6/zXyPdsRd
l/Od5My3Uz3fU56dBLNY6JTPdxhwQpypXGuIyNkSOVM9fTEkPDo2Kzv2O0b93BP09OrgC0dMGibm
yyhthlopXNa33h183hq8/ZvCZwAV82yuW0Xu5pRSwJmha0LiyOAAzBaFgGGyWZjBpeh48kRSbgqa
tp3SAhwyFgLgDyuVbb7LsQXQ3OSNsamlblersPn9JwpcqITW4GrgntbsjIcpC4JlnecJqLJIoUAy
zWMacUhsVe/QrypCgTjMGi1DdgcM5VPomK9FAjKOlYgsNyA2qUvoFpYt3nsGXiny1gjbOGuYYlh3
ZXmPlVrf9Zr1Vs0OcVgKdBJA6lcTj++YzN5PBFCu5j1GUfmYNKSBaT1ZjTMI6tLrWbN2aNi/aWJe
NEeXZ9G67rourCdoXFRAaBLWOm5WTtjAWYaln9w78AVOTjhH3Yq0RjkZh4+2zqpSEXV1wHn9GBrR
o1OGwTEq3XiX2ZTZbaoffGEg2iGjLdiooaPoaZJ41Qn1HqLr3MG9/AHMQrBZOUGIY2K2No3xVFF/
LPqUfx3Kf4CbtXuVrZEfoCGKTaYGCzZCbm5xzVcro3OBrE7W1glylEsZdrNALwmGpHtAU1p9JK1+
R10IJVMN5YLq46nIh+fcTLOHHjv01XSSYGsB+8IwB233hKgWcVPs59tmHCGPacDIRKSKjWMTt+1Y
Xb3pTN41GBfWwqtzOjDssBiu6/c+6+z9aMThazhlCIYSKghZVNuELKAtnEKy0aFs8FgR+FimKYms
Ro2BtEC9PrOPlqBnYFFG0ppRjymlRaHTzt9kCYHLF1RMxDUCRXC8HCVRw294pGslhFota7d75Ofk
3hd4PhfCFNYTYkUIvY309ibReDuYwuE59+wvo6jTx9hkDeQMHCikWLERTn4ioQgtUcZyMFC7mppv
XQgOjJasW00am+CrJoGPvMaaq70kt4yqgJC6MfwcR/O1T/AfRmfM9jwRZrgcM/s2GbmJZS77UfV0
T3K7ohRus4WWNIlAw2Sba5oO/1JXZrdCVoXzV58XtxmatTy3qofOMPUnZM413avxa8h1sZZl9GRX
xBFWHFyacHo6Y8joOL0IgbTFcbR7zPDkR2Ld5pKA+RGuGEhfOtCIs9M5L3dh0+X7ADfgDobF9Bo5
c5PpC2izQ9zxc6hnpmXUdNM7ssp0BSM7WNosr5cWG6erzRruAxC62GMT1Y9B70b7pLHqq5fbzQ2F
f3aTnjZ8epw/EHtLG2EgFVU311blXGWJud7qf1decw1mao29RyWorbzf1RknrvXkzCXbvELftnzj
/3HH/EtrLIFt5U81ygpS0F/+ugC7fKSQ1Hcf1fiRffzDDuuvP/M3dpD9h3RRBJOFaJB7hAvl7zss
2EEsa9R/5YwR+h+Oayp0ML/BQb8XX3/fYdl/KGBxrmuYVD/z//NvGGOk/Y/llG0ZhgnyxpXgiSBl
/1+JHLFhBmYcB9k26kDF2Lrd24QyZukmm6Lo1VdNS9FfJPtMJSxZ3JLiWw4W53xcdruqg0gXEd37
gN4HgEhnR+4z9T9evD6zL9OkW0+h9OpzzwZvP6Yi+sxDTVzayh/2SHj9nUqlDWeXKQnSFKOxvuJh
Qo9bl21zURDYHi07wjEecthw4BfmuXJU8mgSUgpcRDfZ3gjjVpeCNIOxy1bIaNK9P6shVOFFz6kj
60OFKeFZL4LoHFG9hiPKK0dzuyWyZXdNpC13ZARxVrGnYYdHLKeIBOm5iYPpzpfgtzKV+xc3FNk2
rMOceQ+WazRq8Vo4Q/rANNBesOJoLq3huBganZUTYLYZEb2fgCEVZxEE2mFA+7Ahf667WGZH7WzH
8UPX6A31jz8R1qqyCxKMevZUGKz/y+4+yYJm38E8X+AcxnzcygtaQvDY5UCC+9C6b0ZlCVzLWYek
1LTWmom9J0nQq8iZeNBUxexMb6YPN0VyLQgq3eQJDhgTGx3eIujAHmkPBzplkzzZ4ifLmoJw+qYq
ERekcf+mN4P/3MxZGWPg1Y8uWOZvMm0mYmUdtv4LnLWM8EYdj+1e6W1ab0IR6G/p7ygH63esgzPZ
w3uEPcBif2eFt8zpvFPopMPR1YJhXUEnHOklJydc5RQTaIeTkWm8Jsh0JimwBOrcTphiujb9MeYw
Cm8+3amnDLlj9pedxJxfgYygfEhIW4fqkeogkO0fHKyEGAcNtSyxTmfc/qyztKx5wdlKSrDjti82
NeNzrgMUqme/FNzVY9T15o82cHqmekSFHbVlS+46VdGdaUZfQeC8S2l756LCItahVD6aNNirtgfu
N6fQG8bSAysbL9AMy3OH+hyZhWNgDavHA+IP+5oW7jbX4qchQGxAmeJ3pw4v2EdVt6QumVaPbN+B
WDwW8V5GyRrKhccQuqZZnVEYd3iR8yvA2XEzKjUcShhcb4GolLPG6aW92vjanv0iifdZ3Pfvqat0
ICfdsAhITWeJ5jjHXpQYz9x+FSt5Fw5GeS+6IUVlk3QfkSjLZ6j9wbbKW/FGbcuEfoYxUBd7tsE6
NhRni01BsOJfLS5+TcLLgqW0fxRB3i0nuyqucghrtKBF8eK5EiZ7gFYbg+3sB0DrQ9YwWCmv08do
6aWWQTRZagCt4nS40v4Mu2YIcj4vuwQTKZ7RP6s0tA94kEfAyuznPBvTjyIw4BpOKPOLDBZEg3nx
UHc23lp8ejJcqqJQ0FZ88r29pDG+vbgyvh01Nt+tkuUZYNuADj8tJ2MpzS5Zk7dalMSJ19Ww7JXe
P4VVkJVbeGt6ssxky1IDbzBmZ8KxS3AwkURiT1s8M+3lPNAhSxc106YlsDkjWxs/3aqwsKtDTwyK
dQM6JdxMtuZcGscoGaJzFL/ZKMXBBQxgdWDAViwccflrEKuSHr1eFcLWOFRTH5yacMhfQfWCFh7J
ubsbtC77qtNp5jdlvvluVah6FllRB28DmCALfVQMvcHOqIBZBZss60ag3njZqX2eDLqFS1wa/WuJ
Kzg7kKMm1KLXcjA/PUuTbZM6KOpbF+qFnzN3WDSysF/bQKZYu7HS3/Sidc6CgFkO7d4bORhRJYVL
rckGbEDd2JKBqQNTy0xXe0O7C+qJAAjiZEejHoYze8NU34WhCVdC6FpJekFE/zkMjRjWPoX8tKzn
vmM7Zg4GSBxy+UMINKtZ9OQssirzqvpTr6ZZsdkqFRArK83moQh07WhXU8oismiqtc3eAS9SmY4P
LEepSC0zbt8wh8GYSkE54G5peytcx4iRl3GrUU3rtZwr4wShmy+EBLsNxuoAhkLRkDcFnHUIVj+V
prIXDCj1FmvISPqjJeGEx0OZ3Iex7b20SBTOqN5+ylGrPmRIwzwMxH+iPbJo95IcQDVq5kMr2+F9
dJhHIVTq1Dte9dpZ+mDW9jrKTLBcdgLyxujse9IAJufmx56WLeDiId2N7arf4FXjL1DZARj8xG1Y
79ujwt/G4fukRai5a0Cpz7oVZmB3EqteFUzt+0UP3uAbqh/O7zkJc6nCQF8HQS/BEnV0pI1lkIBI
/qnck1TCe1/xIrwWdAiPY6PiY5/apjaTVngA88DKxy003Y4ESt94aus2OMdgNUigBbvOflZl0Stt
Np/ZJvD7gO3Jyug4adJxEwGRyJOkfAF0nzLcIjSyWHp22sulcEHZLBlHQ2HJ+MVpIjHoAvSaDyg7
PyH1tgPGyVpjumQacLZF4xnJS0RQxZEz1PjQjWZ8YUHq7BModiNT7yni7KXzXeJhR2nAw92+ufz8
Xd0JDw1E7PZbW0rtDXvscMSQoT+lQOG/jW6QWzIc3Gd/GrQn2q3kDpOCX+MNkx2rH5GeBUxdHEge
3yyHbnONPIhk7NSC5rnrrLFZTaHI37U4L4gmgVrMO1qIBxkGToeEONY+sxJXO84AprygA2felOk5
lApu2yQfIYL7Yqt1XVSto2ZE4BGFeVVuI5N5BpB14EPksX4DAnbSF6P3dGtRjb19D40wgFraj3yT
XTS1iybO45sbGBN+em+W5Vu+7I9egyzJiaLgrm+CkCkZ1N1V1YcrjEPJJ78rJBzT4BTP7DG5BfBd
LSwGkPcx3o+CGRq+CVBrNIg4ODKMWThc0BiVmv5cRLGA+Me8jNCVCTjV4Nk2AtawctsTch1iTuOW
DMcVhIbmqpcwVrgVwQRhJA4Ql8yLqtQdsJWFCd+qr/nFc0vE6V3Th+4qgYTQsD3J6humxek8DeQ/
LnTHqu9bIynue8dj1NzourlRleHMfjYkzGEwqhMAWhJyLW44ngw52jstao2NAcKpAJsYo6+YQNl3
NpJANtZVdFWG9AzMXJn5MZFb+qyVyIEWhqr1i6oGvhE3icuTrg98Q4VVhDtj8J0P8nPEL7bufCzf
jZpn1xh6vt9gJCDVsv1f7IFBfiWt+xySercNWORw+DXmJZ5EdE5GCbFJk8m0jXpCErhpi3hLs83+
No3mSPY8qt2T5w7OcbAaaBGTSau5CpnHvPdJDGAmyWrxkxRu+u21kTjQZfqfU2OO49KvJ/eEyQXe
htD345Rwzf+nafxXmkZEeHOy1P8bqfDUsIz/y636+Pqugz+3jn/7yb9BFaw/MM+Yuu4oWkFOBZq3
v0EVbLCzAvQq9q3fwXrgDv4mf6R1tAwytBy4xTxX+H/+j/xR/EH7yaKQcD20Rbr6t8K0oOH+Wf1o
Ga5JR2vrSlHgm4bgI/xZddhgvVJVK7ttAU70ASDTeGXZpXh73LD61NyJe0J3y+K/C/9U1j9H+hlI
70CgORLMhEkR9E9/Mpl6MQcygi5ltd4mrIQsPkAuj1hqOoPVdVuQVrEMq759TYoIHy0CviJeOnbC
UYSWWVdbPSmQ09WVSN680iM1ZzQyaELsXZulU3Ew6DW2pGWcenW7600gCcuyhfS5MPoGUFXBEO9T
4M4UzVhlW5MEkjdEFcPHmJvuM71DGqwx5XZ3Yz3i/GGhEB7DIImZYxYelQhNTDsDkMKNNLhAnDQ9
WiGbdPa9I/t/clCyz4iTgJulW02IO1e1l/8v9s5jOXKlTbJPhDZosU2tqJKaGxhZrAroABAB+fR9
kNY9i7axsZn9/Iuyv25d1iUzkSE+dz9OZhFoumqH7CniQPoezX6zd+BLXNqytqp14rk+sXThx6/s
jAsEEl/ocQoXN1Y8/Q2kl+/pAdzFfWYftY3qPwzJY5h0wY4LAOzcABy7YVVvaYr9YKjJO1qD/dyH
BiGRCFNSSdSGOwk4WEQ+EtGO+1DVXMRH6mttwOYbMXR8YcsUtap9qji0WXERp9mjHe1vgOIVa6B7
Nj1YnElBWJHBZkVyCiRFv2qWglzO1HuiMkBxPZh3ipIiNkE1AK3oWFq7Wh+JhcLWKlRH5QywLNm6
HcYmqtg6SF9rNoVgm4eOs1FjTAgU3y0UYoUhNnW8o2sGhCB7u9labddR+aCIww7kTmfwNevOq+xD
jkttF9eiPCVl7u8jOmQYWNLbMw8tKQIbUBUeKcE8hA36t7Z6AeLLNDaB4Rv3gLto1aAv+8piqvJN
5ULZEpRuUGS4FLQzaDAdiLFhUiINgluONnkIXmg7OK76ngIfqkCNWQwNnzzXp+jc8C6YUuuHXHr5
q4MpC9ZhXnsObTD0pwmZX0yM90AqWzO9z+wIL9RET4HpGqfSqetTMpfyvQxJMxJZaMkkmqSEZpIJ
aLaMfun4wVYgfR+blC8fS6a5TLtjjm64VPJqY5dcFFxS0SazXae4FKq09qNFBdceJ374XHpG2xDT
c81NAy7S3nqQjszVTEbyzmwhCTLHmfonZpXTzhXJJE5C1PRKNATKPpUOJ47adj7fEy8jJd4ERnyd
htA8mtx3qrXfENSY+UAdcw40ZNMQVA9uVLgvEphIvGQouX94YYcxlDYUXE4WMf8Hp5T9WyQaaBDM
u4bn3B9tqhwMtx22Ief05jQNXAhlUzd73ymtt9xJmo47j+X+q/whjnauY08Au5gqmfZqnjzjSpJ1
2PkkM8+5Qn8k4W4DZ68aM2euUsA46ewUXlTaGGdG79au5n8O06M0uHYzhA6+P4YjxWw8xO7064v8
R5XJxeqzfY0nd9dNtoNlAPkVPJTz4LtUBTZud4ENA+Zj8vNLpPHmzdbiRjVp2ihnQx+yurmv/Fk9
Npn5m+QWpYOyxS6jC3Ews6C+q4Ig32H0jnYBVsWdKAO6xmND70GXhOQ8R3urh1H+zD7+yKk0/Hvu
5LiUyikeLrHKsX2VsXBX6WCni6xLT1+WhTY8rmpCFWsnz/oJYNafuGAW5ygIHsaA5N7KU5Z2NhZk
HP9vI6elKSTAfEKa3ij5XBqcV8UW9RdiDGeq1zyZaH+v+u6JQaWJKSplhKa9tD/N3fy3dhrWDyVd
d5cska4IJvZdzxHeczkhraLREOAGRXqEf10+Gia1KWvP6UDnyyG+QknDwNEbiKK4+HJ9zAXwbW2U
3b0a8MJsE8mIaUz19BC2pGEnLTFHcXEKeLLiltr2XvyEfYZnqPLwgIcjP9gysSxSBINstO3XsJDJ
2eN9pBdn4G8YeYCh1yAduLixRHwAVwxssPROukio0bD95MQM4h+7U3oPj7veFy2cnJXPk6KOmZOP
6zpucrFtGZ/CH1QCR4IxNe0vQEZSjmADzAvjQroi7DjTapu0RjbiU+vF3Zj0V+CV+TvH63xbBA75
HRyq+yl1RpLFfGD2XoMb7cB0JHO3fd+H943Oy7eA94nIvtUeJshnxKh991GNTfwzUXPgPqumZJnV
MxNJQKSOOa7S1m+J4HE6wBcN/RP0eTvfCWgY66wzf2ooBkw71bwvbKs/BxzVx7b6MMYOJm4yIl5v
ciRg+jhwjlv7tOxIE7g1qQ1uDal+GXIbBEVsZS5yK/4+mHctYlI/NCAPqqcY4uMq6dJ2A2PXeERI
ie9HY2j4S2NyC+7OVC13l8q1NnYjpq0QR+pusu0Qui06IzuT1/YrJ08FP0JyF/XmbxOMfybW9+Og
IC6Hpj0d05nsJ7VD9sEgyrtKxQKctgsatIpxC0DD24e9oMBLQEybl9mMTEYa1TzxJpxIbKlK5wGI
B5Zn4TC6QO3p16UxJ9dyrKel2mdnDPE25TS/01NnX5KRytbC4PqAFyn9HYWtcUz1+q5QIWhfA3iJ
HEdqQFQDtVpRkFYH0Gh4h4YtZ0FnjXnX3PTj/BoXPS9keevD5IUtmirGTESVZqzq18FLjJdIUkiu
IwR3jho4qnxy/BLaP0bMKKTRsBbbMG99vJs2PtPK9Q9+xlwJs+SjMiY+vqXtPgB6Ip4GBGhtt/3o
7qn2ZJoyBoIcJ/UzjtMSFVWp6505LqjPBf2B5SfyPHLbjAj9tI62GdagcCurePhERSmugZ7Ns8lV
6p8aPf9osOUckWqHd0JjFIDbo+x3g2dKsDZjR6YtMON/ZjJ3B9AXIfpbYVN5lZkxd+XQSxlYWsmj
MKD3rHPRmydfuON+tDPnG898c+kJ+T9QV5IPqyX7nfJ62/4JDZX7OXft8iTsjrajyPLOZthbL1OT
xX8LFeNRgEVZ7sNWpDkLkxUf0RC8k+ClNrkp4ykVjpGe+Kgg1II97sVemuQ1S9O23hw3jLD4YMha
ldMYrRO7EL8dKdh+XVB+KXkTKvJsYWi82IGfHbjMTedszOZ9ZU79BxEcmuQaSgxXM8cHSkIrahVV
F2ETN00ETi9x5pc8m6a/XeaXfEyZol2JZ/TXKMGThmcfDAdH2249cLRnHpurN4oXzPs4qapTElvm
frJ7+lBmdFEGW0QmPgAcA8QowZ97DPJe+qF0Dz1oiicjcjSnSZ/6XCXDu8IKrbMG1o/1bKDdRzTL
5JJ4CxN7praC/EzmX+wQzNG2Mbye6HUOwAJPEjBWVjysqQxFL67pzIRJ2paBDXlOOurScR003CxW
3P7NAoqFz8OUE1+8j6Mggd/AiMsmcLC2y0lffaBNx6DmO6jCynp1/J5BqGy18xLHAwLAbMDOeGSL
YH8DA4XvPq8pPigJTqyLgnrUiH7Jne9U847GoAaOGjizoIi+6aq2UFosumioAd5j0PN3DSCDXw4t
pBrJ4KZrev0Yf3Qjg9HSG9pj3fTqkw/tfDUixWkTc9c+b/mPhIZpo/2E+dYrJWZaEDA41Vr7fiA4
M35Lxx6bp2lMm+LZwAsabHQ9U0HadFzw1kzbsoH2JazwTDZ7jKEBJOdw5Ye9sfcgDV9LdxAvY41X
YjZyG0qTL+QWyITYd4zVnoBMWZ+djNyXbsSqjMXejj4WGgt6VJpWz6I0kt9x8LOT4bvOd+PawF6C
BgkA0Jo/Xk0OqH9bR84nMUgnXIECbq4To8KDPyNpcGBTFquapxuBXpWzZLcg+N993u7vHG7Rq+eb
fvsSli6GcQzlqIpzNtiEwpFnthgCIY45U4bPyhMTleelCFoKDsABY1jjIdx0DMszzu2q3epy8okM
53x64eOguEj2w7O0MuSJ/KZUMCSlJs9wSERQl0I5Xh0AQ4GwJo7NonUUDNr3lRXVb5gpum+bKxGG
q7q5tp77lBpU3I4A++pFQdHo/hvBc4i9AX0lC8A9iApFf6EKvmWLDmPV0gvBzE0udsFpPPWLYtMv
2o29qDjCDdEorUXbcRF5mkXt4USdXMZFAWoWLahbVCH4Qv1FS8N/dJO63ZVGsLe0DKgLyZbgk21t
ukVjqiCF3EU34ckjr4G9vsYpOYYNzLygmOKzXPQqd1GuBBIWlslfoy/Hp642YzJbTVuyWtvoLcrv
o39dWAOT6Mp0R0xKbJDE4CgsgtmQ8ckpFhEtW+Q0hAvnrsL6cgLyUT7lEo6iuwRFKPm8NhxnH2Ed
A1hL0/ovg6uZHXSwD5XK/Rci0Po0CwCAVFcOb/lSc69ofrwnj589yrklxtTCINmWVq0vY+wOm5bJ
35HsdvLUMwDYOHUqawp5h/qx407606CdPSVMa2k+YeRHH0X70ONTPsqgee/MEeF2DKFiQD53uu0o
o3DdUiO3yxeBNCExT5qwM9f5Ip9OiEsfJBJsFDymGCAroo80aGKcHaz5iMLq6C8K7YSn+itdpFsw
jJR7qFjfdYuwqznloVssku9s1MbJWWTgWPHI94r1Pqhl95UCH6fIRaffkx9CrcoirtQWRqC7MOCy
tkJFcf+mizKdLBo1Yke0DYclu70o2BAgd/TWZXdgfOK3YtG5vUXxNiTPlVpUcL3o4SGIWTBGaOTB
opbHAQXNRt8VL3Bt7LtkUdUhrSQI7GZlv4ScJ+/Nkj2PcFTs/IYi54bVtWV7NoVCbYGXJg4GD5pF
nqE3CI7rHOdnk2vSfYZbv+uxxl4eRqP1nHtT/RK0NokgA5QG2JGuqUhHNRWJziL+HmC0gycSrC9n
JVufOIgj3khg5MxmAS9CmfdLt91lIPO/hR64X3nERn96v/IXF9ZMPieQ3+NgkdEi0P0ufYY0NJvJ
i+CkhgWMtYNvKIOojTVol/aBewXoa20tv/UOvJLqobUAc4FA0d9d2fVnq2+QJOhp2OLOKg5Tt7h7
gDddVLhonyKtP9rAhLqXl8bVK3JvDeArXlnBWrPEy3UlgfNhG/XH+8hAmMUUTOLRA109rbpBWG8V
tw3IfKDz/vWmG+6i1py2VIYTvonnAfehrKbpPecOCRo39Q4qSCnp4IfHVNa7MRdqOyGYuOMUAFCY
JqRPO0qtlyCreIBSa+Z7MJS8LsQyHOtCVG9u2fxTeQoLoAmm6ntu4+mf5AxK363BMhQbBFfKRm68
3jCIpaQ/uWCwZckc09P0DZpoAmTMZ3rQmoxHkpnLYeyNRUae6NR7NuPB3hPsN84EGmFpCtS5Liq8
DSz8S96RoUm68KpT5T7ETlxeQGkiHDlkK5duZBRuXVVnEFf+kV5sHgeDod9pRs6gKzBxlm0Kv7HU
VIEHxYqtSvFJM+bzCM31LhXM0Bl6tHsris0f9G3xg7wFiSknQ8nXF82Z3BoyPDeonU8NyBXG3+M0
J9aevXm4LmJahbGPKrbO8IZ9YUTuKmco9eDZ5sMyE/o0KSWmLrEeLAc1q8oeONmVWF1Zr+4SSBBM
uxQxY9AJrljTrAxLORhnLPOAdjbOmBRvlMfiq4uG1n/iaFDgQEzy+MHOUgp8h0AdtJtAqCqcdOMo
Mq9hTGI5KRCjNPkHYmWzps077WR7dltmiQRp7fi9ERCnVVurz4yqgLsMX60ipAS/X7m99+SkXXPX
8F+D1NbEj0B9nDuzJu+1iiMZnPFZBAdHUnpqp5M619qsz6mbhlcfyWRXIX+LjV3xOZ1Urx8Yrim9
9Ry1OGphVWyb3phIjbp1thXuBMifRmBtC5wowjZ/DXzSxz6e42eflQk9Eqc429EMznkO853IOrFr
PXN+iBTTNzKlkj6IrAzvxlzXT7Mx0rTXwRfaI1VXB5/o3zd4reBUe3X2inTPKjhK1TBvBDVdM7zC
S2jU6oE7gf22VKcQJzd7zlyBe3AUm5mW9K0DNee6Z1Gyahuvocbym02DXFlTKXg3KbkAn1uMT0Fs
F2tMk8ZRF359MqQp6Wiomi8z5QCCb5qQALYWFmN14Lq+J/zfPFD3pAkqhkwVZ9oiFq+vd9RuWF7g
yw87p2A73VRJBnxnCmO9dZ2Ez7iElLiGMhPvu7xpLTYeu6eJMlJvtBFZb+FAmXDRETiB3NUujSY+
UmpQkJVduUNav+SKw/gu9RQtBzNOlmpn0Lwqzz2dm4xka2nz3DL86FA1hfEOyUqdQkgvzJ45ROfr
JMn66zwlbXqWgZ8+J8GMMFxEBsPe2fO9YZM1afcvC8p5P3eD/5Xb5NLCEaPhLqgKo9lmme8XO48i
ZCYhDVxzKhF90jhdFDpXBZ4/Xw9RatORFEb1e+di/uoNE20/CgfTJX3ekk+aGfW/pO5cfTROPOyN
rGoeiHCkiLN0rDz1k5gZt0FDfawHBnFO75Lxy/UnCEw4rKGi04OavS9DOgkG7BGV0Amckwrt8g3P
Py7vKhzBhPkJVWeVVTBI0UdehXmrzHqkLFcFVGXISD5r3Y8bilXmF8aX3gn3dfBI2p4RQzZQqi26
2VArDWntl6kBBgKBt4HkZ4t0YIBYdzdGMLQHZsi4QFuE5Y809NkgGKFOd7p0g22XPKV10HUbcFPR
S67j6iLItru53+YwgILxLrbZCQ6Kbaak8CPRPyFgHrlOoFsBPZYlpEemzt5TWDsORWXDRLaUFu+l
F8lhUrvpJR0nG4f+sx3biP1YuJF+ciZ7fmdwPjwZflfBrbQg/leu2mtVO68O2JUHp9buNsVVasIw
sye61z3ozF0xcS8fQsDwdZ58pqNfnLVBpVhLwKlhBGkl7rkJYVHxFhT8mtB9RIc9p6y1pmLnY5pJ
5q98Dte7hMTx3kxSchoQmlpigHkEAYAX4kmSEjLWgkaA39hKaDtKsSw+gwIFZggFoHzOUgy/oxFz
gY4ImrOdKirCooSL1Fg63n0rLXVthDSvNvGMh8nwMHZMcdp8Ilin97SckQnvyQ3cmcBcGeNUKqtw
8zbWK4EC+5w2kS/WZZOS3VPgK5FosjI4Qe2N/2Dknb/riA/Pdkg4sK16E7/Lpp/x+PgTYQBy133x
ztPW4ycsUnYCpp7jgzKd+M9g6GWB40PkWfxLAd7LI6b2+c7ELnRKkpie5KZUZ9Z2NiAVmb/KBf62
iSQ7H4V2xqtvpPXT6LfBaRRZc3EH3R8p6On+qc5daJARa+cQRk1AnH4c//pZjLu6wODnYqhZa19X
B7qWg5PHuo2SLYtnd+y9k2FXzmomwfxb4Z6u17NPRW1dmNUhc4ORM5oom2+rhtqzFVifr1yRmH4v
WZ68d8KnkNPZn7kOgufZbvmlZR1Som8+hLYmrnjxhNyRBsqAq2VSCMVr+FzhG/jDDlSGqywYohcw
ok6MA7O1061UyWNXBuoqZe6hHrC2gD6kR/IcmVoTrwwK8CN8kRXjmRezHzz6Y8U0wZzK7mtmrLZs
yL19BylD7eKAW8lKVENxpSArz9ZJlNnQxWI5P8H/5h3hcINKn/pPiFvVsTAtqg5tr8ZvMJIN6xuu
Gq5st22LP29Ohvih7Cf/xJcJqmEb42e0aDzktx9J3JM0T+X4zZU5vO+w+T9OY/nbWB644k6sG7x/
xOaj6c7XE07RgWaPVgZynSXR85RSv5j7hcfOyOjyqBVG+JUzjDgPbNN/cWhcWOEP5sMz1XrjFkuv
YWuogbA2fUu8Qkw4jLSMj5pj+1eQSBgvpkmkyYVUenU50HMTKDyjh/HKLtePY33CKLXUfkRCfYp8
bC+oq39km5NYrLXyHhJhB3eDL92nkXHGVxWErrfKrRh7huiQb5KOp2kwxYFVNV4iXLiVTGYKedvZ
hL3inhJ4swEEYEll4AebeRFxtg1TufY4IpxJrVbvjmDLgkPOkSVhwokDecBNgtoiyf7Wb+ip+ljy
+m6TRsvDCDFyYwZ4+EO4n3JvOp7LbipGRCutyy/fwV6MdthtC38K//UUuJ0HYym5Ybv/NIOE7hWo
g+Ric9Iup448lLMOMnQrZ+64wdiw8c/KVoxyysbZhKg5jHtr77v23MoFLanhTBs0SLnMSIAQMse4
01AlbTjRDVhorZJnD5bizoms4SWF//8rh2n8STm2vuDS7UgZ5OOy/tMocvGjDHDe7IBobIDRE4im
0ueNESlHk7lcDG19xmLcd2GADkPAl40m18kd9H3zB6cpMPWhjiHDtxMb11RF/pEAgXnmh4LByh48
Alt2+uPkaSD8WSXksVUeKFvA+FW9wnk5vTdQYNFtkmhn2zV7ftUkegu7Ho6bjG3shzpI5zu6Q1i9
9WDnpyACl0NMBYuQB7LiD8EyDLK+ieKH6U2yW9kkxRbg6eTd17RQAlbQTq55zNnFVmXlZ0S6/M5p
LhFZLUquche+JFGnCBCza70WfYuOYlf5eeyDEbthbIDwKMYy2HitWv7BwIduFXep/Ypm68DCQRAN
1mXleb9Nn1b3IIDdJzYvzi4F2yWGHrb2ozZLK98E9jx+MG+m/TnPjBex3K7KUINBFfBn1i764Hag
7GAz4jC6C6Pe/s1hbLCJFdEO9FmbrF2rA83p4SJYRwyHz3NpWqexasb7yUTxdqxlSA45nzR2a2+x
9Fh8snp7a2TDk2swGU3UwO1afXQcwk9TXBXH0KiMrc4tLGRT0/+1alIwHceJe3tZnQnwhZuAzrSL
QbwMBAv/b848clNWp8wPPJPpvRJJfpe3A3EYbZK3whaOa8rx4CF19Uw2t68uMOwXkKZlbF07Lo+F
FZh/ihquAx759lKCwX8gP5S16zrF7EVWd/6jhEPExYqCYzvL4cB5nTGx7IS3+//eoP8bb5CFzPZ/
rKO++/5Npu//nTnov770v8xB9n+EXuj6AXZd4rBYYf6XOYhOaouMLBOE0MYhg33mv9Fo/n+EfAHI
IGxAkRVEfCP/HSux/gP3g03hih+wjjjR/1MlNSGS/2kP8i2cQZQ/UkxNN4fj/Y/ClZSm+HHOZ7Ub
iy5xN+Bdkj2u0uTBoE39jamw9R42gsxWSxLhkt4YzWGFwyMc0uy5cu30oW16QTngMLmASPPoZcZy
VO9jeND+hdW0S96EkBChDaZeb32cUShb2/ZmNBw6I9CSmCiPrwEAj7VOuv6hrsw3SvFGA+2Gpdqr
yxcxV6idhGMemDRkBxsJkl5cxiOtKLvHMmfkuyKCA9Na3fjWzQ11bcMRYFeGf11pWjLxcA3mmnbA
CV9ODC87S/1Cnmwo2tXow9Pub2xtHzfGc30jbmdp2z+XNw737A6cmqBfw+cOb6xuWxRMTbk817+G
EULznpDv8BncKN/dWEXRqb/Rv6fBtdunCSjzr8uRJd2znuX9G3Js9CvnefyZbyxxu42aEowXrGME
A2hs6QKwZUKTQyHnaAiRfEaIgekSaEkXWdl8IehbL9K3MVYsQHPQoN5+gHGewJ4zTvWNfE5Axv+Z
2tTtj45fY5hoYnTsVZEszPRkwaf7C0jdujHV4xtfPZrMF5fR2idWZASvBcM+miq4x5gAm12FDfvQ
jdjuMXGBIArGfWlcoXYHc/yeVwUYqPbw/BZMXyMawoFQewsSXljA4Z0bJ54hhH8l6GPgXzYr82Qg
RZLnK1jPUTaKFexWFlHTgT5fd7hWwaBi4l/g9BgKbHufVQOF4nUmLm6V/4FoBbSzQo7fpHie1vOC
ug8X6L2iYHtlFvzcFJsyweFECyh4YeSbEqqPSuHmi6IM390bTN8ykbu/koWxT0lyTzJwXMZsJiOz
HhL/6IlNtND5zRuoXy/Mfh94f33D+FdtcvE8yP5B4EWfbVukd6DalL8tGGbtGx2E9G2RX+GIYxQf
fcupY4VqBt3PT8VIbYYLwpe0b5UQmAX9SX1gUmT1CcaYsQ/CucGYXwh1ISiScmiormE2mNuUSGGz
dzOYLLUTvRSu23+2Lklls+553qMh9BLOywoaSijj0DmYMbcltsEuYeAOHm9NXQFjOzpCSeWOljHA
zgg0pckD5LsQS4SZYpeyIRCsajpMPtSAgISrXGi5kwQmxkszId1uknxohrUZ2tzxuS7bS5XEYD0g
8VvBqvZb/9Mhd0K6ADirEZN279x39IbGuPdclbQMSdKk243k6byN2yt7Wuf+AOGOY9pkbrKRNxpb
DQg2Puu2qMZ7twlEd0dUfsjwlmVcQolIuNU1CYe8XwFbtcCq8nSFQAOLfNzFgs6gNY4Qs15XU8Rs
s54HCVQOJwPRVO8YehiSnnMluVKnho6yv0M/1Ze+kIoPtldz0ppmq4BWnXQwJWSW/wWbEbVbJ47b
moExTuqN8AL88JY5MwlXodGSS+msuOcmXvwj+NxwlnIG4NxZnasjTybHoHo5EVlcuTkNcEqqlvOS
b4z43NwoiNJT53rtjxMVGF3KhEs9HuyRWBd/xCJBMVO1nM4aprUkrnILdtxycPPMuhHrZBGJAo9q
1PVMvNDegAfnmJffjnwskAExbtJTcs2PCHjudkDME4ziq2LMmURm1E59ckQJ73qazN8lghbFxVwV
KBfmzAkrPhpXdL/BivHhcW9GBYbAt/Rw10cNjB+DtuB1uJxiM9AbTx4j4bWbVPa17KsEg7/2MkJF
ywE4buxI0es+YiRopvSsOU2uF+fai1XZznsJInFntXifUXx9qikHqisZLHDUHpdT9yigdTkGdknK
qgxkHhHO3R6EW3SppYaeQw8UjbCyZNLmVvWDgS/xm0bj8SsdLPeNw1d+9Ls+25ltH1/ZLdNw31iB
ekGcHH+Y0rq/9nJ1gEzA1c6rniOWpXE1NEGEt6eXz1kHoImkelKfmiavwYxDrjkweYTjRa/2nuhS
lmKH0lCYvIxGjF1Y9Mh9qgDARKtSs+mWS1G+XI8imu0hueDXNGOi3dlygwqCkgicZH46HEy7c7bY
AMMNvcryUJY9CBFEtnvvdj+DTGZlu8niB9amoC2QNOelizMnWduVsOrLVDpzvVGcHF+bYgCkGY8l
e1fV1+6xJuNyJmrKZVLeLpbTcsf0YLqh6E3OXdbk0UN1u4ySNvnD1txeoJ0x475dWofl/lqPuTiD
5sMHhf+hunrLVbdMbX6v3T564HvRX+UQmUiKiiB3N8C7toMmOaa3W3TMfVoF2V8Ut+LVJw+yHeCi
6nveverTnE1Qap429hm5yL20XYz0sv7tl4t9slzxObmMlNdUJV3NDAGayEiTYyUxIlRWhwcqkj2f
t2AxiS0DBhM5gmqDLpqeLG7r9XMFL/lkM134wlHMAyZcOMcrpO8Symore8DxvtI/ftO7Xyqs+yfw
cb5zBEWff8hBCPEwuZrSFjNzqx+5zFRidLiKZjNJ55i6jV6gBQHU70UfEMqduLgS7Gd8HmqUJNra
+XVKPNKV/G0sZjiNgn7TcpUnB9fwh3msvSc3owfJGxQrM2+u9YZhEPaDpsuceTgxsE3NwYxaTZJ+
+2ke9L9lhEokqef35jKg8pZRFSm2+jIs4ytvGWTlEhb9SgUTqTmv6LNXHBvVPllGYOkyDENr8U9R
exME2pQgj1XAcODuyWZDaWmv1kHe8x32CX+If0lHhxbYLLQO8C3fgAiZ0jWjM32ny+hOqzFwt0r1
leAT6za0u4wTxaEW1i9Y8ctQ0ObLIfiVNQND5k/AwQhZXTmYJlwFBYYINBFRk0stGDvyd4q9HWXy
K8qRxvEYVsMOJHZqreK8B33jNfVnJTWzxJQRxnc+ed7ZjeP42+k6te3jlklAyGXwLCQDolVtUSIb
8C1tBWsm3UyhKd91KJo/sykb5Hi6jO7TBF1uFXXSJ0Y6jUulPP1QUbegO1tJQW1IfhmnNndd5s7C
2dqukI+s+tOmxe8zHzjsoJKbZixeyUYt687AMqls4s9+GTEramPKdUCfZYDWnHFqvsI0Y6shID0/
tGXDrKXuxu5bawmB7TaOLps8f3BSu3UBIHK/Zj5N5IBqcybYurU6d61AnryKWUcvuP/zcM1NYL5P
p8Q8VHKs6CVlSPJhRkCpnnNizI+0TTnFlgUm/NWcLfWKsNwU7xQ782MlAAImhYxxCJUaB6Z0jIXM
mBgTlubQPJgpqHZPMwVceVYbPKVzhoIRVoP97C8aQe2L7g3Se/rMJDx8HG6CQrJoC4WtvX5nRtgu
OZLclAndU2zY9sJ/7v0IiBwkKg55eNkePBgjf0oxOtemZqE++DfZIzUWKH3vGb+seNmO/dnfkRrL
/qI31ctEwHuNboqJMg3/CvfU/5Iz1fTrKHHIqDZ2i0tg0hEgFBl85kE/P5Zma/zIsMyezZs4YyvM
XhWE939RaKb1ZRZKxqtZeeWv444a7ihlUMVcYLKklhguFxMvcrY3Rcgn6L0UTLAKHRpIcAfsa0yV
xVT0EOtqtTe1p89l0mJJmFLTXDde7WytqWs7+GNFcTLzEkurW/TT+7xIV/KmYgVT0ARM8FKYzJas
8afkQY46lrZbVKv0TC4OmbjsPhgi0pa8qGbzop+lld18xYumxtZUn8bECY+AkVh5XIHFZgiQGSeb
UWW6aHNUBXAeM5I3e9Ht3JY0Nk8hiUxEPYm4p3ynPY4ixmgJG2bnEiffh5TqkdOb4r/xognCkGX9
myJ6zNqR26Gh3b0sdbKnxtt1N/YI2VZEUj6OlZccm6xWOwu572CpIT83Iuj+DIsoGRgTPEJC1D1n
l0C+uOx9Oz8c1GEoIvHFcUbRwp1c04qlWS3g1GkmvDkwfV4FvYzPtden+zpqcbThGrpQlMdOjUS8
GdIBmJGvCQ2EWMnZiXOSyIP+zbERDhB+C7KLGY6drKGXYIOzQDN+bQ1AqFN7bhvGpxj1s1Ok8v57
Dpvf+abyFm68bKfcxuqkio/+1DJ0Mux5zxVI7FAIudWmi3AMmKXaJmSI1g0JylW7yMoptp4nXZq4
KZtxbM8Qz/QFibQ+TkbdZJvQa80HjyjrujBw8jkyfuGxf/KJgPdj9+bMg/sI1ZsaLlJrayvPawIT
cJd5Oyn7yUXGxQ2uFeYTXeXrjNnsm0QpfzeFH625ffqg4RaQnanH7xSrxKM/2wxeTRLfoJn94ODb
g3uUMbj4Pe5K5HlzUep9JPu8Vu1DXrrMCMCtdouwn1cdGr9J8OeLUyeSQ+55H2qS/U89q7ty8QhQ
tVBumptxAG+Q+LEXN4HguLGmG01SyIPXgIMekOvFf5AVffeMo4Z9Lmw8OhXsbtcU+D55RA0PgHdp
30s/GF50wNl8UsxwSd4a+vM/2Tu35riRbDv/F7+jDSCBTMBx7AhXoW6s4p0iKb0gKInCNXG//3p/
0LTntNRj6cy7Iyaip9WkqshKZO7ce61vweFFAm7Z5Pdp4hm7WbSfvSKJ9rmvprPrh+NjGLk595zO
3I8oRI+ExkD0Niz54hWwkfB3R9EQDA0hcjuqkbuc1VjvkFgR5wigWaOnrLEsl1lfoMjFB8gRbpEo
Ibm1cRs2yCIj1d3SQWz0wzeVh516UtHkQQa2i4KbSWfHOGgqiLm2MQpG0no6pktSfELoS3uiF3Ye
bhQQ9+iOaCbzOUyGkvI7g+YGp+qTjZ8EZUNufW3T78RwJ9cp/AZLnHpuN3sJitHcqGVKnrN6GmGW
eoQRPlZVWxTHKUKjQnxQV+08oE7Iryr3pOgAnZh+2twXJlHcWUzJ5XFtkLxFrmHthmxR5K8PE0IM
Qeam3uJKMx6tlnFkNw6ILRCcPxIP1b3ZecIG0Fr6aLvJJzJ14rNo267Y5X2UBeZIn4V7XW4FMizd
J8Qy3bEtFtSC0YRpnejrBjkiErlFHWgrC2MvJgNioTfqwntmVG6bh4pTU2zaMF9LxugyjtU+GckC
2GSd3y8gn8wF3cHgm98qc+pvvMUJX0ya3IpgLRFC+OhU+kocUHNFB6co90C/sJrZ1ZRfkeAl9NMY
dozSOmuQFz3BwAZHDWkf7fmsd8lojCjDZx5yvGi+rjWwNK5vB0FzDgDUkpgjjWoCarl0Np/8ghNr
P4408rOoHVGlCOOp8kLvgmYJxq2fktXVl8MnHrmkuWHLl0x7e53eWqFwvuRp773QmTFhWLUllXTl
Hoosr25cSHJfnCaKUPv5kbhMuOb2BPrkXwnXMsJj7YF6o/3QZJjLmIPQ2/F1426shobBRlR2gxud
Ub8VNJAUrzEPQ40d3T6iH5HXjPu9iWk1IIsCiHjFYBKfeLtOQPK4dxmbOxOPewtoiegCUkDEseUm
lu61mr38MMDnC5rM7ZDRNFX/KsJ6LZVRn3HmtHn+hEaV2LOQjuVtwfWFP9VYi7exZmFuOKczgKqu
dt4io8VfDV5g2mbjnFHhcETNysUL7cR6ugKtKT9nuVW9SG15r4skgoyMmdi4Kz1cttvWcTy8AaKd
994MCI2UtL45UYnn+2Gp4LiHc99yvcNhVG+xV1aIFGIv+uQgFD0Uspc3uDQ8THcMVI19p3oGJYnn
fpH0Pww0UXl2xvO1CoeoeV7T1mgRSckebmgtxZ2GhnbMEcptWMEifyiMvD6OIUYb2NrcPba2H4Ek
sBpZXKzUguKF/4OHRIvMqXaDLvGdh7bGGoOpIdTVicDcsN/12koPGSo7YtLycPo4SC5Y/CRe+9zP
imQy2YO/3Y4KxCLD1m5Bm4oyjqF6RpXc57H15CkPN5zTIToIS5RYZ9kOK5TOHdI3BO4LfYtkMqz9
HFmmsQUKCvXDV/2C6b/n0sXylF6QRRMopo1jTqjWk6496AJVMA0R3JaFB8WHbm3+tai1fY0yj5Fb
nvXIZHSrGnmb9FH3XPtu+lKPJpLxfg4lP+YC6nGbGarFkOP0eC1HlspVB3yNGRnUeRJ2hsh/0knD
bX6y2X6QI6fQvEb43b0N/OTCPpFgwzOtigWaudgaUKbgHY2YOAmICgMM6SSd1JfG7ZsPKGnwnWeJ
ZlFnNi29TYL/bxvFSOihpoK+wzbfMBEGWEqMxgQD+jzZDb1SUui8m3RK8OIr9k827DRCyg83UCwo
Iclhw8/REReXF9Y6l4tRWwVDMlQ3qQYZDZktmz7KMMXTour+I09SY18a0+wPURW1/aUy7cGlXlbC
D0jgWWUbSRrvJ3v14YUheUpbjiX2lQkar/6QItlB5VMyKzT7rgZvzTEJZlyCWnBkVqGlJ1J9M8CV
vOBo6JP1FmlE26qZamT6eZmnOztOlnubUMmKiLW6aLgy+W1QmzzzuyFxwusRfcgIOhJdT22mzDTH
TNP+yswVicGuKpiB62lvlKPZX+aRMf7WIJd4Iby2oo+WNCbNpFZJ9oEF/8tNu3SImnJONq5gK52F
nOCSy7nIGwnzA7PkxhwjmkUwo5EkGFMbXrd94Yb7XFvfhszwwLARw5K4aKSIcSyJzUZ11JHgRqge
EFbgc8WuZdsEVNXVxn3EVcN7tpMFr5IcwOh5aUeg9GgNxp5rvZN8cwjG+pRTkLmI84lWpYvrIN0u
XNKFR5U8ZLk3HxUevWEfY8F5rpIefii+k2e8yFTShVeld3mdv1aGCHdlgjfwlHKI7HC8dLAbuiEM
evJb3hjoGF/LpJqfUvJyjQAYD3YLxbY7n3OOwgZdeU6yh+1P3rEe1152NvhfKOaaz2bq6Q+LOTXJ
tqxG+HvU71eGxbBp25XrT9SFvdiI73GQMcGQlkG4GV0LsZ9oKAAPZeKeCre/a83ZRnCnS0EMmhqX
o2DhPnT1WD2Ey8QT8D2UMl7zKVeZOAOehdRK4F0WrPOaLMvle6zlMipUdtpo6URZ1Rp9GTqIywCW
rpGY8fd4zJCwxvSGZgOxmctiEaFZfY/TxH4k/CsG2B4OyIzEzY7ozbh25JZO4vxmEssp1nzOykyL
DXHBhHYykKm5CdSIx+vvqZ5ZGstHoolpWnyP/cQ1Fz01tuU9UYtGZFZ8jwiFe4o1l1Ft/SKVWX7D
d4+IVTT0AbZea+p3u00JHfUE+aMQV2j2131CruKaT+owQM+pKBtiS///fPa/NJ9FzvBLdsPlLWvj
t6/j+3v1V3ID09T1+/6E/jl/WDjeMWthX/QEmIZ/DmftPxDhmJLh7Pcp64oD/HM6a1l/KJNIa6B+
zrrEVoTEn9NZ7w9bWiupT/mwFhxp+v8O9W8Nx/oLukGu/AdlIR+weNKYTvo/BUa5+J7ihkcqkKO+
8nV7YJiTXyLdfOpa+CtAH4CDjQVglf4QeggAsLw+x2hELmU7vIox/dhXDdSTZT5gOe2PXd3dpRGB
RPwUK8jNwL9ctc62cfPXzmPGYfrZ6+iWgT/MV8KX9qboAUUgctvaY3r7F5LG3d8R0etg+R9/evr6
P//b9x8Og79FEeMJZYHB+JFLkXIsdNjGnWDC+ma5PeC5b0VT3Zmk1fx7r0RfC9KGZ/loTC2HkcmP
rxQZjaUGrZ2gtUrMLeRIFcYFC3FAWFbw65daqR1/+akUQBHG6Nb6DwF1Q65D/b/SNlCijhqZmMEO
MHxRYc3wRRcv3cwopfGtUzjgH8sl8G6zllWg8MhsTekMG0X+DmAmggiWfk1KVh/5qqei0NcGqdOB
6zavkTGeubK+2XHgMIsCfFp+blAybysR07Io6svsRM2mcJOR/BITtEDfnkQL8bcbsmnnmMkYxOH8
JoflY10nn0StmPJkpvubX7e1fnL/+cl+/x14vmu6gDFRIDOv+/F3ELoqHmbBRLD0vEPMtmtpbM1V
3O2rMjz45Wul5ZvhUcASlzWtfCln0F9zI37/9Yfx/YV+fCPKAngiFBoLG1PyT28Emi4aycgldKDj
/LdqEuUHQ716UdsEKJW+5H12dlJqxTw/N/3yVLrzPfoEdRBAMDbat+9F3zxSpDFuYMQaqbcljT7p
2dovufvwmze7AtH/+maVlODa0A5Ic50Pi59WaZHiI82A6u1McwE+gXNDmeOTM5iPtSGvMSU8tX1J
DS+PyyQPSW0+00pjrO1wA5xi6BdpMFjLRmGU2C505Fdo81jR/v31+/zbp8v79NHNQaPgUXLZ6X78
dN2oRoeeKINiNH+suPzuR61JihrJknN7SGYtMbgMpjeOpKrLmuXTUC+Ps252PUrJX7+Zn8UrP70X
7yfIvCkrhg90SIKwgDBWEdHgW5AxOG89+9D+9uW+70k/fUY4BVlNDp+Uss2fFpTCzuUtpI4GgjxP
DKlgor2u4UIzsiqcR4AjNjdFTeQYAxxGFpAc8DoANIk/qVkIuAxhu4tGzajNL17DHtlg6+912j4R
rpmdbQxu2x5K1D50k3tfm33Q0YfjRnDxutY5pjJEUG5RFkN03cx2ae3GqD97Pqk6gA/0znHqNYMr
2odzju0C78YRZDMmdheWId7VdZjC+KETy92vP4gfN3MIWCwKWncwhixpoSP6aVHQpMwJX+WDWBZn
tzjRPq1uppRLnr7+9QvZf39MFJkCHIo4Ezh/3Z+ODQKFMFyGPNMiVQAFs/fCJcjF8Spsyb7AftoS
LzeNj069nLp+fmCc8DH0dLsB3vwJlQyUyPZrpMDowCdvcvup65rrqcz/UZZ9mf5H9F7e/WNN/DUA
wfn70vzxfVI//PUgYG4LNa2qM7yD8jJb1M+ZouGf6teQA3qjzAEgXQUCPTbiloZ1cd2AG9h6FQLt
NXEJR41xI53WgLdYiyMCk+G6aRtN22DMSFvzQmTpkjsbvoRn+IggaeruZijHAUADRoSqgyZq2JXD
UuOFpTmg5l1m5JkYhMnImzFE1InelXbXHwqnfJm69C2MK5vnaJw/zW7/bGNbDxYqh2+6Yrg+hVGz
D/s6OkPaXfYZrqlff7Z/X0RUO65D1cMxLThBfvyV0X6j3BBE/UVueMO0gk1w2CakOYeVvf/1S1n/
6rWoOdDQgUq3XOunc5pA35rWTekHA0bfq57exJJU4lw1cBhjBAHAGKCXFvN1G32LVDJuS9GS1O5z
wI5dCWp/xj8tUre5Q077mze3vvaPu4wCWslT6/NQUa/+tMTzdLC062VhwE3/agYL6Brnpf7wm9/A
z5WKksozfTYxxWtYtvrpN9DYWdQPMo9AO4DgYdh3nFHvoQ/pDksSl/TE+4cxqqq3vHY/pON877Zi
l5poEpRT9Lua/LdN3SSEOrbTnde48YX2ecakUjm/KSj+1TuVnsOhyLKw8Qn9uC5IAwu5piVh4EmE
b2mi9yAfuKITLok1Oac3ovbMTgnW6H5zvlDJ//hJKKhlEqybwuMOUfKnT2LwdLeUaBcDXanncFRs
Mc1W+2UgULDg/MWlXP/mJa1/9ZrSsm3poP5kg/vpc/E1uYoqI94QiPdB26v2Pammq8pRIrATSnvd
f4mz4UMdO1AO5Ju9MA4Ijc9dkyD3McryxpsKDGGCaZUiZerp1+vG+dsGjMtZokxdN2Ekst/f/19S
bCejRg9nd0bQeswKob+G9FNCxlgbnPnAjbKFqDIW0TjZ31I3vuoX+YnW7bQnreVjU9NOTKWDCWj4
lsYx8aXmPhoQJRhZcjfK7FDFpAi6OEj8qvwiOW/hwzIMQ2B2KvnPS+WMV7SbEaBNLVmPfb3P3PZ9
1uZTPzsfrRZK9Jol3WSgrMIRMgGz21//BtSP1zIOOxJauLYoilyeHXh/P67Hgm4lt41YBZCMn2zt
3tN2PKoCCQA6qHwL4JXQXDe+rqYo31ohf1ISDNbMhDd2UfvQNeOD0+DwMw2b+I3M2dIR5IBX2Eqh
hKoaMz/RMyN58c0lajsSv2c27xroXDPio2T6CJETq31CP5bcO8xbkfc4CEDjdnJtwTxg/HJq8IgP
KT2x0cSBCaLpK07CCjJLfdP0STDwRi1TwyGfLlOaXjJs0hAG3Leh6+gXCrLOivHQdZJc3uxQcwfZ
TX5GewaU1d4hgn03kd5eGoBAzDUZrdNTQDLGtI/BKYlJgmRCe49f58vYRLclkbELFPfu/Tcfxc/P
pycol3k0udqZwvl5Z+hlERaqpsMp7G2NyFQdh/K4Jk2Af/v+Sv/9hwO9/Y7o/1Iig03WcNIf//V/
PZWa//3H+j3//JqfvuTwXq5xA+3PX/TD9/D3/vm6a0rBD/8CTwuI1X3/3swP73j3uv8bGrB+5X/1
P/6Ze/A0V+QevH0lQDVIWh7/L90PjRB3zWz6f7Mv/zcpkM2/1rd//85/si/xWfrszS40XE5UtrM/
2ZfyDyVNV/CECDZvroL/2UHx/6Cl4dHY4OTx1pPnz/6JZf8h7fX856+Tjv3vtU+sn3eq9SUs6XNg
eNL1uIr++JxKVFyD1ae4fvtobB+xuHtPsL0LJB94FG+RYHgAwwAB7guTCbJjdik3xcj9TU+Ake16
TvxwolsctjRzKFfZN4nD+vGdmO4goYL5WECstn3OPFQWofTD0xBp+6nPEv8y0YBm/rQhyhmwWNkf
PTy+5KOC0uePQFBZWXkos1h/4tyD2B0nM8AoLmKBjkL3zmTGcVqYewaz7/c3MQFqJHjXLtl+tWHf
xy3S0YTC+QTTsKGpbizdlt0p3BlNNgbCVTPhgXg9Y8Qvr5btKJvtGtFB6s3+WfZAIja+TWJQytfP
CIMRaWILBn1jFDYCUudGJ8I4Aod2oRG1nXjDCpFfuyKHtdzVOWPVyazPk+yIPsZ1RRr48tXKGvfJ
ZxEcylkMuBBHcPR5xiUljbMEgtpYfkYz3Z4Id2puY6ezrsgTsAMZE0Ynfae7i3CVBQ4RfDsTZG5e
VscpQUSiARV/mHGm1psUOcPWSS35anGvIuvGtD/Eo2/s+yoTp7QQaHQGYV/qODL2fIl5ICxABuUY
N8eWa84lMsR4AlHFoHPO8etGbMRO3Z/nzlhz2p1oV411xRlV2xl5ToXYw2Jyd2HnMCJwZffkAncJ
/KQUwdrieSTAyGUvhF3RzPBw6B6T3NOKhR+tJrESAoXGZngd6Sx96pmXvIxjPeypM0NcD44JOxAr
Zl3CJhV4Wr/WOgVfo7Pi3gEGj0ZRGv31WOnmKomEE+D72LfTeO3E9RGs39kjtHsfTZgLBlPdKqDT
+OCzyNouOPltBnAbZHcoyLLCP2SCK0Lb0qVy4hn2cUxPK1yybZtqRiLtXd4nJP7EYQ3PqOWY0U1y
ZIgUB1XX1DdVlnWvSRphDWi7EuYAwFbmRsZnhYx95w3FfKNdfwj8kfVEFGazd1bOX8Ucef1/8mvU
dISvTVX0stg4YTdYmudrTr2C1yyte3MCltLrYbqFmLBALsAWPi4VuGW/uKWf0xBn0C+HKuq6+zx3
5SHPneXewYNJ5YrnUQsYrINckjtik4pbrGHRTtiEZJPMLE9xDQ3BjesoaArT3g6qW7NQq+o5L2CW
+okiqhlq867w9TfIpNEO5Yx+Ch1F5NfcqIC/o9z2cS2Pw+Qvlwng3Kl0O+9QEAOwE4jPyZfSCj+z
QTJXE5nedprCKuBynhwb6FA7+B7mdMAUY8Lqprre92Dusc2hNbnRoHkCo5oUgYV61ni/cnE1x2iZ
ek7e26Q1xMMwIcUv2pupWpYDcmL32iud+QAVdkBcL63ryItvfTaZHYTiW7PX2zxGbx2ZRX8eLJF8
mcsm/oaSrt/6eYdT1F/C9RoLcEMJrqjs+kfR5/IK/xoIy9EB+UrEwh6dqrxlUohIrXfDh6iASGVX
XnIlSQM8dmPff2nIC3lgZ0YzpVaJbd0j31fwsvxI6hiLW0+KFFozmZ3wtW4nFj9RDqrv54O71Jom
ZpTCb2irGgQspoO92/pedVMM5kgmZBNh0Btp7K68xX0aobbG3ou+LAxJoAQQrDpgg6Yg2rkf4P1Z
YpS0ssJngejzlsDlctnarl/ipkCQAvkmQX/4EXlAf2/YJcmMNtDC5xZUBpbYMLqVXQMrnxCq61DE
8549bT60c19c4aaNP9KswXLuRSS5kCkDl3gS/koEQoC35aYziUtcZe6Vcogc3onKf58zmUWnqijq
3dh3xZVHpvmrk/j0hdNSE/XeCaygnpLc2UGYrLHz1bekzEgyC5em+6ZaryW1Y+leteX3x0qWt0Vs
vKDjaY/FWq35lnTRXSaAhKvcIlttln7H8784H3OVSZ/bVFS+OroheDgFdO+bozqFY+JtZ60LkrVW
UqJhhxNt5TrM7/DlDtZBh6MznWQ6D8jtdWhl79JwuUCCDHEeaZMJyv/KqN5aHoW3MLSL5zInvbmO
JI27sOSA3lkNr6b9ZfxQpWi0OKRC5zkahtdM+8Z59twpPCM2RJ8gV/Sy2yXm1kwEAii5rv+oagQ+
Lg+JNtaYdjsls/xmzbb7wFHYEvKs0jy9h2ZanjplJY89A8lHoJsTjCqrBqA7aL/+FulWELEALOoF
26hgVOjNp65CNjMngzzLefDefa3oD4S2mR4Nz3IvYeoAtGBEWj/asSuvi4nfapbl6jCQ14ll2qgl
EBtZg56W9YPDbk07tK6PjCGGfdRGtrsH3eCBn3G86VosIdGobkIcLWQMJGbkwnXDqLAomLl321qh
Sq+GDEbd4J1TO203jgOG1MzKsEIQZNbmS+k3ycfRTXsbawaZNhudR53AKdS7n6QZ18Vtipu03HUJ
6VEYEDyTFF+jaTcLFod7q8DibVgEsMcYPV5JqQPMh9DsEVcBYyirdfe2mMrbMDcirCd+fKKqyaqN
HPgrqLXGlOtxMwT5lIyHmv7SmUaet6VKM+4RjpYHi9bLthiX8l0lEw1TmEYzmdHh8KGZrCINsrQu
UDwUGb7dTNvdjohYyLtLPGgaprpE7WaNfYDQ/oQ7efocK2MMymaOXyJbt9dYtfXWiGPCeTXBSwO/
4O0ycH5qzDe4Hb0T2p/llrgGGTS130JCN7VBLeYd0CBhWyt0pqHeZiF6gHOFVMJhTjISUE6nYxmv
2jKNryhnaJHYFlBhygb55LR9jBKx4nw/QLG07rKa4fA4k6SQLaVEqtWI5oHv2rspmOoGlN+81S58
itxU5zFqZxi3c6TJtmna1yqUCNFSdz5Zqd3tMTdHHEfC3xe1ywjaUjn2ShJQh2V29zBsaDHjv79I
A/18EjUJ6pdN5bzH5mnFuUqzf2MoswFae2Wr12YYuS7lA1I2B8fAZ+rLct9ZZE8GxTQPL0Y813d5
A5hcZCFpjlgevZvS4LA8zGYv16R3/8CsIg3Qd+SHNHTpTEeRPLhm4kFzlUN9Q/BfDA+wtzZWr6vd
FJrWDKnWtMurslzca+nr4S6GcIqsCDLzGdto9jT0IfJ/8DgHd2jzU9rCmEMFK9pdWpXz+2BrYsIj
MslfvI40TRgrAJj9tFXAbE2xDiotjEu7UoNS301Fa6bhxsXcuCkHRlInYFvJFi4kuNcw1BikJgSq
S9lUe4nA50I2kHmTjgpo69hnzxN4D/sKfwZCrdFS4dEPwzo/pmA1LkxH+gpdnIvJitagHCzjOIjB
+syEQ9w5o91SVyNufGS3iV0Wbt9XQcykKwCIjRI0HK6yyL8AI9oLleU7ip7qEBERdBldt92AaTbe
FlSE7WEAkHlF4MdbzTztthYI6tEI2vl7XygCcNkVOf3hNCOcdrg9IIOag8wxi2uVQ7xpjcF8rpDe
33HA1efSHIF1+Ea3Z1zW750J11mK0f+bm8t8l1kCMrSLSQeXRY8yZCQ6F32S8YzUkD1knkKybX3c
uYes0i2QI7d+WEbphJups8VNE5r+NvGX6Q3OX3g/s4sfcISZSJoAvBJCw2gjb98bB7SwjMw6QP1V
cXJGIUXnYgWuNd6EDUUB/I0zhjq9S+dM7QaIBx8qG5OI5KDZ5GibSbwN1fUc5/Ezdh7y2GRHd52Y
n7y024mfeukujRshrssaxUZi5/2RWCoKtyi2T6bDlM+ZkPA6eXFGuPRB2vrdCL3bbgD6kFm4L8Fg
Am2KixFyh8fJlKIcVwp2F1yYWzrD+sswN/1tSfUFmCyMLvGSxUfpReOVsj5nJPB1XUeUGl5eE2Hq
EQVKzF1qGYMZEeje4kCC9AEYLQXpHh1lgisutAm0JCU3wUhB7klTROdsSeR1pCLrjCit2WSpAJS6
gNgKchRHlIz6qzfWkbVph/Gp4mGiMxOVW3BV1XaNaAkIrcnuI7KwTmETOWev6517x9Le1YA5dIdJ
zA/IukoOIU/7GfUfVHBRNhYlaGGuy9DFcMDSMCaMyCWZX2EuJUjU5MrLOkBBY2B58QETA2t63hKu
lgdUHclViMRw29jpdG5s1wwgo69eCBKwCX3XFlJkVKsRnkZ6qVnjMDOaEAzWx9qkhlicwcPjJNtN
JNP8FC6a/Q8I17MVViVJC3o2VhSNcY6j2n81gWYcUCZZL41Hye6TZYv5bOkDpJ7RdY6EbeeO/nBc
yFL45KFEeEHsWD1QAafwWJLhOSvC8iSKyniwht59yJY6Y68E/b9xVjsvWjUk8OSP7UyKti8WtPST
Z2H33Thd+RUiPepoB/JlDRxRh24wm+Fnc+LsQz0KzNXd9onxVKe9QUrRIDcViVNHY87VCR2eD8Jl
9B9XmmNQRDVJrBYF7KAKsWsZPwauqi5mXBCgDhRTAjCMhcMt0tQP6TBl1AlF82ZJ1CEaqRhuocY4
tcI+Qj4xrkzBaKdATnDT+V17pfzswYXd73oYqG2nuSntl9qcrvvM3OHx3dud/JjF420xmtYxi6dH
D8EtgW9kSTTHEHwaxxL6ytAiO47S8KWJ/Fet/cAekreGxsY2b/AvRl4RP6RTr49+R8+RY6a4ONlo
s46b8uR72RkrMqzmyVnOEpXtTrkeUeaZd3BmIhVQYeXH0CyS0wgb/yCG/tEUBK17c4FUIOeCB7G1
ZipEGX4yXS5XS6yzLyQvrwxDlS5bwsJkkPbskbZpHGPU7oGLDw/DPYg+3C/hecqZkhq4FY++xU0f
qEqqLpjIiCmYVLC03nBq8gz0ljpZfXy2tH1chK53wHndD1WlsFjQh/+QpA6SwIbUx51rzxyMmdYa
gi0q2h63a+/ulzapno3RzwNPcEVZJFgywDHVOS7N4bFScKOBKKWM2bYecOXYTq86Xb8Xk9tcEyxm
oKb1zGLHBn9lVl5QN5be02JCxMtgaFuLCRhZ1szXi20NgWTK80Xw8xGV1QN0UcXkwDDxCLJHVXAH
gNvdh+ZgBYXyN22Uow6u6bvLodv2AssW9qBXIQ3zAfEDKiB7wgmpTVfZJHDKZt8hBziMSVFuRprJ
JxMb0RZCqU92MvDKTdW4qGYx6shKjheFCecyiBLIPG7yxXrH4g2xCyCR7z9CDQySWNzNCWlRXfKZ
6fX7HDWQoMyqpBC3a3ybrozqY4vSfM+xaWxHN58Yehom3WY9QngeLG7ZRnLk5Dpm5Eti0g1GZ6DR
DUKAe/jR80oeKKV3nLbvcrRvmI37h1bRIDass+thb6TW2tfD8LG3x6jZTkJkp5rj4LGxzPlGhPHH
XtgA4krjWSS+e6vTqXszXFEd+e+bIqNsQSldn0TNbYwSxXicfHFdijqo0sncqrKSF1xj4SZ17Vc2
cOSjZu0+C6GtwECpGniz9ayV9AOU0M12aeI9NfS2If1mLrv33lwzFTmaN75C65r1HnAkLb9lyj7J
ODkBvNjGo36qZUJ56Y5keCPyrjnA9zok0UKLQ17Mr0aFJtJbNcgJSWPJJnfy7pFLNhEXTnKdQhE4
+FZ3NzZodwVZkXdxKz6kpT9v1USejZWb1IsWHSPGh0TQtcl+giq9dRI7p5VnOTfTJIFj42wNsgYh
slvInd2aO9mUcN+hqV052cXwzXM1JgmPY/G4ao/7obgK/dY/Jm0P9s0n4LHtez/oSwvQRw2Szy+6
q3TBRJBz4YDqOR0lOs1Dh2ESH8g0lyfk4v0ejL11MqyYNJgW3l29DNGnKLMgzivxxpX/SaAZHu/s
Cl5V/VXR53qCxlCeLErfU0xnaFdMAz6KnAs1MMe9OSnv6Ngg2Yqxv4007Za+L6tnQbjaEUx7j8/A
8DDeVVW6KbqhQTwHHcBWq9aXRtgeA7J8BEUGnt5cputyWQ3hqS3rk5RpH4A+SILCny4GkjBQo+nE
B2VGh8pGo6psNeO4qkTyYXAn54Z1trN7tNYybC9k1C2bMjXpep2W1PZ2fG/72raOcbK5KaLfNWcy
2xf1pVrC9giG/9EP00dtl/FBlWl1aPwqe4aiWgU1E2swGrwvcsx2WS3DAC9Cv4s456mTmWGleO6o
wqsHJAPDhvzYHTY5B3YbvLcTrodqW4/jR7dEXkDaQ3yCXeFcEwGcBdEQE/We5lmFyyriMzuOk/CY
VVUox+kLwdd0U76OXHq0D0VMh6p2vypaXSjtASECoJru0zaqgZGt/XDfVCOdVOyLth29ZIubQfgt
i6tCyKnatUmKcswIW7AQITGyhxFkK46hkTyhDGwEkUP4reKsDzQ4PaJdzQZ/oapsg31hzq1rpntD
dMFKei7c1HgO7WrZpBVXj11LJvyT77oQX2yY/MgzSp1eppaSTIWVdRxGyzyTn1CwOgtNRN80S3Wj
BOlRYdTWR76F5GU76S7c5e3nBNLuyeokiN+4onQkceTCVIwWDgSce5tM2ls4vOJQx016QCZNAWTJ
2oJjgFssGCrtXsyhCxqKP8E4EpMVXYqL37j2Y6/t6CqfbfuJjb+4RT4RHwZU4njpmro+2KkW9X4y
wU4iaKgmHD11xdGH4WN2ahzpLox68LOzHb95kv1ik8Di/oDy+br3mVmqeSzu0hpThTU576AIxGcT
HEoc2J4Iv4Z5op8oQz6mvptt6qy5t/v2Cd7m6n6j4dUv4xGJZ7XPqJ3PuIVZri6NL3LrhyOe7AJ4
W6KOXgWzv4pCczeUHauI9mAQzdlyB7MLAoRJnjymHaC0S7YmbZgODTqJnk+XChAmQiMvIy+sqics
X3H3YZhjzS+/eUmsGqFUooH4M9G+wStA4JPR1p8cfNMxMjE1HhCxowVHQwfu2eViE4VPcez7J2S/
lDtkCkuvP09JmrLhTenVbKtvCeX//yHvPJYkR9Lt/CrXuL5og3AA7gsuGFplRkbqyg0sRRW0Bhzi
6flF9cywu0bZNSMXJG1WY1XVKSIC/vv5z/nOwknybpUiQfEkGIESQoIDfJjlHCbtTNar76zi5M3B
HbTBO4/I5CXyrwE+Dbm37OzPIqLksHFp6R1zZuMmmZ1jC8vyXXshbJBSvanOkjuvAsPClCSWkwbP
USiMiayIsmQ/atvacepyNbYPMVPTE4E+99a2ePsVvhEe+lEaOy52w5rh/dLFbGRHFlMbv+5OFoN6
Kzu9dWZUSeqy5naftoVxqyew57wej1Hl8eXonlgJaGwLEoOa1XGChN/ww2fVEpfh2Zhr8wSqjDZM
cPAHixT+giCpQhmifJSS2XvrmpwOGppL/GFgHRyoh2nsxJH+igfWxhAS3GHTaB9YcJc9kiG5negV
wbqIbYn2D0L7c4pBeun2s7mDG95tbCYcnoVIo2LdKc0zefDT8qhKp4tQARrBm3nA4mt5PJBBqlRP
5Iq9rxIoy8ooI0X5SjPz8sKGB0RO8lNWoL6BBFWbisfiTRe1wR2VPvNhYskPZq7LlnTSPrkh2dk2
UZteqHcvsY7ZGJ5oXPO3wsVn2EzOhfV4CiKhXzZ1DIaoeZ765NXVJUJrW+EGLH1MDpeg1dFqZsHy
0MB4XNr0gt07JtzoGgPdikx79OzaibeDGMdIM7bliuDSKpwtf1VHlVj7sjK2eacWYX8Z2TWBGIqS
Q8Jn7T0fgzhYZn7F2N01aC+9yycgLNyT1dvsxSDEmGtZdYdQC4kBttkD8MA+INw53ko4sNxWmBZA
fxJHD3Kya0vTFSaSo1dsHZKKvIwyt59NrCfXAYjkpxyz4oPmKIh3VW+XJ/6jyaGQ01NHjg+B0N6U
PN9u1JTR7GKQGPqcUwYzzsOBJPmsKYEv0mihms58dePGoPYjd04zb+Vnqor1ckRjpwOlj9ozzwU6
cuiyyN68UenPyO+41yEaKM1SKE3d+UjCJKYriujXs4tD/qzpFA8XU8qLwI5piG6ht2P3hTLAmJn9
pCVZXruPxnLmcdWY+tuAC+ipj6yo2GY+OlUR4q9AyRT461i9ZefQhQi4dDIAuYs5zPGq+DIWFc0e
fvwEmK/Zs45ijCuoGttwoxY7HwzFvPDKyubvQqAlXD3o18QvPkGhG8tu6j65lhPrruMywRZufxJ0
414Ehxsxw0iQRNrelEdtdzFPipL/rXoorzeTV0aMlKb7WhCzIUnLY6C9MRyv/XAyO/aXrR2Um6rX
7lfCQL6ZtfD2Mgi9G7as4y2xNExUmp1w4w1Ys+PMvfSe4IkW+SFvlNrn1esjz7nWKjXsn6Ir/YK1
D0oXpSGto7/z2+k3RTfaS99K4h2BontvFKwhs4DsXSJcY5kESXbTgf55QFmLNnWZ0x5DtnYpjTrv
YHJ4XszHL9HhyvewMftW4H6UJTmntcjM+tAahNPsTtEQhSq788fMOWeAQ6GMBHJgFU2fklMTetZA
x8CF+Rx8I1ikxNiCAC7oeJHvRQQIQNZBcscbv6ZTRvX70i7ts6mjd0VTHAFMZtpFP+hvouroWhJh
vU7FfNdHOlvZVa6gclHKG0RAqeB9zat6eq1iaqzoQXPs8paNYMm/r62nsKpXekqbrYrl/FzoyITT
C6YWyNKwGkcL1E7WHJzC5dbhz82OW2C0aR0q9frK5Fnfe280IkbTOikglZtKNzeJRPwakcDuRRqA
H0gKVzyybJo3wMGDy1AM8aajZ+VbQF9eNiM6pCqg8rFp8ueClq0lmSYMp0rFFxqvna12vSxfQpsj
ycsWxZuXyRwovLQBpmKdJslj1JvdPbUreb6GSBZSh2WbMdn3iZEASIu1Ch3OZDf1l8HsjA/jlFq7
2O31VoyKC1p53arFexjvrE4dKJbXk9rn4rH2Fc7WCkMALmYM7KS+ian1pDVFR7k7i1lrlcSDxq9c
PXIzY0rpRLOVZQUnYUj0Jp+yeDWl9hv7t+DIIJKcMqbJZV5zoZmo6Dq6FY9anVDWQkeevoHK4L74
dBjloTlsEvCFOwxV/i6tquZYzVa8SQF13keDrbcsGZA5u2rAhsvUUm+7YggeIlLrt8iV/CgJS0G/
LsSR1bR1x29VMB+Iqbqxrk5utmukh8vZt7FRVHI+FfPo/5imIs+2bF+4A7J1I3PcUF8lxcy7By0V
sqHoz05f3YGsWhWoeTf12Hl7kfkYv03PLY9hESLG1aY78xca3WOthuai5vJHjRusWAweKxW/dPqv
DOvApjOyYOeEFL8syraytxCXrSMh211G39J7qrHxrJU2Bp+4bhE/8/q+TXadbEdEBI4u9uqLMLe4
to3BykvaV1Mk0TYSMZ2ogxW51NMg0yHusL8zV/gXjR5Obu+thxSE4qKx9HEin7CUddF/A54w3SUT
52NVE+TrIi4GjVMefTzYOJQ9l8OGnTnzfz1FMblBmnDIDrTOGfhwtuhK845dwya+Bthzd3qyMjf9
mo08fmxV43+xgVMnt7cOcZ84mHObAACFtIeGsG9sQaykdPPVYCF7Lq26gUheWLwrLGNlpjAWBpV0
lO8Ah8byHHtIwcwMn2ig3Dzs2jmHNjBjjEEwq2SRn1n8j/syKhScjFGYxzCP+WgnHQsmw62xbhnf
gmYksR8xbyy9UptH1GdOG524yWeAWMk1QQze1hmsZIdnR/EC9fULwtA3akQ/hlFlHONe8+QQi9nH
tQu4kOM0frW4f5IgAjrLU8icdkPDnM5do+U2hfs1ldxZVqGK9RpKfHEhf0Ccu5DeGYqEv7arbNjN
RarnJUpft8EhWQp6Xwc8GQOkYZLEA3i0KXOWPy84KbLEBk7fhY0XhfJxaaFihO24k4atWGUYcmvU
o30phalPvsHmteN5dI/Jw1jOKP00HY3jXeaGYmd3XfgadYXzBJskxetwbdR1AJhDAhV62/ZXfdxI
G4tO1OGaPgPByMKLKPYAa7+MXcxEfshJEMPJzxcazPvCGsIVeHubllkKbjvwN1gxZo82uVL6ycqr
vWIt/fZHYsXdqiuDGghfgp2hSbN5bTvWo4+2v4xNiwJbnqZUDU75CezknavpEGu90l3Y7uzfUmuE
hzAexw+dOeTGWznIC3DegWord1a3Zmzl9yxp1YNtiPGOBbb3YcuoOBoTZBRRmPqQND4tCmGY9Uun
pIZV0N25n5zutUWHxijd08ToxGO6wUnTbDlK8bvA3zn3dn5Pni094bDE3KEgDIhBPtc50PkWhAWj
pByTpxq/zt1AwfK4MHuRPI/1zI7AkDPmJmLipMLmm4Y3BCyVQNNbOvn7Nkq3Eaigg5vHyJGBlIfE
dW+rIM1ha+YS8NNU7NEyNATNKucTMQ4Hq8I4A48VfbPxfYpLAXy/BiT16DRynBfDc+5lEwBQqoa7
qAmLlR9wi6M3DRfr4EarfEwuEXvCGDfUjjZdPj9KTccpqVBeyT3c0rHRLAHK7R3G2Uvhx+gGXKJO
asppnuXy5NxUvip36H6fsq0ehTkdw5CFkTTcA3wAljZUzva7JBjN16ipQcdludq6QuRPFj1P8aJj
J70vkuJglV4PjSPFEyLccRVbdv2cpfyiJJ1QC67JNdUjLKpNlg/UF+BXqpe1N2SbkOrPnW3E2Dpg
LC9zs642QIcQAEZaYc1FFbKXjYSZXXhMa5BkgsQdJwfsDhDAx97W36vGQutpQ3cXxNS5LjJWkbc8
t9wl/q/pgJ9AsJ0Ox0fdheOtpGlxp3pAZ1gss/UcB0hSyirua4aL+6Gb7HUI7+IbjCi6R6J+1Mcx
p5ovUpb84Y1O8Azxc1xEAF1yFOmgTvnkz5R2xK56KeJsWlHMhWoQlQa0AZtmuytbKSH8uc8j375Y
sRffOgUBIjVHMPTU4HR3aAPRZ0bxDB26FRlwByESu4PlHSevFa9WOow8z+YW1XB0aa6dcMuDKcjw
bcXsE1yhPutAiQODSviJSMgMkVylKKdOLjGX8JyLQE+pR/d6lYJezABX1kKVZvdtDjz7GXUj/oY/
DeRZXTvrUAXGegap+T0yhHVPOxObg6DMHoEiEA+yE673BfwxR1X+g0vYdxv1NVUfdDHe65D1+bIS
fXboCKn/gM6gHwqOVxYzU3CuVe26eCeyfJd38OqMJAgOfe44Gzrf2Cq0sjDh+kzDN2QW74aVVbaW
peyBbwyiPbMxEA95zwXcKKf0IS2Nj6Rt5MZrOD/7LDhAJIGq77jNOaxH690tNLJiymdmAZqO5JwP
r5EiOTg59WzvW3joEAcNimDg6KDPD32zygqf+HyDkFElalhShmf9sBMZHHHogK6oDDoq6NfoozuP
4WDDMi445CWfw6Gpc962XPW5OqMWsI2y74eyDe4Tpcp1iBHgsQjiB05XZh6XuzTHr7Nrct9nlxal
xzbNxidviGYK2CoWT0bWsbNmrF0xI6cvigYdxGgjiF41QKNkobJkQHZA357x1fCIio1042Pnhufv
ze9FFXtbGbG9a7vcWSqunEswqRxX7PoeUMO6nev6V3ffVXuvzL79gbmGpFQZug9zbc17ghikk2zo
CVy61KFKBw9Ng00MH1VYBiKHuKNbH11h8ohTYMuLeVuywc7HWx13FzpSOpxxnd70KpAb3GTMnGFs
bAtWNw+tBmgZ6tbdmYK2GbB5Fkykid37j9nwqFJp5oJyZH4HpLUcEDFeuQcRGdw2Sd+cBQXNlFLw
/YfEI9DyfSH5lVvfeeAYNzqYKG3yMkMaCzeD9LT4T7xiSZLY2bSJ9OBay0yW3926DNajG2TfMjoN
WaFgGX6CXR3sXNxXd7oIkjdQG/rWdVi6oNNihoXBmPFESorL//dGeD76Pkmwf2WGX71/4YV/L77+
4/Y9fG/+Y/euv2fxn+z0f/uv/AUt4PxmOx6pfUuQiDbxwP/NGG//RpCJGLpD2O0n+v1vxnjb/I3k
FweMS3rc/Zke/4sznj8xHZvsqTDRVhk9rf8KWeDX9JurTA/BXSno8nwj5i9+9ARYNEcE9u+BVUaS
jFtKWjkfbHR38W+CkNavQUgyAHjwLYD2PgQRfhV/9r6HjH1l5bYBJ0zJikSzU2a9l/qbomRNqnDF
kUDvhhflYB6d2btcBUDnNQvBxMcjG1v8OZCQ//Dq3f19PPNnvu+Pjvyf35VjC0nAipTdFQnxx3hm
wOmnvLwO1hV37S6t9yil3XKgZvfakj1jJvINfCqNt5HwmaB/r6YAG1gQVlAsUXuq3z9Wf4qX/DEv
av/8nf/yHYHGxjBIYoJgtfnLd8SpW7ErCyk1nPsI5V7sUe7EvVBWcB6jiBnDNbIzUPKeO7M3H+Ly
ylGb3X6RpBojU1S8GU3hXjhcs6MD7fwoBA2sfrGpRs4Lpxje6M7OSAQR8UGPKm48GNLpgCwMLLtg
7kVMVZ6BG4lu0IhFMR27dYnWETEJ2e6NCdVAVXBcRbFKMopM0x59CGevcT/Y5f1Mq5EdihV7BXwG
09ogvTz0aoGB+hB69KfVFDR69g5Bntzg63UYNiLwKPrDKI70zzE0Dc6hmhaZLXapeta9ftE9vkKM
8riCR38vOjJ4/V5O9C9Tku00HWTlDN5keJnFga7VWwo2r1ZWnGfTOveDg0sReopBSQXZaXKHB6DT
B4ct6dg6O3y2+bLHXVITctgYA/Uotr+yoRsaFDj2ornRrD5b5wftcCsp+JrZsK6otXaoom/dFzJy
hwRDIuhmVoou53q/sGIMnSjGiVvuGnBtYdby6+HLKACt9XBfNu6F13ORGM6u7/AGzoi89BYs7KRZ
WTVOxjONfigHHYqUXFJNtTBNTjTBJ1NLUg4YG+OHFGi50dxOlU8MInrXSbAW4qMey7e2/WSGQaMB
8huqcxvAf5/u4qbYSQsVR/qbOMfkHbB5BexaPcRd8Mai3LiZal45v0/P3NGGe5pYym7JjWRhdwEQ
71yUn6FTs24D5ZYD9KqYOdFnvxO1iy72HJbvyuFsXzju9UNzLWFHtt37g3jwkZ6fPNBY+5Zl/7dB
4yLoHRVuh8EH84/7MXzOq7QA8UQWwwqKmXro1BJEGdw+f4Dp2m/QaKlUpn8Mv/swTgTbK6InLoGM
HaH3nlUB6++bSFfxyemds9u03qWZtX/f2Xn9ezb3f3cO7IYbZdmWP7pfg2B/yo7935QWux5vP9tD
/nli7BHWX9+8/92p+POf/X4qKpsDzoaRY16rS8hfk8n6PS6mrN9gwSgbMyl/TiyM599fgDu2+I2H
NCkzj38iPcfmj/56LHKW2uoK6XGkbUqTp+ZfE3N/OQV+D/H9k9C+d41u/uEhLEELeETPTeFx+Hrq
V8ADywi8yMLqd/jxqdRNu2tUXu5yDbIBu/6r9JBtNIWhS5eV9XbGrDHa9gsum9fcz8z7AAlr7dbD
VzfF/iLt8n7djR6ILPzU2CTr4gEyfHtk8QwSDmMTliYL2zX3H68y0hUyZLQrWtrBw7C69SukqRYi
83oq3dcSZOPGg2iA8vI9r3DeT9QIZqGLl1olgk2Z8SVC5xb4mU2A1qjfohK0LMmEcddNE7UlrhPw
VUP9BkRxZ8zlCeOHBnE65P4i98I7arppKoQrtjZpdEDDxepaSd85cgWaD9j3vROcWh8Ehc9MfW3V
eA5U+GjG6Tt5qdfU7LKMgMI03xi+wBNBpAUJBqJg1E+cUrbo7/MJ9mCTilPlWePeTtkfzMFUrpDH
0AJrRBuFBj7Bt0tcq/9h9eq2nRCOrcbxL1B3eJ5V0TqCMLmdYCtzQ6/xuuJZWRrA3T6cOjR2ngBl
HrVIQlASbXysyt8jMlWwBRFpOm96a0YVcXmdgdIMul3aJMWWVeFUH72njJvA0+ZeUZ0Oyw8vO6gX
Qflw028AaHxPqDbYGqr2aaJhGziEWAH7xLIXlkmJHItusU4jmh8GVTeHOh/te9nOX1UVYKhNx/o8
wJx5dcrpFWJFBJ5wipFD6N3IW/Mk6rTnhCFCNbOGW6Y6+0F1W7rzf66DcWJ7mr8+d9kUISuAYda5
eSh9zOX8rWxnVk10jP3sMYb84oOrPEiTvRwZHvTSoGlX2IfSdUtJCtDhMENEoI3Kykn1zaly6Na6
koIq8UQsLFj7oeHe9En9wvtVfR9NuPImvYC3s836CTZzvtZV+xgY7Munce2VY74w55ZSdZGutKmx
WxUOD2aDVEkxXhsMWjQtWiKAp5IUSJx2Q6tV92yGVxOCJwnT0xs0JndUnfCe5fO+1BEs21bnjloo
TUhwHNswuEnwiDXbfO7Enktq3C/CCWaUuBpCLNcAg4fQR2etna1LEQ77PLYYH3kPnsOu1YcAIWIH
yJ0hI4p4nKl2O3cVhV4oBkuZNc6RITW5bxMht3ZF7zwhlmcL9fMhV3l4GJj3d3TYIDwK78nigrxN
Y50/Z0lKi0oh9XpwJ91h1O1GcPBG8K0p8c8EqV2fsCyFh3kaPLJM2gfaY7mNveqD5nsJZHAVlgRh
vBFlkTbt8QIbU62qUaTrceidZdd6BxKmztlsAhxXgctCUQ3xZbCIK0yV7M8U0tBsgVP7s5uwVnUc
o97glztpXnGGbDouAXChFcgvFqIsPDedqTAJt4FPCi5kxdoNAJk8klo7QixFts4z5rSJJk4iekb/
MrXKe6JjzN/VlOG+EFoIlobpJxtXm8k2Jku7T/x6OtZ0jTypuKpPYVl7oInc2b7PZsu4VXkzb3PE
gBfG+RczYplfgnEn/1KQgBzvAJbY33Vl6fsYX+zKiNsWup72fFTYcj5IXJ1UbVQfLJqG7xrL/Nmv
nOGgJg+XCevmpQjQ0gyaXjbWHL5IAeaWVqEj5Hyb3SJTIv50OiHMZT455XX/SI1dYPPJjZ0ElRLe
RqUj/3ilId8Nc1CdAqtLzhFXqGUJj7L3Yr3NRVe/FGbPZFTmzW1Xw4CIpsZc9WiJ6/za/KyTOXnS
im8jG6b5Pojmy+gWzMaysFaYE5jJk/7COWTse/TpDSCt8INd7LyzMuMxHOurJfe6SbKL7sySyV1J
ybbIKcAtFHZ8GmWUUqQqygvyP159tt2sXXwD+JtvL0D1BitKaibMBvA09oZrABEyQGAHscy3JkDf
00j3ycLIa3aReWbiOHZ4Csfud4u190p5mbUkaX/JG+8ztiXG9GQAqKSI0I0m3PlUJxCK+3Ze/8xr
5EEK57cInk1Rcipevwc7c1Hn4oG8bafsF0l8dkl/prcOg1ndUC2CkcTWriDZ6ITDhxEChL3iBppH
u5I/3Da5yYf+OkMCgIysNWmLswbEh2aVOqQxZMSEOlAVpGWKbGIk9/5oVTe+6SXPlZLemjTXAHk7
eqbScOsa5NVITTbF0jPUt3nG6Ver6qsceUMREX/UNXvMhKLxFVz421nPNwTBpiWnXfJEqt7e94ah
8HTwSjONBhtHczOVOY8eeDVfhT1/UL76pn2W7QuD2td1ZvsR2S1yzG5axAewOXdxVDc30mThEjr2
JbY8ZzkF2LzKQtsr2V8pxSCNFwJqx67VafMYOtSvzFjhth7dLzviVu+mwVOIqO8qsIO117kfE7fi
QbhfdKIAQ8ZwBCvH/fo/ovb8PzfuwjJAx/jno+7/aNv3/I+D7u//4C9Drnct9rNZE5D29+BNwln4
fciV6refFBvfE4KMzc8/+euQ6/9GS6xLYSMMLez9DprNX4fcK6USJIJkLnZdYIn/Ne3Hsv805Eqh
uDPylbAKKl/wtX7hIpSRP5iRwRWYZxO4XHM0+JTRUeVQ/lwSvkVanbM7GQcRvS4IW8WSqErH06JL
yO5Ena9bvGumDwWp7CxgzSbFK07u9tTAGn0Qk+cXwABUo9c28tj3ybqGVg02OwfhZlz0Q/wtPGN0
vPeofUmoir4TtE5cFE6j2xBDPYYDoziNtor3HPrkFGzxIAWIL36D09asrGZVEiy8Ifu1aWW1SsSQ
rF3POfh5vvQr2rvnZpiXxDULrrCI1HMjy42PqXAl0p4EtkvgpqzVDZVg1q022nAr5uiNZrf4ONnU
KiXE3VASgLOVrvOFuO4umRQ/SQbKbVrFkj5ZzmBAvNOebFp3mZUaDind1F+qBnJ/BfAeCqt790dD
7qjFbTZJT9UeU6G6kbH3nRHA4vQYv+aesIA5wuUSCbwvnsllMn/gzdgbgFy6PHgZawbwOjsJ1pvd
1B9yYPFxREkcXgTjU5QS2uPofGVZtW2pJFuk3rSjFLwE2ek8hgoDISbJeU3pCBijsKSRyUpessgd
153vv9L5dkoasOjSXw3t0CzjfqzX1KBJnkuGPlpD27AOtw55Xk6EYMUWegCL6Ky7S5vqCmIeW7hz
cCx2QyU+psEgA9R45mV2PPs89S5Jw0b0b3lrk9kuPR1+2oFHlgVH/R1Ab0R2axCfTdMb26yv5TnP
Q//ojN70o1EdvG4ROzVOhnE+kjobTk2Unk2rArTcDERGpopBKmRkzNuSsyDOuq8q7dkqSwI9tTqk
hOOWVkghwWI2GufMAjdAfpd3acmANXjzvYzKS+qbWyMc/Ls5j4e9q7OYuvHuSo9OA/uO9Hy9opfq
k771cSON7A2ypr6BQ7037GtVgrbb9N73e8AJpNOOo4mgVntk+5JqwGPuzMsSKvSxS/2zZQj3HghQ
a518P0iuiP3CqlfFZMTY9kWa95suZx+8NLIhJCCjMubFRPPDrrKKUjzYST3bHuyvebYWSG54VuPE
4wc2EhuYtURTSRz6xoi0O9froTfTF9NrcNusTsYmXLe+nEIiV1Hs4doqA3+FDjxgAE8sbB29UUTj
oggp1zkZgiqfXW+pqltGdgrgP0lFXL2Q/GxinNeF7CCV5/K6pb9efmwtC1YQ8LMnYBOEU45BHWXD
RpK1s6j6bhqJJb1mw5i6mVH+qNIYJlCY4B7eUGKeqWWISxGAP3RysQDXIcM1Fdg4xkJtuuU2crzJ
XoAyZL3TYUiKNkFuyPar5NKcE54C0L6yygk7ZwEZ/s20w+mlGPjEqC7B0xk2clolUNCZjKcxKncE
7iiCsbWBJ4l1IwB7t+Q6vWLFxi/LZ7ZotFj3fBtPaWLyCemIYcD+hvdODdNDC9zi+xDUEGxBUw81
+aXYSu+8MsmTzdwLmjryjvDxbZQWvPr4hKJtqEfizDZ5XgpEPDk7K5oTq2RL04hv7Ymhdtln3UBX
3yg/Jepk57QRQ0e1WJMp+ojqsY/uVUGxCM5evmBfpSsyEpoftIr8fj8FgMcXNdb8jJHZM2z7LfXi
CIC+6N6HokQry6KxvulLMOiLSM7JPkdLhiLF+Bgxhphe+5h0/mPUoXUUybhqi3r6Jt2hxn0dZRcn
ATHaxyEUkaLoHoTvo+nrVn4LuZZFC6cT8xvVh1+D1xN2NfviOTCaVaWKldFCsc+JTB09/ru0bXdA
e+lcGQedn7qG0W6rjIDfKMnKa0B0MFiRM6Sfpyaz1qBOA8j2Q9XZq9LHG7umCiUbjjy1n3UnRpTQ
qO4eEkQY5z7IamqgM9/H5ApKhDVjIZLFhMd0vHczIqq7TID20CYIj4fMt6IvQiB0fQ1x3kYr2Yj4
saG3TL+xJKa5YCYphtdO0+S5qOHNW3E67Vh1f4zY7yQS5rVEBdi8IsNezRsraAk/jq2+6xCBzsLA
8a6dcbyRTn+Z0l7sg8hLLpItOkYFdofGbPr4rbLxGyzz6lIZpooX3IfVY0tL9mUKmjy70/QffRQs
M3Z9Og9whHPfIKcs83cviK2LgSFq4dudOo8dTTOEUhP5EbIDfcli4vRgTFxoLY3TBymjoiN/yGyu
T9XUDz8C9oyA7FSJcgCqgAUnRUrNkuVWxBhbUoz5I5Yg92H/ROZtqrV3T5mB95IPBhc/HbMyUYL0
yAkuKX7VArnKKFTzWIZ1FS7bdCi+274sf2hS+q9DbROFpklMrTw3J5qN3QeDRjxiTTBK7PAo5kZ+
Q4REPJISrfNTUY1IICTUBPeH2NDJWpmRfPXLkG7SpFXjNqmC0j54Vkqlu9HoC2qzfDTLIjsVMT4w
3HqB/5Q1lvs2A2o90WHLQ9LPp/DV0wb5i9EKgcpMGYmdidiTtH1vF2CUXFuhaxEztbu9FjYlfKHA
3cLt0zR4RpQQ5iQWSzYYKIbIhGpun0YqvG/xxuCEG8MW75EXZjOBPgP0wtUuXAw8JeuM8jIT2BKe
0ilbU11fHtpu7O3N7Dite2kSnb3mLYzSTRmGzjVcqwPYfxBFqZCicRP/etB3Adlk22jYSpucf1Q0
e8UFd59BCZqHUfVCUxrGyhGev6YenevjonX8iaY11urhaqA2JV3kRsrdLpY4N7Zho9zwFBeGByW5
GPTFIpcUHkQ1u+aJVuGZVIUiIoJdpbxX5VhBo0mMqUfzBIz/HLAKGQEakP9JrqBMMBpFykdekacg
mA8fJUX03Q5drR5pm/QuCZMLTpqA575HrmxniNnZKVeOK9qG7B3nWX52ZhwY2LnkFrAQNvEJ2+HK
SNr5RNmC7BYFztljjBaAfke+ZeANoSkrll7NZXWihax3TAREOtPjJrg3+cAvmzYO1p2Hca7NKv0q
rb4+5kkcPiVtTWNdS8McYUT4/8INAfsw3RS8wiXBq0nW1QnXiky3jhCJ2mFDl7ysVUcxV0Bsqruz
oRecJUACoseR8ySGbqy3WWwMAegpCjPIwnteSkgwyfeGDJynydIxL/M0+eFaTX3/MDrJUO2tSeIa
YLHyxTHHwzJoBpZEeoiccJfFZrC2uH+8V1aujrT6ZXezKO9q3xq39BmTkVcVxYPF7J6AG8hV0bvH
euZKXtjdY+jFqbWIi+A4kLp/58BIHkLfzr6qvtLbOq0teM6OwUqrawLI3cKvv8KwYAQr3WAfZuaw
y3TOAVVRGsyNNaY4aW22jtjUYLjxBf3U58gtoNWxfUMHLAd8g8MIcSMlo7ysu6n8rNrps6sNfFid
FefoBKbt1ljMM7AOGJaS5N8gG8W/ufFc9+Gf7zS9he1//2/WfzokYM2y7MY9GkXdsaZqm0NBL9rj
H+6A/2Cr/I++DEsN5QHxRuj4FWCr4faWQWAMe39syCQAxUiW9VQL/9/8ONdV8P/aUlwvcNfX1xKY
+7kR8n///ONYyrA7Iiz9fu6L/j25nvBeN3MjCCcJ+XuEpfmdblkQcKLLbflvvrr9Z/fA718eQq0v
lPS53f76Y8ZDmBrQdrq9YCG0IcvTPdgy9zZw1mbepG12kTWxsxTg1Ld0KrG+ME0g4T7OTBfi55hB
S152HTwoSTK283g3+mW595waq41phh2M0PkqFBtDnJ3bpuFRVfpzgNUpKjHyqtO/ft3+/gfiJowH
hE2SdWV7/rJ6n0ko+1nZV/sZ0ZGcTBqTZNJlTLs27DnFGR9m0tn/V7+oc62XwBnBZOqhTv35RWzg
UQmNa4cvGs4nB7prmnf4yUI22VPNlu1v6sQ/eGder/R/fsfwxSwTwwchYJ5OV0ngDx+AUDl2kUGz
3Q9zbKxRnr/G1Njk5tj9m5/q7z8CQAgYQyRKH5s09/rnf/hCdt5aVVlTGB4TTezOwqoCDs7Ccvvd
v/6JfiE4X9+FOGUEt0jGRJsw+i8vWpjGIqHfMNt3AgNi1DNSBP0YhSfUDzjg/5O9M1luHMm27a88
e3OkAY5+8CYk2FMS1TcTmCIUQt86AAfw9XeBmVWVWffdW1bzGpZlKSJIkY7j++y9diZMQWEGljOE
9FjJuwwh3brgv2BLw8jXX6c/5Gb8xG0fzvvxOh+211nxf/+n/rf3xADni9UGYYe3hU3lX9+TSLOi
rqUD9pBh43APyPXdZVwqVm//7b8HGdS2MRChg+C1+evf4zSxbKKop+o45DIQtCQRkiAKKQi9/j3/
2YH/K2IqxhwoIgvc/u/fvYXL+gdvdQG//r//e4w/2yzGKfZnddD4x0/+LhF6qH3ENlH7FjcxO28+
E39IhCYbct0iOcHH+7of/5tAaP8mPNfjB6y/81T/JhAavwHyFmBTyYJit3Ksf2cL7v7TVwu7GqIe
W3aPsJtnIZv909GkF3oahRodhYVhze0675mmWX8biNuyx6dOLDB0XmU06eRIWyfpNrXMWB+xi8OX
LaWg8iqsm+FR6czRBFg7KFU5c7039iQQVNw9VGoqaeOuGNlsuBirmmTPnibDEnY00VMcJ2qv/N5R
N5PtqfHsVDqBHbZkyZ3d9xE7QaLOSZCTK4xP+NKl2PBsyB+ssoNVOhfTNLGMmBdOcaNDs6zceDbR
1kCErHqcLQRF0hRpzi/tYZ/BvXgA/wKCZtLoyDXG8o1FIFnYPjT6L16csc6wiONXicz+yZUOzAWh
IZysVGGEO2XXIPY11lYgMsrC3NoWQte2pWGl2iY0rVaBJJt5m3QGpWcZ7VRFELn1rB9FFhIFCNXI
km4he7h72GGmvrdmIHabkKuoS7W2csY1NCLto0IV8Vcc/Mm5CiuoUExiZ4lzfAGDVi6dvoI4LkiG
CWRjYbqtgxG/lYiKQ+i9AVTt33ORKWvl9F31S+Co+Y4tVwO2B+PuHFL/e8N9nLxOZ/uyWfWS4r8V
a9tsb2hCXbRZG+5Tsy1+mkWspQgQcUTQqlHam2ysSQvCxpHVzmqkc9GEDdCSouu8XM1ywG0dVgMZ
X4rQYY52egenAZvdUjLsGd8OW+Z8jRibv89uZ4bbXkPDgfo4c8dMWsQx7NALT8PNZqb6UPNPtEbX
W1r6hkC0srnU1N5e4qFt92ZXNQ9x6um3DW53gAZzCjQy55m1oc+v/tS5bN3qQ0pofGomDAJoPUet
7cTGsaAbEGSQgUy8oV7NUzntOqupUIENDLlRNr7CN5lu9Kj099LO5MtYV8mr5dNJvDJnT609fbGC
LAWgRkUOpiRHwBA2DsAifXWXGl62gbQNRINqiJveyAkU82ft3HyUAfU/5U7KzgtQj2j3lvyT1NyK
Deognoo+gmQWtuHRMLoKml0MDs4kmUuCsHhpDUKolWc+OyY2Rd0RcLCIKjUDuVG+Biu/SLh1KpU9
+INtHpKYV6qIlQaJl8hTE7LCDLtkeq6jskZe7MejSXCHKOg8rBtUoQnRjP5po7B4/zPBTotShfne
RPQLJgSdOz7rJiiL1IV0Bu7821NWd9/T3ACQxzYeCRvNLxrK8D5HgMQ4kTagucyxLl/ymH0wynX9
QnKw/+6hILy4hn1wlIcPJ+PPTmlxU0gJnXOZsHS9E32R98D9jE/lh3a1xpbtP4qk19dlzPVonRY9
yDGfM4UIVWqmG2VOM6FFR3yqeUl91RSDPgvRRHfWgK+iRYP6MUape+e1pvORshzZxIUdohHRbPlg
euDfpjoxDklR5V+uDH2k7EaHLNJppMvI8s45tIq0/hZJY9Ct7Cm4CO78zaZF1YFHkeUzWXn3firG
i1uhYqyo9APEzJZG8Tq1BmKU8Ix3uOuxtutpR7UDHz/4LVN4f5w4Ix5Cuu5/FXQGkjkcxuk188sc
whtH895E8YiQfUPzO2spLuc3bwIClJlwnnq/NCA09wl+ekJZD20RlZ9Oa/HtH/oSQAbIwoueOIMg
QrCUVBneeLZF1BlEZ7ma0ifoB5ZOv7pF4zSwWJ3cs8NnoG2nZhvB8O5WeKVQySAy4bjJWwfMkNGj
scEuIhc3xT1DlwlkpaL3eQn9WeQfOyEfIrJbu4Q9LLWSSS8fU7JNG4dLwAFnjXMynRx+bG5Z5OrK
7Fjqc/ihgfHW62I8p1GPcFHrU3rvtw7B4EohIw1yFnh0zag/ZGOLfcPQJnEwjMk8O5nX3eRNRuYV
ZHh8l9lEVVnr6ILzQYPmVy18YOXISO0Bd3SPAHPyp3iI7A+RamozDKwloJ3p91AC1DGxfOeci6E4
JllfRGutj+slfuffFWTVoNCP9hGZXGv5kg2khLg3M3d3siOh6SUIJmvl+M0NXwXckbGs7uF/RSfR
Dc5x8sPic5SN/0m4rt81yF1EL02z/TJIrm7HKhFPgwGWbrZKdwPR2TtHbVv/pGJdfeLPJTYYmXaH
GUnLUKDmQbV7ZyIQjZ1pAdoa5TfUTLgMy7Sx77XO3A7QBadA2NIGijZW51Rl5rbiGoQMCRcIeION
YWSepkMcA5TD3UXEsdW9gubkcWGDe7Xf3Pqo4IuHi87UFbEE9amB/yaCVIjwIWZz9W0OuDXvDNL8
XOc8C0UN51l5EzLIb0vQA/ct9jCe7NTc3JeViy4gqfKmPSylUiSTPOrKoYeo6gxOdivlGG3duKiO
sU0n8MoyU/HlFgq9XBNodOsQpNHJtyflb4UYdMqP8+SFZzZWHa6t5JfJlA0fpa3Zpzz36h0XXf/Z
p1kXGHF7XYJSlbfOBOy2PAln/ZAMsnwyy8aUqwZ3FZUsmr6gLCbztap1Zwxgdx0QiZ16ZcuyOg5S
NaeuIl3DRkgcLT/OtpRLa2tAGayjqlld5lLyhvgcuivN7bpX22+qb6B986uuWpjVGAYPcvbyIJ29
8sGnuufstqbIIO9I57UTbYwLQZmMQ+Qt0WfStibdH8cJxcNNBgfWcG4Y2BprF5LHbVaN9HNydb33
zsVoXGKvbzo+mR2EvjEgyMjHObLmAGzGVX7NDrFD2ewK7Ai7gdKV7nPqdH25qXM/2cV2lr+Xka5e
BEcnV3bR1ic/NvxNDMQDqhjNl3sx5vHRQf48TBNYa9E1zg6JZJvAE6D0I03xxSVqIIM8NSl29KW3
Eybmuze1ZUeuzfT2gCW9W3PqYxE0hj78CuE9b/oRkZ3BaKPXCStAU36WSe3tleLj33eZfTI678lC
O9+B/3s03KF+ba28RUdsaeZ1B48TKx1AvowaChXf/ih/TPiYvAJGo8QXgvI+UdpQbNifJxii/WE8
9jhqoPT1dRdtaMCw3nzZTT9q6kJAGHCqdyuV43Li8YPBej/LGlMZNRMtDMjclTgXadtmjQHhU/Z1
/p40juJN9KEsgbdtqDlKBST2uM/ITFNrQfJtCnEMaRpLpeQJp7R7iajRfYI6g92nMivz0FuAcI20
GtFG9Er7VdsUoXSAIvcpVKAgrahsivTYWufJYD7BOw15y7c0mq9AeNo3stD1cwEWdAO+3VyNvl6s
3DIuDoWhl2t3GqOL9Lo60Bzj1sVLd4uIGeLe19U9i6/kTNeLsc0IdMULEAZ+swpxj63dRrnBgCq/
7Qs/vTWowz1HkLuzjSZjm0xdFnU37cywiBBuOy/2YOcCYyPI1UBAiXdODQPiSx+19ESboxW9NJx1
PMEm+6F2lQAw3DMlbo0GRsgq1Dyf3S8Sz3PaYqBT0xRfIrfTHL4V02RyiI34x9qheZOO4Tx7uTOd
nRySEzndwXlZQr/3HHZAnYtGj9/5AutbE/IRI7RGJpHvTPnoUmd7A6q75UTtKhH4c+0dBS/823cG
WECxitwmyJg3D6UqIhAYc0mLtuV2EsB/0YmtKeli3BdgR0pOzYkYei9t4Ht0xkFpmfWC31KH3r+2
eukCBCO5ItbtbGmfpKXlY4l5CrmUmT2ogU6BYc/7d8yfKPrNMJU3veeuG9zT3VqmGiPOZA2LFO3k
7+RAuaERBUuLOwkLg6Vb0+R2YJNXtVYs3cIxMIYRjRpTAa6QsTYAG1R8lPcQIfzXkGxGuBrc0Ac2
5/JRXRc9sJqjlltYluty0nF0zsarlAgdO6R17+RPCph8KqLkudK8ApogeGaIs2llfcvWiqpdTZx5
AkrYuZDFXA+3U05be3zXmRZXjjyv2Nh5sUFLRJf7imfVBCCDIQJmjhzXXTwza3D6n7p42Ld9UZ5G
z7ReOZbsB6ficQAczD+Vw9Q9QqeQGdPU/KrmiKWZHyeEL2f2IusWova84kiand810v9IJP9CIjF9
gbT4P6sjqwR55M/KyO8/8Ico4v1mIurhHBI66ra3dO7+WRRxheMIKlSWaNw/wgHub7bQybItfiaH
eA7S599kEes3foIcjqkTknaRP/8dWYSgAfrZP0RUl1nWo6ETx5K9aO70m/5VX2toS5M0PnDNCQ3r
KV2elP0Ul8cR+SEYcBDshqZ4j+k0B17lee8JbqSzsHj+cp9eHsLl8jyOKyt7pfoqobFgdm4Mv3TD
wzh3S+Lq+kCnfdp5FfPyJFNl7pzDDJIpWQJmgQy3K030zAe+6VTfc+V2r/EMiI7xB7XVcbXxQhae
y8gyZ3BxzbZQMcVxbAfx0C/ziLVMJriTeF6DWTxEw0Q01RDaEuSfhXWql8mGRnGGHNAx5ROuIUYf
tFbtxFOHgci20gHACTPYmqM8fGbB2OyKZYpylnmquY5WqeYxZjXulLyEo6c/h9cxrDcj/myTonIA
SilAVJaj4stfFMqVs0xy7TLT0ZWTYTNPaS5Nl5lPv45/7TIJwpFhKIwds70nVJj5IOaYGv1lfmQf
Xt6U16FSvw6YGEwZNqNl7oRPpT2E12GUSU6xN7uOqBroD2DRU3MbX4fY5jrQUl/HcBstc65cJl5n
mX376xhcLhMxcGcTqJJbndki2YfUMAC3FJZubguQLXvR24zWI7rKddh2YtCCdIVY7T69juOVr/eU
fXQ6v9249xnlZrykH5IQOsAcBvqp0+utdA0i65Xubodl8J+6HMNNKrFA9GzFf9aZod6N5bKAeSQ6
4dyo7oE+i2cFtPgms7PUxpWsu9rWpvacBsnrHSSz4His3dSxj9Aqpj0QKJ8kfVlv6AnCpGBXzH84
5tyztVxx7K7DxYWydTKXC5DhUB4ALS5/Kkob54duxWpfCaCUyfX+RGvccpdarlX0bcd3NUUDycpd
rl1265lnuwFeqiMjTTRxMA5iIOauVi7XNu96gzM0HwrA9V6XMW2dQ+56xXLp85frn5ZxEXSBUJxw
J+T7SLSCt6kyfNrMeKNWtlt63C4H7EXrEksg3mIfwwI5R7iveDIInq1IYpgHibwFE8BBMEymoX3Q
KgzB3pRulhtaYNfNR02BBfVMVRFAodIYPdoRWlJ11Mde27p9WAX2ZN11GfEG16a91SdkgVL3GsbJ
puiF3KLEtbQ5ufHZ0j0Flqf5SbtCc1s47WPT1t9+IkOuJyhBft8RZiN2MVvqrsCT4tq1tTZSkpmk
qKAbOn1xF9oFn3oWjqOzVUJkZdDAD18l1jiByJHzbtQnl1s4OsuRxMta6SYip1UwTPlzV5zBRzkb
vobDMzag8kbTaV1uIeXvcqvr+3tq+cKIK2PeeqtZX7KPkTZ6Hz1yJBwdr9OgsHVR/BNkna4HnCbA
9St97vyjRzdovDN73hw03lwbsYIq/pH8kK2vKizMoOFN1Wtg7buWtIvnZl/Y0oiNGin3YNqi+Fh0
4466S2unD5aOkbAxDkbLrDcoXd8VEYUsq2gOw2eXt3bdd4O3UrWN9QKmcxvArGb2JteD0JB2/XbC
pnADhEZ/9BgFPzxjiSCIpB1OhRBwvt0wu4TCC7d6WiXfNVhcWlAzG/bX3OnTVgGr2FBkpUaaMFx8
ZObQv9dwyPYNPesEv+Ys2U9hwqq6ykhwFdIVN5gdCT5mfrKHPt6+WQIHVthO0GFDGvsK3KGbnDnz
Uc+N9k0j/nN0C5bCAVKZu5M962jef3lJU70f1iZIih8R0coNy8r9HHGPybLp3OlZ/taKSAI+Gfc9
Ua9H1vUZBVZe9jAl6FiO1Oc7oWXFzitL89KQ3Eq6A86RiW4wWsKEaw7PmHmHraR8RmB4d5sD1EPt
VpelXp9MPk131EXnZ4wMKXJl7xtHS+XvCM7du6tl2UuT9NUNb3N2X2Sz9dGB+80AU+sjRFiQuncR
Ma9zPExMbiKaJbofnSPK67jGA5CGoj6Xc6DCPtlYfn/Kp9lax/Ngcwsc5lOrDR6SHerd46yyfJvP
xfwYzlxx13Q1ZK8eXTmbqR67O+Zk8+jmBTNbn8/1Wjpp+oWw0x8guPNLKjQ7ecytiE/Z8ne7SWJe
ujIRWzq1pr0waucnG4hp54RInRuvAOlmljmRLWg3xHYsmCFnF0jSwrDNd4PicV+3zdZIDWcLJ1I9
xL60Ucg1pljP87KDP0/RLrTiek0hY/6qlf383LFIOs8mVNyVQaPEsbYgEaFOmsYh0s0vuiFogDdU
9sOOPTqCmUbr5xE6aAQ5xtdJYTStex5p174Rnpyw7nC2wk7/NCV4dO7H6W1q0avIvZymxnAOIwA/
ys8+UGASdHmGfG0zRWV1D27CYOvbJPNTJRjeMAQV/VFna0OHUTY8j6nx1fZ0cuySUJKwieDrEbOJ
frl9F21LB3wTt1OgYJNkZ0VE2yftlZviJW1d9eRy1HyGo5tw6IohdVdepuPddFO7fnanNP+Vm1hu
ehPXThEnuCqLzniPU8pP920KY6vDswPYwt+OEeKAV0ERnaFZvflh9GOBtPPV8k4NMPpNIaB2D1q0
LxvjUZ/5PU9ppY5TE95ihWxWegpA3+vVDOennsQjveOZtu+5D5zGMnUeByhIK032YpeWfkcNXsrQ
AWJL/qjT4hbjF7+oSbQHUWv2bkmEC665WhrkSZoHpS3UPfcvybwHrCAmk7ateaY84zbNSRu1xIlK
o73krjU+ZzVXNCdje5HlpbOuZQ60s7K1Jwjzm9EiwdeCeLhXxBdvWzLRWGaS9NWYUCqHlrxoO5T1
V9mm2U5lssQfO5T70S39N8csprvQcKqvQYpxCyNJpSvlONMja6JmT9Ehg4mQe4sL/zmuesqohrj5
8Es5n0bIR98ufL11Hdp3tWiTU7HIPSXW7h9sOa6ATE+E63GQsHCnQUtOeYFDgUkyG7/DUFfnGaJe
EoyF5twCfuYggWL0oxjYTyhNeic2hpS+Fiq5OBPCoBGF/pYyerC9iEM3LK6weicgC4yQXF8jx6/C
meWFpNht75nd3tBZu3ArZhzokgzyMAAsOMZIXb06M3QmQeqX1l0+CEoCao71StcsmK3ZTneT89TF
P3AhftWGfwdunXRh1SHrWFHiPlR1DRO9qXVjGzfaiTORpByY7/iJ6z7G8Goay2Stq54YJgLcfHKd
TiEAdNqDp0+m/q7q2XOPQygpZHNqn989YvE3Q1bV77iPGi88pJrdqMAvuraKmuNMtgrSnZf5X4CB
DWM7tzyNpDWoR1DQbmBRx3qjS+0mM1IUjd6djqlPpN7UJYhrYolMcwsq3cOYRk4hMiSLRnCxT3lm
RPtCdnCCFquU6tKTadfOLSdCR+w4Ks5OJIaWzKeZvMHlN8+i0GhAZM6cb9vOg6dV6437njNZP1Yt
tbN8X7FmGCgGWyJOw31GKbgCtwz71tIMWES1U85iAwJAJxAAXR1ubJk/zoYjaEWgZ+0dfmtxNmUG
toO6BPvWrJhQsqxhJcGwWohVHDnVJROd7axlIYEDSFuxjsiaNpo30YxsRXFCHb/qWYxZs647CKS6
pR0jlxEDMeRQZXlxiwXcyYNOFjeCTOC9F+kWgpULdgC9raQIZUqMH1Hde3QLZe47DFdIEQhDeDCx
vFXrIoozepJLPCIUv5BOxxc3YkuuaqOhOk15T3Jq447+4nbajBifVm5XeVursXc+NUcBAFegdBp8
rfWUIityan0CD6KcV/QVRStWvENFLmjM6XaxiC6isb8b3CX7sKy0w5iGFEqBvNDreG/ZyS3BG381
OHUR5PjIH5F7NWCDLVUsdh4GmR6a69zKdtpyxXBdTJBWP69VBTSF2ZB/CcU55beO7TZIiDwLZ6QT
dFlucEXOVgndoYFfxa9+q0Dgx9ETggnbkDx61hg7VlwHwS6n3R2386Vp3rvBK9MEBaUZZgJvncvI
Dyyj58xOgzKxvfXsJzwb9OgD6esU6VzNcNCJoOtdCuJVM62yKu4OblYA2lTGQKI3nAkcFiaxRUom
MjhbQTLQykZqtVqrvN0WuQj0fPzErAz+P953RF4CYhJ3c+9mF2UW1caJ9Zkuy9na1SbBdB49xkqp
CZ2Se5N5TEsZPYQ1bsxr8DNqBkrJSWYum6qFMkWgezsXMmMo1aZhNxo2pUShbYQEfbPJhLXWg8lw
8649O5CaE9qJeH+9lt62bNQwt5rWsLc0N3zpDdG/ybQEXxjH7A9WaQfpfSTsWQezGIb7HDBHvHGi
2n/JrWL87MwoPElnVjbiNWtkldks32tK7tgXIiEbVzkZxk/y4NTRCA/ZNOd9vSjPPDj016iU+WOn
RzWpqRaizk7LAIm4rot0PXiy5chDz7as7tFcFG4dqbtbNG8OGDy9iw4+5s0nbZgmOZQlLYFY7i+q
eb3o5+J3KX1R1aNFX+eOtUjtOpL05HnOQtJCiq/acPjgm0Ww2a7JTBRFvCuc0dmNi45vL4o+kJiI
ogZU/s5DJVj0Ojqely2AcV0ILMzVl2jZEiAmJrvkujooli2Cd10oRNflQkgt2e8mtP+ob/9CfTOQ
GfCC/s/yG3Cdz5/xZ/5/Lu3n1y8Z/1mJ++OHf5fiXP83WBqIZsyE1mJQwvP0uxTn2r9hu8O6pJNu
NH4PN/7hUDJBXtk29hSXLLpgiEOl+0OKMwFbYQhEinMMG6sS/+nf4HSQNfgnKQ6JEL+RbuOgAtop
rIXj8Webocvkz9WCQlXCQkHiStqQpU9kpEbP+Wl1ZrtJ9dh/UY3t7ZwF7lNYYRe4Kg0PwmnEl07g
Ft8PyCtyhHesKYqdBervgyIjWgUwpjApg4X6ySICpUw2ck2aO7qlbmJ88PxY21Z9ec2CdO2XX4bT
boyl+8DwmKgNXyXrZ0hnBDszy4m3JIy2k9/fJKmVg+KFZd0rpzs0c3Tg2WStJqOkbaz2qWFljqv9
qH+jAsf/yjSnx4IRT+Gu1cJ+a5YGmYc8zcevZQ/0QcFqf5xlKgLbGbvdTNncHuWSmJ7QMZKMTR+w
Ywe+nnh3qF9qM1GVtK9i3YBfTcBaNZa+Z/M+X5RDma2fEl9YUYw7QW4v03k1h0n9PNDb9YuNtXPT
6Zp5bLz+aZa6j0ApvYvpNpYBMJUkp3Cq0Fx5CdBhelva1t2EsWQjNBXpsPOmCdG+EtmbZII+mt7Y
HctM/GzDgt7ULEnOSUwtTeJ68jGH4AwKVMKL51CxV1HmJoCRqELGdcJtIJHWOcKM9aMeB0qYRmlr
38PkdDfF5A1vFbGBG37hvE6b+CBrTzhGunWrbIpCAtdDHmJmzzecft+jxaTiODFmsJyh8Nhki28+
N38yxVKpN+f0TONnZy+C1ZU3SisfrUKk3E15HFFCrb9RtYFd2MkbggtDFdQMSDdmHMs9EYYmUKbP
S4+Wlr2os1fDYOMpipSZnmwtfPFa6uBsMLJPOPg7vAtoVt0cm+/jVGf7Xnj0E1tusZQZw85vSb2z
+OYB0ApVwFiVEJddEQjltJvCjn9xTwxDjP21fWsYQ3ogS0lRQ6if604vzqqa/S+0peh5HAzuHDxg
X6ZR5GAVKK9k1QV4eRz95uwNWr9WtS7uZWOyA9R8jWKnyqL2wWr7+kuCt/SXelajj+ptX6fidjap
tEvxqKGj5j2Sm+BTm+Dnes5dXzTBiDd9qxW8Z35q6AGQsv5jtuPqpHle/dAXKIzQZr3tpPCWmCOX
ecgAjsFjrp5c9yWrsbxkhY3lREPrbKc0UHYW7zDUlc8GXqLbmFfXrW1khI0eAqleNXEa3UKPji7m
bFhBF5vLnYanboTg2Oo7aSpmlFCH8AMPeu0SW/npcReED2FrzV6zW2sLPNqjOiO7zH31UxrjEXce
Hj9dBVhetG1bqZtioBDKY4wFWuk8cbcIIqMUh5r7JtG92NGCP53V/x8TN4y/vy4gOPXw8nHIGzal
9pbHofznU4/iVxdQJ8dB0kYiXg12xVO3piw45uNY1ueRAsS1Ksg3y/ItB5Ufb6qmbW+tGcbFioLJ
/tThB/kOixiWRFzmJ39YylLJEWVnAlXlW9Uwm0lXJSYzSWwVm65raZ6D6ZM9+Nfvc3b9bpssCiGw
8L1wDqwazKOyJyLVajCtctOzF/z431+6u+x+/rJ8IfDgW4vh20au5OHzTyf+pHWIqVmk7ww74hbF
nrrIzEfNGz9wP6Yro8r6tU3FOgaJnmJt4u0kT4ex5tPQ1hSQaJHdGht7xiRK30BIbAxKRNCm+fAr
M/voiU7Y6cDiem+N+aEx52Zci7798CSYEqDCO0LqR4FJa51lyc8G2Nqaz1ZxGenmOrB5agISZERN
DRkfBYBVaKbZQIlAS818OeAqW+vwkahSysQ6VHSnDg71W7Y/FpfeVf4HqaLyY4Kcs1UOlRqCiPEt
2+vmNo8oB4uVUeyqTrlvJNzCg1OY4WUqkuGB/+lu27lP3lLcucdxULg3/A5zUOHYO9XX865yFNdA
T02HKEbNXSlK0IHUiehxIgGDB2dmK8A/G6hHmsXbDODgjriRQ2sPyOzcJELNMwjVrgUi9NIJe8H/
+/ULvjo/aPLS+nZ0PwqSLstOcJblaqzt9FTbwJbWvRT2i9bZ4s6fPe3RlEqAPvfxQcyeXv2ig3h8
cVDgX2y3Ki90ybcXL7OHoz4Xxt40rPgcNnq7F/ANC1pQuiH2ArdqOwjYcuwgRRnjvVBK3Y+qyG7p
AWHVFucG3hSLUrJ86mmOm5r2sRekzHQxEyKuDPHD4kLxVIUW2Kgwf447ACcLSZEyj07OxUeh1+pm
ZqF2ntuOfstYjqeSfN25oGkI2TpPzq49kYtvWdJvWyOdKN4rvHitt0N9dmsV3klN1feOq1x0ASOa
9nbBTc1GW9y0LWFrHyX50qu4ugH5g3kAyu1yZ6+Po+NSFbScInkTMq64B6Kpa9Kod1Q0PbIvWDUq
LwirY9SVjrajGwIHNY+J9cRRJZczK8Ldtw2Xc8yMjBi4raZ9e8sJNyxnXY6Js1KtWFlcXsnP5fZu
vh6M/fWQ5KSwaGLj5GyXM9RrY86ZPBEzB0Gsd8CTOW9RwMvncTmDW2GNx1JVnLm1oBOjBGqyFWri
RDcw4Q5uU51m3eg/bKDRQUUkN8i0VrAqWx4M6fKMoHUA/05usETJlmdIQ7BD27ti5ubRXR9BgIoA
5/ra1KkgMxr3adIr+07WuRUGkIH8r6SNzW7lVUZm76SOs0cbsAbL5TnZ06wErHJ5gpZ15P2Adwq+
0+YzbfKcSuoTiOeBM5TuxX0VkoIMKWZKgvb6SJ/BIxGpwpaAAgjZ0UDWwf0o+RW516lhWgYIjUli
XkYK7zpcsCigQK537SBe5g6d8TH04VxSbY+UGuaet6FvbTwVuUGNq6+NhxA60AqUeIHQXMfBgOpz
SPtedKveiy2sGb61Lseqx4eVZ9mNLWR6wOMM/QLqwmtcOdYtNArvoZyMsFi1MpZbEbf+r2auxWXM
lf1zyPvhksgpedZQCR9DqPMyiPTePbDY0SiAo5qO27+V3Dm4lFkt0dF462hmv28p3LxhpkO1VITe
loyxsC8FWfZjHdbFbdcPhJVr5bY/EBXedKeuA3q+p3idUUxDG6Fn7LxxiJ/ciBeecms4tFoNBydm
xwWdwsNYXEuyiWZmaRd7xtLkOiPw7LRyLsQr7XXiLv6uIqmeanDOCbJfmx9MLaE0tcATT4p98Gii
Nup+nftjKm+cGqaIMyif4tJE/zH6c//TrMqa95j1DboxX7QtPjFWVI6DaWcVIVu9Tm5i7wjU8y0m
mJYcEfqyk2o97eg3g9pTADkecV0518gjiaLGiVhWavq7MXqXmYDbEws01J9Kg3QPmewIeZ36HoUj
5z6eRPaRmlTtYYuzzRUG+u5HZFNXWPed3OiulW/8Kgt3/F9+6CRVN4uQtunAF51E7fPhxxwI0KzR
k3utWQoPzLySkBCYApeKceuS8DJCqARr20EFr0DXQRH5pQtNg45aJSTpGQAwDrH2wn7agSg0hf5W
ycw6DpPsb+BGs/Yz3B4KHHVfVerOB1dgNsaBANDQY2Df0GrlEC11jtATv1k2/JhGOut4gOVckMKq
PLit7fFtRxNclQDmHpDJpx0nD4N1mOkvKe2HFAEXLzjVxZvVAFkc+rx+pfI6fcUX2f7C4sDKknjv
fujmD9aNL3iAqSVMU9s52FZ1Ixws9HCVGfrHft1TP7mh2mbG8puzAt/oAy2csFYrR0dHtOoDbiie
u2FmH30zN/eg3tKN0drTe6LxOdVnS5xG4Gbkw5zwJ5q4tYscD7qVWy1j/VyODMojutsYW199H4c7
32q0rcOi4Jy0RXJi0RBNp77Uqgfo7OIp5v5CUqMau19DVjMumpn0zmVTctoMkZn+F3tnshtJlmbn
V2looZUscO3atQmCtHDz2Z3zHBsDGWTYPM/29PqMGVkVkVWVpQK6G2hBq6pEJun06Q7nP+c7d9Ru
4Hmbl7KLmDqjrR0ryhkLA7d3XIKv0HzTitY2lmZ+K926uPYUIYiyxmqWU4jtNDz3PvUPQ+fEJ8gp
7dLWBjMXey88EK4jV4mFyyxngroZ3LTBqjKPXJwMlCAtmQ6j60qaGHj8UaQ2QQXGMqifk3uRufmE
XYCeKEPv7K9hFek76n3jlU/Ve7fK0olvbT0Ji2soiI9VWTQ0RTQvrt9dzLb4nreYzHrd118ZmttX
bkVXlV3eA3qmO1KCR7+VQT1lVFxE83tsEEkwQucxa3MO1R17+yzBow19PewcUdE2HhrjTixt83R1
iUcqEahahpYeMnGkEykqKEQMlASXYPsZ40wyfxpMfKe9R56Y7y3izKWXCCDwJGjPSMslHBye83Wa
F/KCUQLToKUKy1CBvOmGqLXWiqK1fEdiS7vDAGRcG3o+fFfJm99QvDOUI7UwwRxadDVOal9HCcci
Lb/IKPJTorLWdZP6Nrp8vLOirmIVkdwxxkZbZ+b7hNIVb12gEih6E8UlMCn1ddn753aI50sOhKdW
wk4R3bOTfC3m2ykMPKlafVXlMv4em8FlkmQ56mQpbmzTr174fLF5WVN7NeD/OZGhKJ9F3zMXi1JU
CGpVNDqo+Ea/zGYzPFiZa7z4IjGfrBiLQCsadWg0ER/ZCULMkL7mMRKjMc5P6Y3WQBfHcXBo65iZ
rA3JtAM8chPFpXVLw/X01QzpytScIDtgUISuFFtq4SCbKd279DOwn9rjM0UJjL9yqhWWfHe4x6Gc
0e4+VRtFow2hene8kyREdqbG+JEaArUlBhzvFUlzfGScZKfUnzZ9pI97zpACYbdwLFBphvCvzTQv
D6rqxm2QdjA36al9qCNOfj2DBuwaXYVkXrv7IE1D4k/RROjdh7jB34CNGMj4pmfQ8Ix1cpnljkHg
5VF2G4AsyFeghOZtv2y4VEVUO11PHlJtKo+JarodowoOZAntW1ROc+dXlrrHodJs5q4sEKXx2qya
iYplJFJbesTeBnBWTcI3MMkFCzZkKkCLHd8s/pTCa92Mn+jbrAUJlxuPUx41HiwEulyD3NiHCSuE
j+lxTXYAKh3gn30uma20tFWsiBPFhKKYcK2HoYI3nVBB3iX+Seq+f5HTDpW74ZuJMBMn4hCQndZD
/1TD7FvJhIF6V4TPbeYwiAcJtknNeTqi8OVQNN1b7uWedGFeJxI44srS/OwiZIzjZUNvr9EJ5k00
miHXpIgkD8Ou9BQ6ps1L4OuHoS502FZ9zIGhyb+HJNxW5Hmig2NMmkc5hF6uDB/wRU533btMi+Ql
j1Sdkr0mLUAbnouZy0qvuau0JwXy8cCsA2XJtBrjMaY9CKtsVL5kzEQ9Go6KE16fmPtfGe9LHG97
YUTpTvU1LG0jb/YN8aGSKhzanGz6M5Q7b2c71nd8w4yHluvadasxf8t7u95EGdpH6AqIrkzV2zg5
FdI8js1+cng9u9x9aRjlx+QubmUO6DQe7PgRnoQ6VEmanu2oAQrBV/DgD/E1maOh+81b+o9R8X/v
KmwqHAS6DTBZuH/IEw9xLn2fkOhOm6Zmw2zU+lYHPVSuyszBJFKNFSwNhQGwh5wBap0wdFmHYanR
6ZRMb5Y9lzWeFBOuMGQw0EyLXommA6Stw55G4XyI7XiVfyqcAt8XDVgjAuFUWM4xwiZGhQ83RM37
vOP/e6v2/4Wg2TYZdUv+qSK/K0jyfyyb43R4/1//7S8/8UOGx8G6ABZ03XR/JQnaxhfLNGiVRPwW
ksw9H4IfMrxufnF0FHtWdzzvBrOjv8jwuvrCLQTh/Id2T+z4X5Dh/yjCL38YSUKi+Ka1pFL/IMlI
G1OdmQ7DBtBFsRpphNn6cSs9OKILXzQef8ud/8MP/q8QA2Sfz8fjAdl+SdMvM4mf5a80YMoMMH4g
+QSlYVbB936mv2IaOOX+udwkjQWh8bPXl8cyyT+DSFwUp79pY+gsUyIahnCmdJF4QWZS8gv8ST9g
XikvEj/oL7oZYGIqW+C9Ve2+08fSXzf5mBwyVwET47ylH8U0lIy3u0YlGBKD+klxFR2w1lIcw+1D
P3ZCNlDzZtP3Gt1mOB7Dd8XENKejjUpbfCD8c1V1Ev0+c2pQPoZNxPBELaK4jlLZQFiKZjDbRKQ+
WissNhSVYd9ympQkJWDHj8CC+5fk4CUKP52v3UrinYBbG+wYmGIVwlJ3E1uzdqqEK/p9peiRJqLs
8qd0tu8/kRKfGSuH1QyIlxwLVkFnshV6mmbvytmA4cTZhp4suHQBoVNVy2Jl2H39PYu1+khW+mAH
fB70Hu6iZufnfLLuuU4n5ZqYin+cA20+RfRCX49jeh5D+GjKF2TJo/JZy1jUHbToWM35Ljft80SV
xSpyESUqTFme4Wr1eQphnjD47emG5nSd6m4aklhxaPXECrvRtRH76NQ8R26HZQ/Rfz1RtbrCLO1w
mLYvOYKi6SP+hkso1sAFtjE1d9P7hH8TTod08OHM1m4nUpqmbi/a9BjuHMAsa3rGDpIpv5eUBg9f
03Yk9OB7HkcksrqY/xNOzM2ZRjQpXrQ+tXMqyRuxthQPLq0M+q4jboZOp7sIP4an58FrIJOLLKfm
R1rBG3k2xE0y0muVazuIJDdFUq+d5RVNjAV5ocI7YF8BW5t8Nzv/rCf2oSri1EuRDAXwrBW8ltKT
jXGD5XT0ikx/j61saySiIsjR7gwRfxfSSjaJXz+b/ANRcXKn8XcsjeesDY4BdmNg5H61wk50RyZn
BxV7RQvHKfSTXWtQVZXW0aaEzuQ5o0PNbeVXVXCODTUI0Jx+c1W15mVEGWPex8SO8RqujCE9CXf8
sBghrAlrIjdmvHn16CBzBG7OiWgg5WVgBSL6xjzB5UrWKedScjS+NPzxLfSbpzGQ1gZz1kISxnBu
+RQIG8F5iil7Yn7vrwoNq620C0pDoRnRBoxNKSl2Vi3B1bs8AQBuwufh0iF683GhxjkxrtQybK+1
i5Wi78Oj7C3m8CK1Q1O0Ped8wv+8sTdwtNAPARmstDRtYCnzRcX2Mt+3WsPkqbHvB8Ezze3s3Oe8
D0qUmNqKYvMfsm3+P4foBfvi/mln0/E1y7p/+++vWfk//+302oRZ9Evy5MfP/9horS+2w6bIfqkr
ZTJS/su8Gx6Hy6DZsYXF/3ySOn6fd5tfaDQydcdmts1OsWxIv8+75Rdpg6ZhTq4MAZDjX0L2stP9
sh1ppGFsZYPjWI6CP825czp59I4J7S4joU9tJuOtxRw1kx2I+stSJVaxcX0IbESd2X9Xy0YDqL+q
ThNw8wP8uGo7hTabTU65sphGe51SFrhPjSLbaK3P8KfUAp2Eg6n3a1QYMif+EnAtOK9kmIZXaRNO
T+MiJdgowJuGhNy+yOrqSu9k8hTUPpN2u8AbsogRQ5cmJ76+7iGfB274i2iR5WF9ZFahVoz0o1ew
wHj4oQZGa/9T82gW+cNZhJBkkUR6mu5XxadOMiySSfGpnthAlM5zFwCdCBd5JfhUWhj5yft2kV9a
lnTg81UPv7fGelvKUdv6TuHvJrQbFc/AgB0LPUfLsZcViUwGz5el2hWL9EOtbA8SFTmoivtyTQ/q
/KLBOd8gzht7fRGQEjuc7rsEjNSpCRrcWWwyi+TUZUQmdSujKhzM7SqUtAAV8N5OJq7HN7XQKtqm
1Fix8V7GnwLXInUVcZ48MUQonwK2pb1YJDEbvc32hEmiCOcU5SJLPMAr26j+1gFuPBodprsdGlMi
CLFhDCOfKgqqgyLtXtMye7yYlY0TYe5S9zvTTiL448xNMUq1+mThJnrVSnZErj+962lZ224iAf7d
n2N+S1SG0Bo7OpU2DaPPfc78YxPOhPln4pJrgnJizVkXA2EQdfKWGW/2vRp4F9ayNiA3kEZIVo4L
8vGhMZYqgayXFWMeiyiLl4osozg4cYKrzLKNg5tV4bUp0W30svZD3m4gcbxsdTF5VRdO1z7QZ+4Y
tDgrfqW8rvkTXzsSVkzwtFbAy61MtGitHRErcG35pCHlCgm9PoRKm7ZZqPvfp9Lib2oy10wRpkKX
mTUflXDjD5W8ta3Gf+WykzgMgtmLzRF+P/hfHG+hO7moXJWen/2obdaCidNNAdoP7d8tqYzuOHV6
Us7RbaTS4DvcA5hrflFuJhlNJTkaHVk6reuWe+AwN8A3nLSjn9TRxDuDmel1Rhx+MHhYc11ouvFd
ILrzlQ5MQMNA5JphZRuO0Pj+kCEm1EI1IcPm3DHWKXIAJNpUFsV67E2F7yCDdSo121HXYYTla82t
N8g3UzxayyC8A+KZosncYZRMhpVRapQ/tuTT4eXolcNleOzExzBVxUEDlkmLfDYHZBeCnKOKJnzz
SJVAQAg/dd3bdBy/SXIah0kvzG8K6sUepmJ7OwYmw+eOI8usV+qaF4WRhe6U4+OoxcErl5foQPgl
OZST3zI06kjVphawUjtxJYaPJuO5zuGSLB163qfRT9sTGhHXVnOqI/LRltuVm4FB5x7vDfNfWXZr
2ZfuB6dNPVmPrdY+IlSFb9EcD2+BH/dbq/Kny5lZw3VEo86xnczsGtSw2a6CWlu8wfqkvmr1ZCCR
2wZlFxTPFWeQs2I9ZEXwlV9C+24oxHUT68oblPs1yZNyg/Bknel4BZPe1eYmovvzTNG1+dVRgR1z
a2ZIYdPTS0nIknUobdaeKCyT3tMTHTtvj8JyyByjOGZGVKZrh+t4tG7pDzjHsT3uJwu2Q1gzhKT0
3fHPZqOn+D80QWt6VdtNueHVEa+YOdwHy+igcjaNewux/WbK4YsG4wi7Tjn51tQcGEuj2ZX3ltm7
JzqD6P6iFO5bIUN17FB7kMw7seM8lh7g4UQbs6F1zJiLBAaGZsLM4QJkVtWw5qtebyAW0MA1JTbB
KPy5VjDS7hI04EyjkJp2E78LRO40utRY9y4ygHRXbgP+NzT9fi2Kurk1Weevq6D3aTIvnNGj342G
gyFU11anknu94cKi43XHrREl/aZzpHuaKRDeczeJ9vQcDLtcBdqxdENzrwaZF+isGJ3W5ZDFF4G5
RMx1Y5jfAs1t9nGSRbcZwtABvtINjenYeFktFfHI2JUv7NvuCRAGYrhpTtbNjAMdG04AyhnoRkYN
LfVmFHi2I7OLIvwex0lwi6jp38tyxDeOF8R9CwZov1pTq0udTNrrkGXWE9oeNmkxO54bTdkenyZ3
JzgsGnkKgPyrqB/sm2w07HNaz9Y6Nebh3NeaAv9O9S5BLt0/go4siGNRYePKKNoG0KsORLECynHA
gGxtLU5vTRv0egSmXwdCGtYfzJai8FLa/fyqOQZXihZTtgRiXphebIzjmQhGAKTL11aTcNSZ5GH/
whUy3mKh6LyZXWzXu1mxrPFOWCKYQgsmDpvjjDLKy9mxSI3S2Cg/jL7IL3ET0OfTTEzRhTNz6u+c
5ps/O9z15lxu+6HSjrMzdx8ZA8FtoTf9XR2wDa1sZYJQZSJ4DJj2vsoIQxFCpQyuqOYRjLK5Tmwr
E6oqlw0YB53iGN2UdneyB10/9RkmHFcTHb7gONpNqmCl0/iZQ6QH+Fgqf7ymJMTaQaGIj43lVLya
bfXgD3ntZWwnXpBP/h6STnM7mDXeJMe375vY7eFHDYyJMkhWDpLNySHqgFsOBkevKQ4DxFHJtlj2
2WVfffvPPcYvMtu3omQ5BClB6dkP2W3h0/3yD5tPremm+6in248GTv/vAtDyX/7f/ssfitU/s6Na
amEQ/mM76umjfk1/0b/0337kx6Hc5uitOwhZBK/5cOl/NaEuOpaB9ICbdBG/bM7Lv6tf8ostHIyp
ij2SWLj5V/XL+ULYmmZ3V0c2A5j3L5pQrT9qRKD4LLLoQgoMsoYBde+XwzlygjYkiZ5sULI3ll+w
qXQF7hCPk2F3zmNqsxk5yJPFiroXGcBUDs5J6jmZWyKla+2TGpRAdmb08myVSKqeEHlxSJeQD4eG
xLHZwduc5uzeuRJhazmH3rKG6FzTCPxN0f15anKmhahIFjVrXRF19E9y4YYvxqQqwW5OmIwKuRKS
ewzFaR1mafCOR9DMUPBJwK8dI66HVYtVrCL1M475adAS+wGwUpxscj0EBjUL/zQ3Vd1hFhTWUzUP
EiYEjO0m1IYrrHd4rPqZ8JiVi+DY0wRLpikJiahy7HHpAid70uQDlUapJjCd9CpX/VFy8BNs6XgP
jtYUyjuRD1RhJKgOKfZU4CBUWOouCSdT2Dm1HRDgr0K76aiyCOHeImQoZsMNfpjhyiL+3ZylpVra
3HzmCB7xcLC7jLRGcHF2UAsvirOSIyt4I0kLFmP3aKrPxRQLE0ssbjbPAk0QknCLp7thxoDFRF1S
MtC2Y9oyHWqxOw0sO9gwhzL5ljC0KjkIdSniQpPwAIrh8bOImvgqoUhvzzuj7oUT9yRGOYn4xeRe
SxRTqj3duB43TSOKB0RG1hQAdaO/swJiHWU9isDjDDc+ijKxbxLga98EcIsIFG1n4mOmn4Muv8Bh
7D3EVrqBJyOfqi7qnpzAVPjHUtU4qGYZSzp8/uoEDQ3japiRNI2dCi2jbLksHtTYhpQ7UQ+HeZBH
WJutgHfTdYZxG8Nf3JtBFd00NF7B5yKS/E0XIQaQKpSUXHFuGy7xzoXc9ox0HXA1+VDQQ5Ywookh
0u/dkZfAn92D6rV4WldmJP01Vjed/063vlY2dxpaB4WReMPs0kpK71mptgMuLXM/jRq036ljZLfu
LDX3667v7JcKy3W9QnNvjg3h42TNYbig78ApI3NF/V333dLnUa35FbnvRbRVuR7lopg9pVN1W6gN
Dnudkfs3WT8ylS6nZNgmI09sNYRura9IwpXkjSWZkCq1kvcuIkx3cDINshx9pPXaSuMixzmtQoek
hdFmd64bOevG7pjErfo0kxqVjQqCXQmJJrU7LihdPRDP5rBRnoSsXD6OQPAmrOh70Yj4MZeD2Kl8
mjd2pOZz4DbpaQp7ua1G6VdelAw2EExgDfqiRBaP9YBJgpTeXjd7wP2ugavhqNwsvwvCeNOmDWEX
ai6aGcscn5SKnNoFzIGoJsydE+ODBRxS9OBrUfkGOX0+yx6LEQomn5OjRjfF9IgaUjGlm6ZeBCtj
Gq1kyzmRG82q7mP8PlmcoJZpVXg7dLn1lqQD6DewzbTWDEy356soSfXJoz7N7bauWeL9Gpxg1KYV
3kTDOVh4cuYrMG1LVSTNJY/t1NqgwwwwGduOjCTBRjOUlM2RS2OZR0wLHW1xgmNfQdx4LcbyRMo/
5gbL4X8iq8uMxPBKs2MObZo829X/MBEkRVd2mDCzsbxuZN/u9LJMtv+5+/bP2/b//i8022Ir/XP5
7eo9asJfNvcfP/Lb5g4Bl+QSbmaKLj67YNk9f8Be9C/QI4QydQFh/LfsyY/NXcovDGM++caQs8Un
B+aH4qbbTL2kbvEzOjMb4Ln/ymjL/mMTLEKfiaZksAABDuKcgSD4s/IW9VblqALnOtNlvgxFhuMA
eVoTF6FdhxsuYqA7CQFvXNz32UaSlj3rVp5u/XSsTkkMFt8fBSSJ3ogAcfolrnspW7tbOT6XqZ3M
zfpi1CPcCS5k+k1Ah6HONjNApnen6plCvnTdySI9REYKNwqa4L7Lejw2S1wOfT2/ihANW5of2t5d
MyvkBJAldOEQaFUdyCRV1/lBOqk6RWPks+6UqtkwTdIuhrhO+MoknCVXmTtqH/DKMPg7g+6+RW7t
cAwhE0gaOzoWTITpEE1oiyUuZD3hr4T/wIpJHWBS0vuzqsEroALhoYaBk8ePcZu+DLOILqI6uvdr
br9mkPUHM7bqV8uaw5OSLBx+3Vp31qzSCxFRoznSwYURDtZgRKX0oZ80DYeq4MpTp1uov/PG5aWj
kSMOPa0CBAuqaritaTRgK3IunGJMT0ArIy9osBMEJXXcMNNufceMD7lephvT7qev41xQYcuBBmGK
NtPUi+CZYcVyDOOYLC1ZXiMMpl1NV9KCVKT42bTFZ7DiRaOROk11vVqV40A0l7p25wH0i7i2JiJB
bp+m7sEBM9AQRV9sWMZSVA1doHkFPTxUhwFDyckKuCSuRIFDuHAyamOyygH/ltWIhaeh1FNjqbRi
eQaxSE8a6oV73dA3aHhWaytnm4OIOTYjV05cKERrhe9UIL67jCuipRroaVjLL9lC5GXEtvtVY+gG
cxCsbB5rxfKU+vS2wnb5AOfH3JgtsE+KnfqrVgeAv6rZV6aVGh1EEjnU/Z2jF+FSMWnIpw4L7yNh
2RonxVDrN/TVWVcWWmK2Nmu/2Hemne6ZfA4LV7afnlr6l97Y9eObBjfpxtBCIB3EmafgPPCU+m2X
6sXG5K7nezkxqNuQPXTPNiCWZvZxi28wSz0/6Yt9VdrFRSrTdhv0d9j0MPoPPVfg8LEYsOkXydRf
di2vMVij+AWwRXdtFjUt9IpDrVPnV+2oAxCc9HXSjTNHqtSgAVfjJUNx9GpsvRfEso1sByO45VtN
O9RuqOslB800iPMSQel503Fqm6mFHM214hT4Ycf+S4vp8wzIIL8YKnc8ENikuiKebdL4HJw4XY44
XOYGMg1mDv8qBpHGTZfJ4qmLMPJjldbJL9cism/yKG0e9YQIMnbD1L5oXL1+HqWiOVSvS/DQdOhY
J7P0u/EwOLLpDnnFbBcFx3Cmr0rwJt01DlJNA7n6HWZaYQUe/BOrBABDmxDWHw6J+pMWhON4CGPb
1Ikl9bg7C0Ml4hveU98951A/Y0Q3I+KtWAhLQ2c7UCE1fr0n9H564Kyor82uzZ50OUIQCAuy72zD
SezNbN8xZEeW6RVLtEg2ttmlT1E0DrvOrXGlsdg/dpU7nHWjbS61QeQU85gEjJnjcQBw0lG826Rc
CK/56QXaHgePUPO3PQ1eFtLTbFwV+ji95Y2vv6T1mHp23Zr7kW8RK2wZbJ24Le+HSOrk9cRskjqj
6ql4D/q2uJmV5X+AnaK8ye7m93oYeypRBL9Yp0IpIOowq3E3BnCd7iONsyLH58YJgM0hVd1OTWX3
GxvsqLW1yYeoQxAb+rrNa4J1UQyoi0KxpUQ264Ysvcgzu5QHRoIIdKaMMAHpSTDfx52SGc5HEoqQ
PiyqnhtsataO+XewTO3d5GI0C43tBZNyqYdQi+YOMKGk42g3ucXsCXdxcaXBVdpk6bl2OGxrahxp
XlLEKgw2HkggTXnEOjkzVHZhTE7jmF0EST08mKBizm3hIpgw7Si/dhC3ILmS1ucmNRDcWNsddYOB
pjm0pNpwLjzsvXa8TwKohh6J7umbUFU8rfpkct+IPOnZqvyEqpf2AlifPmHrOIyYHohPCDvmLUU+
fGGzN3DSKMn9RLb7n/h26xPlXn1i3amaqk9DRpjrEM+lOgylVMNFuoDgDRMkPOJgdioWTPxANZwL
O3QEMViwTIoFKG+PoOWbtBavVTvfqp5oBhc4v7sTYwKOPtCwO2KTqG1GE/i8mpWcE+u1/mTYEzGz
nurOhGyvLIha+6Sd+3DTfYIBm09IoFh4gbg5pg8upeIBEW64a92gTdbFAhm0DKbJFd/h1ahJdas3
lXrSGjejnidXRyKKxcqM66V2abqY3VSNXmcR6HPM5Dy781G2C+QQoXd+zz7Rh90nBpGMJT6RKMwa
jVG9a1Hz9IlNxH2l5TuVKuM7ByfAiuUnZNEIRPhghka//HYojIlOq/suMgrjIR5j1jtGnG15rAq3
rTc198Er7RPtyBTNfQLpmu31PAb9mOBnNfampvdgqj7xkNYnKpLxCv7CJml4o2GuLThJrP3txumb
9GXxeF/Vn+hJskt0YNY9VMqChBNXAxtWZbVQK7uFX1l8oiyDwGzuGoxmr0g9oC7NT+xlF0DAFJ8w
zPATjClJ1F/xrKujH2oCJEwpQEuC+2k+mhTODZ2WQ8ANwUEQ2hdw751V3Rk2dd6QLBovFCELNnhK
rWH8lg0XNiXGFDLmrYXj3dTLdxphzAT3ak8LV1gZpaeG6pvDXGNf4nn51ql+Blg9YoOGvonzwWNn
mjeUnMSLM10EL3DC6zPGif5Ji6B+rujdii96vXhwhsqUDFCjQN8Q3jdPWd3Emzjr4w4hJn+nIdZn
K8N2MefU39RVAvqy55p/OSYl1yy0UOBQ1MazpsQgAFNsQNM2T7rqOo7mma+832rUPRkxt+K4qrqX
qEsAlAZEjHVEIzk8T2EG3AqRKg42GgOKk6ac4KFjNvSBNIh50u+HtNgUXTHrXjQvPXljkFVreu/K
ilWZABesFqC8+L8s3CYyzhDtO/+xr+qcC1tY72qrlauySktmilxi5ynccSDdJyJZ/BxxnG9physR
JGaLZvQRz6fhLD0JWa4YXdgsgVGWNE9D5Cbgv9rRY9+HX5bwqTwGjuHv2yAtz0UfDPeV7wxe2vrZ
min++ELVapp6TS2qt6DOnAh2bmh8GzMIE/7Sul7ML6RbP/rIBwfBABQ9grsuzhVrhrMEnpyO9sIq
4BFnE7jiKMSFjBI1MRivxbOu2I2ewqrQstU8GuY1XeTO0hAU1xujTsn80lNEsSUtFZKqBDdP3srA
HEG5skCs6XzAA2bRWo7Zt3DLfc124bXsAYcRh/Zt4UbDI6OFamUOqRx2DaVpnRbmJ3D9obaqWpxD
e63JsMPUAL0g5Ul3uMdki+vXrPijQb5kb7bOIUFCTTbXWZ9oH7XSGLRSccTvHp36hhVIQE0TRlnx
ISiaa5JtLlQ6KlMXIph7jd25vhO6hSDvWwlJDmo5qq8WoRsmp2WMJZ8DGgWQzlh+6wKbb4fd0q55
4ovHwTDKw+LVtbrmHveAce6UIa+zUW/gOzhMyoyyK9jsAmtinw0m0+sjzd0pWYx7Pj1DyJhWdO+K
wvpoX8yRi1Bqk7sWhV1SnlUPDoOFCYDIOm7ILcrFQ56mGXECrbGDZ4nAy6hgoJuMTmHewLYwWkzU
uaa/kivqjjrItotBguxfwbXgCEZ6mvNANsMUS4WBKZozIX5sd2rOk2/VTDD6CbfeLH3h7sJcZTjq
hvg1Hgb7InVETFvnWOUbXjNBNtuJmF+1eogAQeCH3jK/ACUcg5rrYuVF0KO9vjT0o07aauWQb1qF
ZjdsWFXxV9tYPsAWuL7CPBAbcKKBiD3EQeq+B27JV7tGvn0bOzM+16XpypUdOWPGdKrW31AM8SgI
EgKRlshtiS+Z6SQss0KOp9pnRF/NCTWJRpheGfGcX0MJjqUHPMvyEJdYWMqCkRiUdc9kkXx1U4FD
3gHviGo7v4EOydJVSUvsojrFb6Us8vU8psFdl+nJs/QzcYeljPufzR5ySdTOH3ZSz5vWs2zZJh5f
LCG3raALEO9CTYQpMDdjNrRYrbT9AAvAy/O7iW6/hQ00TzdkIahCV1joEAhd+wS4LM2I97TpYxMa
4X6cOVwsmbw59HDah++WUXJYLHwHcqWd7ZZKRLihGE1OQet215buhwQNBu2eVD4gFT+rzoHB0+Bk
pCccXTDl4S7jeD9P/b0cEKB5Q32uXy92zGo7uiq4q4r54afZxt+Jb/+NXRZzCDqCLmhOW1p8lnHC
T14eRPcBbB1eHvRKrNZgGamBKCztxAw6mYlW+Uup0F+mKX/nEaks/9XEiiUJgxJTEEHjt/VHw6xj
8FYaZTvvEkKqN3gR2ksVLpaOXLeP0QzpRl9sQX/+oIv7/BfnLE/TMAzbcRnZSH1xH//8NGWkF7Nv
J+MO7lB65lzTXgc+k3x8huF9OdcwFaaJ1PgwVB//X4r7nNb9kzmbtAwq4f/6yVgmeT8mdL91Ul13
79238INKjp+95j9+7Icch2GNfP0ivJms/J9+8t/kuAX4wmUN2e3HsO0npzmuOSUNMmO6ablUYyGS
/S7HiS8OjSVohIaUNla9f8kAtzi7f/lMsfI7yIVsSdAPOLr/+pn6q5SLZebFJ/uHy5kzfdDZYFm4
I1F0QRDItc9An7799Er9ne/Q33xr//DQfxjyyVi3k0Q0dKIrYnBB2MDtjYE1Jf7bUOn/tFtxeSY/
P1MbljUUF068wqKmT/4h2xH7PQ0LTAO2PWXbzMf91nMRh9b4apPt1JTPgsLsHe90tUnTztm4ds80
phQmQIHumbE82Mo5eCRdeI2mfmHGo2d0qblqhf9UVb7kpWrp2y3ik04wZvPnr5Uu//bPZ7pKxAAb
g0khmVreyJ/WOFmDRLX6SlE3T0eRjY2YnCoiHlurWs5VM8UnbFjrGX3smgFqdKfgEUo6utY9BJOV
6KrnZEa5oL7pRVP5OTTUDhngLbB7kyqR6NByNCJrwH8rM8YE+eI8CAYgP0WYV54zVYegkuJeywWm
Aj+t9yRy11NP58N8MxV0AxF47M3wVpnxPpiGtwZHXDKEm77L1qMPrCyIkhuseLdlOt2p6n1abH0E
DL6OlBTv7AkzHOdm+6KAeoszu4T/6XQLC4smpgbc/tp0eDIjSS5V68YOZERwbyXiJtdSFESXRzaq
Pj3LYJxe46y1dwXcHehBLRslZJ+VqnK2Y3LY9VrpXUT9NXkBxYRlL+yEXc6G1g8+xj0qXIZn+KPz
Srlxcz30vsK60OTHtimcr4aQNj6HqLhyMHtxPF30Z3S2r0gU7sYcQvlWmnP/QQJZMLM9DTIcLgcx
wzQSTtNsgXIVW9OS8zGncJrp1cxQMte3Wm6X71EUv0dBYR0GLuI44aphC7PjRmvKGvE5PPogv3CQ
HCssSkFvcXrhrTGbqd7rDT9Q/h/2zmy5baTL1q/SL4AKAInxlgRHkdQsy75BSLINJMbEPDx9f1D5
/9tW1XGdc6KvOvrGURW2RIIAM3fuvda3kpBDfB5C18yb6swBDEJ1+eCCyf2HYE9z6dL//HWi1KCN
4giLR5IWkolO4OfnEbm1Ual2MjZdlhVAKnCYF2tVtXG6LrxI7ZYcxQcpzfFE7ob2JYYPR4fXq2gn
yYqWtyse8XGu56VlN3Sd920svOke7Xy2I7xh4dk1+l0M8vATprCOw2Wof//fTe3/ZlMTOrfsp+Xn
L5vavYS0kv+8of34kR8bmveHb3rQy+w/ZduLROTHfMn7Q198S7iqKCx/ko6Y3h8GoUfsWci27WUb
/Pd2Zrp/LGYgJlXuv+xW/9LN/NhDkNz8H41Mi3Dlp8cSUYrFYMlG74xfFaWV/cE5FYoYtQM2zr1F
e/M41wMWo1KeLSTJR3ccEC5UBFwQlVtusNOPj3JIoyN2Tn9V6W0cGD6i0tzsvbckbgyC25R7VyAM
OJSagoPljvHqp0/2xwX8R9HlN6UsWiKRf63p/vp+l2X/p2UdzarTSm8y9ogzhv1kLV0/kyARpwgD
XenkfaOYO3PYDHe/f2EU+P/wUX3Yf5Vj5apWYtrLqEEpMbYJVujK284geDZJp5UB/TRt1RkMsFLT
vh6RTqycys8DnNzsI8qu99Nc2IsqO1+VfgXYs46v4d6xaCs+PUeM15kIo3PYQjCSBBGv0rrQ9w36
XoUGvM7kY4pKBNlspbHAqczrn2GUkCg3VUN1U8Y5WJk27+57oUeMU1wP8u8oN5ky82Pu6+WZxqI8
E8g9fI67oQ0MwgtO0sgI9svnakt3f6MXb1Mf6wcWqR0jB8yXftwH0WDoj9ZA+LhLIvsOmDKNrjGS
28Tt3pKa+CFmh2b3jPxB58CqkexTgjpi/gStJ7bLHXz+R1ic19003FaJqqm6gyHTnkmB8K/aLIH3
n/ifIPFrOxt5Qj1BeZ1ixzwlc3TOc9jrikN/AB6frkMnd2KAkNZ77kub93PQD3axMv3kKHokhWY/
XXMqtbdwpdtNtxBMyUBvjwpV0TbsQjMIkYaWpNhsx1qnH1I+0Ac9Ah8Ig6hWQa/0lalFa/Ikjpzg
AL8JvdpSBREIH+XA4UBt7srEszbmQDujINcloG9TbriweNE4tQcbFvuXIarhf0QDQBm6tNOeogGD
lS+OfGtWUuuuwsmnSPLMfsuU74HJY3875mML2dhacLcdCqpB7fVYe+B0RG+/Jl6r9rkncVnG134X
iU0vBDla8VLmMOdtPCdk9ufou1bG4cFClbL2TJTmVUnjK5GOvUa+LIN+FPODNlbIKenGlX2/7ola
wkKHrjuW2Ua2PM2jLbTtoGgYdx5HVPBL09UQxfoClpU7FDqvllsQ8UR6jW+Cqq48zADeAwfAoHE6
RC0Zn6U9WDYo0X7viHaAtIudqXCZIsKvYnbQ4Rb3w1XX+/YeZZm7sBF3jv1UFE26rgW48dhGmCyy
LoFIoXlAkhIqmooqzvWSXZUNd0ah61dahC7TGcYhgDKD7UG1nN1Lld4zGNEC2G27cbDuUZ+OQeqN
tLCnmDZbl1wcbzRX2FIgyJZYHNpEH4NJM3fagIoYaMnGclDamnimbBLuIYgeqty7kx5SqWoaH9pR
MggDD9TGl74yFKg/wPJMZ8bmac6qa7di/OPq3R2eZ+/RJLVji15wU+jdS4oKaY3Q6lynZjDlxQMD
uY05+tsqzt9Qem7aWaZB5mLpq8wmXqMLu5C5Eu8MjBwyqW7l4B+12rgeXdCnYWGec6dC8hNOk7uN
QqcgOEmUzSttAHKmKeXux2YCRZSZd1qjR1tyLAH1Em/x1lMBMsWunRwJvvBfCK7k/7kssmAA4gCz
seCpocaCYaiyLaSHaI11J1uPjBv3tSJi20xNbaW6JgrqPLVvvdAMARkivU70qttnTPoWzwgpCZb+
yISYpFO/Gq4mfegeah8l1IyKm/acpnNUNxp6a66cAL64+smgS37wq66+q7C13QwdoDtZAjLE084/
TMp43c90rVrmLSeE9tdqmo61KaaN7aQP5IG2xzRkxOWk1hMiH+QSyk3XIEQM8IUcOzRT1RcTliTK
4TAOWougTrOmnE9Synm/aeQhckf66xq0Pi2SxGHpBI/5ZWM/54V2dMOZ9Y42Wz57yb4YIABhx5r3
KK3gUhjld5Jq9uQetDvbEeZa69N03/jyswCnuyHI8haoUIHNnSA65ONE8vZxD8U8MQ45Tc/LXNt3
v9/Hljrzv+rQ9w2UUxFsNPxlHF/dD70fQ7NiQ0sbY1/65W0pcweiEG4tGdtXv38h41dR6l9f6UNp
kbYjEV9mJPZ91KGRD/1vBvG7BFDCmihS59UxmZCMgFVX5BaEgYIo+A8NIPFr0f3nW6BXgHGaAyKN
pw9nWK8sQBQ0s7FntXIVQ19T4xBKnrC3AMAg1mkBHub0vp1Vu08LrboAmicosvd1QobC6oqeEQeJ
pnx2ZFLfcjrzSfqoWeXhKxYX251Rbxs6RHgCE/YybAtiBsdmU8OxCUizONYVCAhXYcTF5LvSOBCt
8zq/5X1o6GwWRfLvumx/d29/vtwPZ16grthxUtuAG9mEd7inxHqaMEYhe5/Xv3+pX5sRPz5Zd5E+
8QfKqeXvf6rDjAEIR4tgERip+711QUFNtvWFeUoR1LZ6/v2LfcBN/vXVlvbiT6+mSeisxDuZe+Bn
YDBt8YnY5+6QDNFXQ+K+rpy0velwX2OVMOd9q40IUFK0N54TtWc/wfLEnSRLud0R0TBuk6Zrj124
6PpHTttScgtTG48wBD47MCcQgPQIi5VKSdzJRoPfRmD3qsFhPC5FSbWUJxZ1yu+v89cu6ftlUvEz
40CzjMtzaWL9fJlpDptOYx/ZO5UdrVMn1InONlNKN0e7QUbDAK2riLH4/av+3Rf1l5f9UFObbcni
VuI30CwyULBofXVTkHAoogG417p2LKbxEmItuWG4UW7cgVnz/8dbYFHyHZRuPhiHD1/UTDfGRhHr
CPUdrXrDlijt5uz5DnPfluTsTDnXUBKoN0lFZtWvtr9/A3/zOPs/v/6Hb043+CQ4FZG1b7Pui2jk
iBc/FMe8cniwtegfmgHLSeHDGsyV6jb32CCMyv5wtfGA5Aakv763RZOcCF+Bw9Cg3P/9Nf3NavDL
q3y4poaEuz6DkbLPUR2tBi5w1TDpbHNH/cPt+7tXWi5FX4AY9uJm+OW5NZTfFfPs6Ps5HIbV4Bmf
Msc/sM/8wxX97ZP68wt9WAc4f3QtnTSL3US53+TQXiema+3g58NpmjpxT5wn9Bms7fF1tRTKpmrV
+fcf698cmS194d9i+jB9n7P7r1cbxuNQuTIUe7BLaj+jTntAIEIktxzFXonxsVR+GkTENOOvgkQA
rKNau1WmA4olQpOBJjN7jRWT6qK4SqP8k1OL7MaQS5QNdovfv13x14eNKSoaOI+mBO8YNeovN4cp
Xxrmc81bi7qrYgKhY8S63GHT09eONp9H3xk3qtMRiiE1jAZEhhxCycVl9B+AYMKyikMsIAzmQJka
bpLSCHLFmabRDIADY/VdqSE66NVinRTWleH21Urm0I36CYa/0qCxqbmktlILuCH7ZkodfftQ5Wvd
6a1T0zR/ljj/3fie/3EcAoLYFrv+vyuGvzSqHl5ymf3H5eVr90uz6s8f+9GsAo9vLzMz07eXlXih
+fyYvjh/MDGELYCCCHLPL04n8QdZUIz2dOHT2qS8/He7ig6Xu/TfGSGgK4Ff8P+E21+e1f9aOJdh
paCTxh82r8Zy8+GrV1fC60h+AI0VqRsYoz3ijOpLbomIfFoC1Nr0aDXjzKOc/lPjiUnWhxdHaeOS
vG3ymUBl4EJ//SKNmqFD2ELBa2TavA9bZgPaYlypKdxXbYezYs4SeIxNH+86pUvkbYb+Vkx+tPHV
iDI7bi0M1T56mUtvMzYY59G+Kuplxm5LgPY19A9ZN/4Zt7UXdDVZSPsQhci0D3UVhJxcbilM7fSs
FokJgsoHEaOLcyOTX+jOJZbIcTCurdLAIt85zTlCz8KIhRM6CPp5C0xEtSs7a8TFtWaaCnq1QE9z
Md/WU2SCZm60BxfpIYSC0r8mzXteuUzoUOxB8ZeaNj0mkolK5YbZykhGjOKZ0+3MSbev/BQAmc0S
eJhJ5xLrsdYIUFoUJOnecisTTnHlNEGtyW44aGQjiqsK34baYZ4Ld6AHCKPSEH6sy3jyvnihhUYl
NZV5xzwPaAzeeVacVuNTa+jATX3SnFrc0/sh5bx8m4uo/5aHk/65sBowNbqtFdNanwt+FH/Q8DxE
hO7ACRzy+0I0n7pKs8HqAO/xzfbKK6wrvyjUPkpqiJ+1J3eIcr84ne7jV7FGjLFYndB2NB1TK9Cs
8gqlxNgy5BjHS4c4i5sFc7pHGLHLkEvsTFxRC5nNK08F6pBDnI35XvTx8BCJMtn55PEFsu7mbdN4
Grw+bndjpPoLMV36xikUqBjfzcddqvnXOb29kw8vdpvSfjwLLaWZ5tLvYnQC0ofAq71BVOpm6UHb
+M874zTJgQw41GEoepMhVKjyMm5/nc9b2j/oRV3EPIVm+tveMufAabvmEwgo79MyYDwryDj1SOCf
Z1RiBewP4WkkszVYJussptp/6FG0MwLr2oCqotkIHYgv/RHq7ahiD+EONg9wkzPQQ2SQ3nsREuKg
tx3bIPPAXyjGaVkZ3YrT9fAl8TphbJXjmTofsV6QXd30km+LAVx/a83ww2H0mPjJ6BzMFw+A1GuB
F/oO+xQqfReV/25aZiGDCN1vM7L2e3do/Me2bVBDTcswJVnGKrLLrQeROoiGx3KsXAQIqQ9icuzL
Ogh7Oxy2hqZhAvftJFkPusThPKYoQg9opYZXNY2yW/VAt05JbdTGF4Q8EC4gZ4DqNzx289lJXpux
zm5wgBNHGHXZQwNOao+S+dAQXrT3suH73GoKlf2I26sQ4nuEwugr5MtkP0W2PFcExh7mmvraCBUC
vqgS/YUMU/xatlR8qUejfXQG039LQhEelsTQQCPvkqDRYUC60+Q2crcqqQJpNM15NvCHoFuqP4kw
Y0zbDcZFL2f7JZz7YtsNJE+ajmFsBkYAdwW5h/dkQRkveTQ7N0Y3dzCo2bKn0WsewyQmprNv9BOI
yvw5TuzqqUyEeER9YR3ihgwppaY2DACYQDTpOgjWqmlwqqQFxngCCaVRv8HvLqKrWNRwHPIk86xH
EyYwzn5+8rmeQ4Lnp5iMN+G4ewvP1LwxaB7Pe5Qxs7VqZTJtkMltPZisOLjsOfeCpMOnuI50HHmg
MyYyvYhvxfSeAK3lSSOZtAhjQpZG15dEPkhWY3wNaJXjtAyTLYz0qQjwPuI3dCvXP7Vqyo+zmIxm
W1mEnK08zfQOYeUZX4gW9m+6eu4Ple6GnxqBczRItH7QgqSgpt+EYc/XBm1Z+BI7YERXYesPV+jN
hqcuKVr3EOIZCIOK3tKtgWoT2r2g3RNGcnwpklFdyCZtzGOce0C/tOnzhLiW5iCpo7uiz7T7gu7X
N2AS/aGhoNoMrknSlN519FEmtL9VQN5d8czDP0ebfMZYuCZH1BeQQlsmxJ1doU2rht4Z1rlbYVDt
GGHDMsXu8XlUvQh6ppHGooUjOdHpqvazVgwNmYGpsj7hidSfKxnJtV7N5pvswOsJayZKo53rLcGn
zTWJq/7XBovxRa9GP9kJfJwFqrI5nNcklSAbjyCFrPln8qpqq7lcR8oVDyG2PmyPYOCZilhttafH
zxvA6ZNiCorngcg5AzU9rruEGpMMdaVYMy3WC7LEoGtiu8DLGkZ2B4ITi/O49VL61oRElXj1zGXf
QeVQPrH1hFGAn9jt1iWRLY+pbOertE78LbcMFG7itVuLicmpUiEbHvAvf0VIXXvsy57RdRYLDeho
mRc3FT4lXB18HRQmZXgak33ThBOIEz93xXXS984F2Wa9RgJQnPKpHlhNcRzl9D13cdrhgXRJnYXc
gQ0dCoQS8Z1GzpATMPnGwGz1g7580TWKhJZcQ4S03tdkynluu0n6+GdSv/leA0+4nlEwlGu9BTNE
X5dKCBNX/JxbvRWQbNDealDGROuMNzGmqjtiQ6Mno7VBDy3uWVhOiENVTL8WfweBkni4T00cxdeN
i7uHj1OzHrGd9TD7Zcp3RtYu+sdoGjlFOPqMmFboK2HZ9dmb4xMa801W92zIXdXsLL0Ezuua8UM/
JsMFRCI/HFtVejGBzdxkMhMXazSIkRtcTd6NLSF/k9XqwNAmCDjgYXq0+mhR+xUWZ2NNTbaVelRg
MRNvmHntYHDq63SK9FU+kW5mJYrX4wedbR/m7pHcxXKHtt7EeqviLbK+Ae0lSbU35B3g53YaQ+RB
ipiIXrmjyqsy9fBN4xyCWs5DRR1EIfQ97+P5guBlzA6e1OY7x0wAFwKEQ6I89LwhJBc5Eg+T7jbn
+K7+RqPZa3eWJ9s3MO41FKC2xw3X10rt3d7UT4hne+TMXiaZyuTuZLO0Euux8o08HA6FRPq/GiKa
ksTNLJZpa6qumqmdO8B9i6faffdXq8Vq3S6m66HSsw0Yixmazbsru3UWhzYHQktuksW4PS8WbguH
yJMxU1Ku4VOli6iZPMoW7MWSqYEJHBxxg6fu3RsOU86/qRo1X1K97vf1YiJPFju5bpoJllks5uO7
23x8d56nQK3UIRzlwpckUJObt5he15GfEYxMrnf9zX93sffvjnaxmNvtP33uzWiSK/Duf9fHsj51
GlApQmPL8hQvVvn23TUfvTvouS+46XHh4qwH4cAiJhn+Naf63X1fvDvx60jDlU+cAjE8MFomAoFx
lRdBgmECD9W7oz95d/enFMT21kZqfd+/+/+70I30TdKbZn/0nYoMCZjLFB3Exh273mXqGef6SAVM
b46YVgubfJj4xFpyKkJSCI/AXcgEfKmT/mhYtbjKF3IBgaVADPqFZzCpsC+uMDLjCNMlqGSU6KAj
Ag+7IyWrwk88FxlWBEwDYxBqM/QjV6eM2gCZAadgcnLo0bQ6mCy5JyAXSOUKP2VZnzzVU9ZL9CML
nsFuOZRnJSJHMmO0b7qRhExCFpyDzq5ymMaBpbhceA9iWNAPcqFAcLfV2TJmoI3zQomwF15E2GTm
FYzTmkInbE85SEe5tt8hE1z6ZuJNdOvRscaL6m2Al24cAZdOKI/g2fuV/YABDxrXP/Q1PvSC8Bja
Js0XIF3oSr0FlffrcQwgXdtl0mo3oaFnh7KNXgl1vWcI9yz8/B4bExurS7+eIvNLk/Tz7U8n578R
IvzaVvnz5XENL8hZ3MHYh399+TRszDwdtHZTh8wTtFkVJz787B86wu8n2p9PvMtVEizHiVPndWz/
w6FzaubeHGar2/RRy5mw72CjuZrQvL0Vz8DN0l7lJqPvIv5KprO2xHBVRBIZfTY840+zDxMp0CdH
5e1disr7vHxkawdlCZ43NT2b5hIWnTpRse7YF9sbUERl+Gdz9X/7Mf+ghjUcbNsmm9FPT9ZfezLf
shdQqsXLzy2Zn37yR1vG+AP1qoPoFNYyiRhLc+JHW8b9w4QLjEoAOA3i10VY9i8Ajf8HFQMCb9uy
l26lR1/2X6JYyMwY05foLhSeuk3L9oNq6HcqIn4jT/vPj6lj28KAh+wa9O6BQX9oMsrUk41gHEMJ
0t45RiKXpjNjXmqyra/lwzdyrKG4gYre48SY1oxUGwyVjtizUwjyCHAybHqeS7xFnPtuG2dotwZx
oJD/cW6QdTpe3PeUBC9yD+xC5ZakT/trbYblFkIxqTruqNrXBk5Hw9SZuRUWeek8c+aMn1pVNOeq
rDnoEWYjyYPoMKW54+wd5DC0I04j28/2eKgwp0QD/BqCw8hMKIa3UM41S5x3RUnZPztmjpm3VJBl
+TgkOeAAiPe140GJYglIGe5Z9YFDcfKI7dJS64LU0xklxIjrFcOTVqwLP8qv09GyStKSDIUDQ/Nt
Qqk9WexGemmPRa33n304VhOhwrI9KD8JH5ggM4Q2MbeCOKuc+DJhokSYoQGSXZEqJ69bdoCnesEZ
E/Ul9SuoX6Brh+liTEa/5zg4vJXAD79oImO9arKmuWZ+p8XBUGQ97hXDfgp18rlaIbSHOHX1Z60k
x3eFKLk/ABwebnti6je1iCISjnFOriNnXN54hj005b13zMvs0kPmCivgpGeShg23uXh1OmUfmnhR
wVItmbxJz3dX2HbKXaonxrWZ4zdYp+40BWGJ8YQTl0D8Sv7IzqT+IvXdqA9WHHpB3wzH0m30jdmZ
WkKvOr7rRvKAB+zDxmokJ+WUa3YCcKWbhxfa7smRBKjhzAPVkU7geBwKnLy3NtCj3SVaACFMU5Jx
DHHUn2tn7+IuflLAdbGZaNWVoVF/ahqZVrifUHP4XrQrc9CQWjuI69hPSSrwMGk6sDevuKMkempN
tc3nVP9SzfN8jK0ovClFkZxJai6XqD73tU2LcauLsTmk0O/2eeE9wLVbDz4O8DDp4ps0HQdq3Vo9
koFCQFrnWS/SQHwj9dpaR3Cutw68IeHWzSddJ3ogRiyBTgI4YdU/NX6P9qboWkY9rm/L+3wc9vWY
3CjTWHexfXTUNnJnyo4igxI1evDBO9Xt7aIlp4TaLnVXqonkA98DvN8YN+/81HYWEcOYHDM80M8N
2KsHq01KLKcCCfmOfyQRaI0Cz5SsUSublV7tIa/YF52Pj05n24aQb3zgiz7gx1VOVNRTgYLqYsMf
3Bt1xWF5ysuQiJlBftf7TG1rfHktzYewedWznOoD0av/4MJQwD4pWSgiRwcYxXMy3cSWjG85WDgB
XnimC+bsRTdqrCJOz/Su7kbPA4c5TDRh6WD3nxUBIhcpreE4kTp+SQkpr1eD6Gd+U0aAXt8Zd75Z
uXtvroSPodvuHzx/NB+73B32CI2mVz+T+cPUmiWhcE5ivfJ8y++xgx4LL62BFqqYzPjFCDOLztno
YQ0IY9e9TlBVbyY9N+2VSHJRbVNUZjui2onkyu0w3pHcWVzHAMkf+tyMjmFtm/dp3ogTAVgQG/hQ
HPCanZED5a6MjV63kbXr9C66nofEuAW56RAEIdtTG6v8LeER5q6GwnyiU9eesrQRFEwzmSSCU7hB
D+ZSFPlMtFo9Ef5FM1a/cjAg7TmoknFJfueJaI+Uc5NtM+6pNcN40GxnaDauk2kbvr/uhcj3/Bb7
t35nmaOpVsrAUn2kGnYfoyzXCUICFvc2zItnPNcXQZRKqnVtE0XWecekmmy+88x00RCimSSUrEx3
Mh+qZpMu2m2hQx0Z/OKiJzXuO0OzyY8inXMV+62xHz0jv3USxGU2X9xNA35gV/PHyhjm4r7paRS1
DfZbQ/rXfSKjczrm3lsqfHkeIHBvDbOcab23/VXk5ObebW39NZ3JGut7G1d3ASY0zm33itM999CM
nFPoVwizuoQmgssAr5gmcB3l4qhz8/wVQnq5yQyt3hNA6XzS4mrreN0n+Fhqx1c/Phips4krMw60
JO2/WqX8ljTK3TiNNq2XxMB1X9I5z0QF68Ai7bGzibc05LWpWW5gh452ayB9R0kaFYdIC496VNuc
V51RB7mkTc+TWtqioRHVtwDIhAiiSFOb2jIxW2UPM5pciBYcbMpYPWf6RL4fFK7AqeXr0srKjhyH
gS0z0k2DAf0hHZCOjkobWv2d0VvJGZmiosGi2kttmleuZ3/pRrWne6BWSG0wa460RvIJ0IVXmicD
5KQHaR7T7cqpfZrwg19aQel2yZUpCs9bceaYYnRAIXFlsc5/dqWV7yqRHGtM8/BF7KmagjmmBA8M
r51yPCODok2fveRTlh8J5uo+C9CtINDjSZ6Tqe13RWxUkLKEVt1VSMN2czVAmK1ha6/dfuyu8jiC
8GzSTwmIBharudPENxDzvdywxcPqt5hwUsxoEQC3AcI1uI2GfQCqCvCSyWxIkGfa47wVZdNdu047
QJqKm5Uq4OO7A5uY76PhzYR5LkuIeUhZYVnaU/IgGizt69BviZ83wmF8CsP4q8/jTjySE1D2nG0C
fbdpUyUvLIjVnSQdEOeKnYv3SRMXtUCmkogsgl5Ch44qfRO52XhMRI1MU8/maq0P7UQkQY3J3Evt
18ZMwy8RL4xsCcDPko29ynONvE6h6scSSe8+gt+W0fM5OjUyO3wR0VNq52qXz4P9HU9W9jz0ltqa
LkAz1FNFLvcZA5j9UEDVWvVMJjwungBD4mKKG/YAQBtZ2l9gGwEVoCB7krObHkmhGo8V45FAVJV+
ULndsiG5Nhhb0rDQqkrvENd8VjZtxTezsvW9F0E+FvYcbpu86qMgN4jHiwmLbNPHycER0toEldmw
UpWoA7OBHKEPIT75ooJwlHebbqi/CQv0Gp1kBNFEtZkcchZ7S5C3JDNaxOPCk77VRCWOZTlYh1RN
9l7mYflis56tG4uSwm5yogXglm3hYMO6nklFTGrPuyWxwjhFIc6TnLnNuaBXiRYhxA4LnzfoQ7yt
UpiXqO+uTHP6bhBwKpkjhPpIA9Gxv3ZZswGgiFnWpNS6+GlpbYtoqAjIjeKdNnNgbwZ2Fahw/UML
regRqBLiSzlC2DPGi76Q6Fy0BAFUvIRJxghncUAanIaaQz9N+VvBUhavhRg/80P9ieH8/Fp787gJ
Ez3ZWnFUnED8iU983h5tNKcr0rVS0kWWnKIsjjDLkokUI3Z03VvVs5eHDDivYkgL1ya0HXI45/AW
pYR3yvUiPWElSHHUqtS+4RtKt5L2W33iHJLfFpFpf5t1WtMEKhXXYjSNi92ZzrGrM/ubH4f+2en8
JSoilveiBh+/2NMGoAKF/Azjoz2zbBKLSx8zgIPyFqEd3rsQLslgS7pLaxneZ8uCKF4kBexrg42e
ukgk6qymKqfyl0ICv4yaZpEWT6wemNCieSzI3ShhOteuc9Bsd7oLk4S0tRTWZCldKMGaXxzFCJJu
EE1xPebxc+m44Y0eqvTzoHtknLoIq6dU7ERNDT5FSbV1pWNsGPbQdI6N8lK7CTudCiP0H8JABczi
DEuD/C1Es590jjJ8zB6MiY4Fj/qxfI4ZG33xiyw9GhHBrHZN4rhnYLJYzVHXEX4EgvU2MhkA5Z3T
bUw1j2/hhELMkex7oWfyyhPtosZlHx9d4tlKt3p02j765EHwX5s5QDwQGZ/rOjrMUbpjzKoORp69
MBXrb9hRR7q7lLyBbndEW+haoOuTQkgXEnOqhjfM5d1D6qv8mNTET/Q0vg+IMQ28I122MZsUA1qe
hvshBkG8UI3BMyQHN/s69DoGc+zHh6TkV1HC6jSmsvpt0uLpKusdJkSWzNKtOZTaLswJBWMmXW6x
LvDxQSu91myP+Vuc1oiCi2IdO6V61XlgLl1q9ITjEHAnzQQNjtFQTlS+BkdowpMCRWyNc2G6D0PY
m3APs5fU8GcuhdF+XszxG4cx89DbtREkoWateh9kr6bNw13az3CHq0IYnwu31L4QHtttK6mrPZMn
H7Gcnyl/PY85hx4Yaje1R5ZaCJOs8YibXPe+n249BMrueoEizZzkerlWDffLdv30eULkz5M1OLuS
wQtzq45pb7wG/0bUMPwOB5IY5ALvOzDnVd/6p7Hw+f0KTlNfkLaMrpryVD+mTq1vcjf/BmN0P0T+
g0cXeu0YvQRALpigZMW0bzw32k5WXR16UbYHxvft50ov+5e5N2rMnKHzpNGbghxVhm8aNRPsgq6g
AV3b/o7bYzHp6N0z3nl1wieaf3a9sKM2Aile6pS0ndA0dkH4meglkPzs/dkeQU4ZGuOVomCJr2Tu
70wR46YcSnIjQFR527BOvDcdoTtpk409rQjec78gf3TIzda99ElRIm3gKfqXdpiz52oku3qKcfE5
phhfnCLO2TvSgulCN+EGggx/C0OoP6b2PGILbJgA2AMEdJ+OLWAO0kVnOhV3fu7XL/Co5c6pB/Ws
2N9Y4hsyYCeix510YL7Rmjqhx61yNl1LejxIzPK2tVsHy0/Zw7yeox6zp4Nnqukt0l/t0tkM3SRw
8Uym9xnZRbUDO/RdpgWeyTgOSYCdpLjxIkNfD5mQTywcmCl0sHoBsW3deXRn81iHprklXy1/7uyU
ypWAgRssVs4qbrPyEta9fYGHOcNoa+YpwHuKuciC9naTuq26priG5yGictrXiclSU7GJ3kWEsfuw
0u3soJzc26XGXN9jUALWRwmX73MMtYHPKQZ3qMGwICuaR0fHCVIK110DmY2erASZRFiHMDH9uYfi
UDjmym6G+ZhTnh0r4LzPKPP7B58q9LYzB3aTORFPuTnKo98bCUbajr0oHOaLPduKxBqFaamGOX4u
GiRksQHe1E4y+6Bj3KlWM2PHEk+OY7/0lgYU3E+F/pI7RlrRPCBb1EoRwRBC4Tc0HlrIQZvIh3Sn
zY2xESXDd9KAiFOcGGee2cfVZzi+6ql3K3szK4uDAZh1+BxmeY0rz3sEA+YeEcMy6ep6Rk2amV+Y
oFJiJW0DtNBNZP9suMR1QtyJr0NrNHd1YwBYB33nfJ4NkiztRocGorzsSkttqk5JQMlK66xq41Zh
cpM0TsSt9V4I6mYFS7TdTNNqq0+cwbkOJl5gU/uFuQduBnQVQORmXSy9B4OAkr3RIquotSx/FJle
Hcu06eCIza3zqlmcL8Y5oVzyU5B2yEQqCD7CUEiKJc1erpryVnP+k7rzWo4cObf1E0GBRMLeojyL
RVP0fYMgmyS8SXjg6c+H0pZOqzW7FftmxzkXoxjNNKdYLs361/rW+BAHSXaKTYtf1qCX0BpNGf9d
qv9f03+XB/p/DigOdY2+O+T4/95uR03Xe9vGTfheR7+pu//44f9Sd004owvvAC0WvwSJ0H+ou67+
N8P6lTLKv/kHgdT8G3Y8oWNBxfQFNpTf5R/qrgMNAZ8cw2OBTw2P1v9E3XUgJPym7i4xejKiBiIz
jAX9N7+yTolFyl/j1jHLyNjC1alXtA3wwYTLMhu+rGYMSHUqMCL0YTDRtelU3bzmKzFqfsv2gLyF
bZ6zcepDeAKq0y0oFMtxsoc0Bo9iLaCUcOTMYS/wlDp3iCjVC1KlGVNvA+6Hi+UCXIExCHvFmzIX
Q+mCZAlGO3vmLgynJaB190gww+zXEcrhSgzBdG+PJQOSen4IOzlR9brP6Gqi8azPrQ1j+JqqUK9Y
AZqEFDOV+FZW5Bqh9zjZpNHxwDjlJi6nJbiezfpDYMXZKwUG4UO5wGhs3Ug+1AVQky2smknraXwo
PesHRc2O37YdRQwGgrInUrijxuJyk5nNKiZSqoKzgK45TDK31YLJAReU+gXknFBvq43II2MVSyrq
GW9xWl5QO0BDxYd74e8UJTlGOMpxeq24W34MkIxHxOsF21Nq4ROaFKmo5ML1iS+Mn9AA94O6MWy8
BQGkLzAgqnWNK6B52qrj2rFqbaBBTGCfpwtHyGGppkilKchAoM+XnGwQryITw8GaOZFz6hYoUbzg
iTi86t6uvlCLVNE35PQXmNHs0f1QWY1GSPhCO/Iu5CO7COk+0SQ8JABR4al1ybKNXsGS3ATQe/IL
RckeY2660gGuRE0KloYLcQmcQLSXDSKiuBCZ0MEJ8uP7VgjFVo0LqAxq2jToDeSKumCdqgvhCerO
uId16e2cjoH7CiVn4sC8cKGcCyOKmEfz1C7gqDROzOtggUlFC1YqvBCm7Attqg0v5KkFQqVya3pr
vAg7tHWhVHlJXf0QCK/4MC8cK4hj9YOAJHJnmkKjc31BXiUL/CqPlCJpgUphrLwFj+XSivXcXJhZ
UI20L7roLLqoFqiW6YDXshfQljtiAMG34Q2PzYXEFbYXKteF0DVcaF39Au5q2fHtC8tLW7BeYTQM
z9AXq7PVlvOBMunle5uqvXNhgpkETbEKLKgwdaGGBboB5YIv1/KjAVwxKPYwxhaefL0xe2bLvRXb
dxk6HInBC5ssxFn0avORo8cFXBEGx4Vj5l6YZqQ4yeFIBcC7QbAVvqPccD83qCXEFL+CzJjf6Gvc
QK1ayXyQP8vew96qgxn+sJwR9Kq5INZGkL5rKpkojqEU+nEcuuo6WqBsqWUaV8WF1GYt0LbQIcBK
OLN5mZuF6RY2LUHdBfSWLMg350J/kxN5WBDrxTadgLj7oxvsIa5x0QAcVyoQcv1AMhRbTr3rFsDc
bDjBs7dA56hQdzz64z17pYmuIT56IdQNC6wuunDrzBmHOwVC8N82UMxNXEmUmH8lsHyfZieKjnoK
gnOjWkmgh616eNX4ooitMiTMvHTB5+VyIemF2kLVSy+EvTm31F01wb3cFhcGXz5X45oAd0tpkMXC
0nEDvFEXct+0QPzavGleG4xqqxjCX3ph/RUL9g9AsH1keBGJjdtxxl+KVJ701khOM5WJBSHesX8x
F5SgDKLoTfQOfMFiQQ0ydYE66F0IhNwvdEzICjBhU7jZPszbn7qKmXm5C8CQrQSWYZhk6tPUQsAh
Wt2peTm8DKcY1iYwGQtjHLZX7tnU1iw3FAoPShcVXOH+62g1QxvEsiGZz3jN12QyllkNI4CwGcEp
NPt8X19gjHZc3Oa8UphvAInE63zI0nZnNLJZ+uFaY2vGdqvv87nAqJHgkEIbzmySTmlHsJhnr5vc
0Lg6fo/D5F7pbWmA+Gwa1KN5ZHHysuKh0ADfkcPHkgEARb3FTKFMRFL0nxYo7/PklBiQbJUa13pU
Gk9e3atXKsTdKzehLdaPnBYxxq1CeVsBvwdX7DlPiqMoL3diV+RDmp5B2lSJNOd23Z8mDpaATkYz
fPZEp0OEKR3xrStduEd+w0iubcwWiCzu5L61I04vNigDy3cbWfk+MA3OrfVg2Y+sTfV1n3vJzRCU
xpb4mQNdxois1aiBxKYJI+aOmc0ZRBVVxtfJFDgveHEGPytHJpWJpxPWVhy3sYveUcHLQXUW4i5h
RVoBZVbPXainTxVznbWYurdKx9LXVr15l2aTse6YZOyVleuPXC61LyMpRyZB4ByR8Esu/3riaKso
NoPHXA+dO6eMH8tS1+4oqaAsFm/J0vWZpHdawvgqpAWzY4xTQIVmvyPNG+tFgcDPyxatJicxc0A7
LpoFd3lZvcduEWzHsgutbe+ksJpmEK4RhSyHNuTogEdi/plFIl5rs0rqVUEJ+S21Kc11XvXOhua/
+Efc1m95Fc7MN71xF8QYixw7j9+DbkLFdof07DpArXG0zyTYo4I58EDqxXUNbVMM3NynLiLgazSN
UZ8ciwFsFvVc1iDIj+5Gz1KRbZn4mocspPaAlLdrHroobh+5PyEHaXV0YsxYb9oG1SB3QlKIaZlq
K70x5c5kAVqVCNaPFlvLvall2P9wAqeBH+HH2pT60LzPIhlObiODZMOKANG8DKKbUO+NB93sKny+
WJX8NqTSVg97+0Fa0aRgFadiN+Bw3SXu6N5MM50K9BwEeuyjn2Qnm/by92rygrduStNz6wjvmyGe
dNiVOUrg4q8suRHwFwb+Sa3RRRd2RXYXjyY94JbkLfZFPgT7umljnL1mOb3QlYGJGOr4XVot3adm
46AKSEx67za5Bxtmbhg92ybery24n1K7Ga0aiHuYzKCmhyDYycjJCzAHQCYOXuA05b6dEvul1/hG
cqPvz06oFFOYXNwORmSoFeY5xMyOIr+9XTghw+GsfQuntFwCEZq3NsIuvuoYZh7tKOW7Ood5cu1M
crqubTUwFJBad88BdlC+8vroNRJtHfqAwPAU0BMjH/VkVC/SSKo7r8EBRnQFM1lnhwRXEMrhJ6ma
dxTCN365KXc+S5AN4D1Af95okH6uvKrQd/XMXGxVD622cYBa/ZxxF4q1W5vTexvhVyYdUUAqmKr+
IzGyxN16sum2A9XJ+4RB+H2ftpjtL89SgWxYVabCYdA7jzIBmDqg8L/w5ZQmikxR3ZGRWKgv+ZOV
ZucMZgVMhbC59vLI5DsbQJ9P8V7ucIsCNdGmql0XEuXaDwIbdq+o2UECAmFokKaBioIxTj4ndqCu
PVGWZ68s7XNPBPHE5SW7bsIpe6X1ykpoXWlQN4joY9nUrBpHmWPdjK4NlZ7K4vGHi0Q4XZWj7MFm
e6TarqLCEJkPyX7atzgJfwZZWO+CQmc4vnQxZj724gqpvna9GxDl816wc31porG/wjCo8VRhxMYX
PesufSo577Vv9TI2dgZM1Kcedv0WA0DyOiP+nXUvD+S2p2OMvS3qn0XqRWdnMrKbou/muzmW7Zdc
sLlTHYAa44VHq2PCeJ6iqflA2mpODhmTx3roj0KFIfpN3tvvC7R83AymC5me+l8HiJU9kTOYDXnr
ps6w1pfoih/FDMFWTWZ5HagGE4hA1yUAXHvVsGioMsc30xkWTDahRkLCbQPcP2Y8rnAI/DQ11e6H
so5PZVeX98ts9aX25uizUZa3z4pUPPdCn+bVOI3hAQNBg/mGfqIYQHUbHjSPtNAhLZS+pyx1xDGN
Pd7HNdn+iLgkQ5qmYPIatj7zotR2oWumglwrVwJkuXow9tWoq9RvcUpuhBVxDp0WO2zUFVW1lhXk
mVUSWBh8dQfJsLDL5irPF8x6jwGGorxAlHfNkrnqMjipqPldsrN0MhOuBWnGHzRhnEM+mfuB2osP
t5zzH8stu+URZE51hSm1B72ru7s8E/VLOqrpkOL85ajKhr+yJPb0SjQW/6bXOWJoRnlsULmvSy/M
MEZiVAlWZVYu87isjvY4iMJbo8QWTBioooA8hUB933n5d91KiqzGLN8NdZbcaXVMrcWUdaD9Z8s6
wrsX8A8mTX9MrMA7j0aCQdWdcb9mU2enxwQeG/SSXtIqFFuuAS3aBFkeNna1b1oGmpiEY42raZQs
m3JM2qNuG94a0L567k3H3qK0o2VHesfTB0+9iIMm8EfDwIMBaTMzCbi3ASVEVjtu56FNiGc0Nv5q
ah967myMpkfNjI6NIRO/Ru7+zF1hb2ew7e1yjMyrjdNF1HJQSRQfPDzoX2OYlif6olhJtDDw7pVw
YHxYy52idSkOSSBFF8A1RH1rdkJe53Yb7A2dkWOfOs2h6CYm5GGRj8+mASlrlyc2BaCqD360BLFg
GNszDHvPVMZBInOGLzQZkQXonYHs2kWd+V/TqX6Vqf5/KtBxPJ0VGmXpv5eydl3yXr+3v6pY//yp
v2tYDhqW86tB8Z8alu3+jfyxzsVcoJgZ0sQq+381LIcE/H+lRhf34j81LEP/m+BuTIcD7ElB9MH8
n2hYv7t1dWQwvvJcYi+Ve79TT2iu7O0mG51Na0GJ8Od5ml7QiMabX16UvzAF/ytGwDFJYbCroUjA
uDV4Xr/BVRpbtzFBFvbGRoz+0euauyUgEWJ8a9N+F3Ks3P35AcUivf1qvFweEV6E6RK+9aRYLJ6/
IiM8vGZulwb2xhGjR5IjxyyzIjKRMz9yJBNuDqsPLkn1fRu4527QPZDe/NSPYpJipxOSv2IBAEml
emNjzF1yhbY2nIiAzdeCBPh/Cs//bhRdfl/echNOgAc6xPnNNs1pP52GsXCYTpc5U8ApXdHLzP+m
hG0IUwUuwQfHZnbnlp91qc+fWNSGZ8apFVaY0vxm7pk+FTRvX4WU6Hz/+eU0/v1zwq8n8TMInDEc
Tfg8/vpyOp7Sq4Tp06YTlXmKZ5GOq5iw6tpphuhIlTH6PQ608giyftzoGij3NqSGiN/Z3Uej6bwY
E/5OeluOQlQH0F33YyiIYgQ9N1wuiH36Jk3b3cHIBKeBiPhBrzpz10lV5z8/l994dX//MLpov65B
7B4+5G+qrRvPg9520iLcnxHNsVi2h3FkJDxWuKoG2mvwq+INBgDWDJ8MrrDfZXnBHLPIlyoT29Pu
u3Fs32yzZ2ooaKHOOZm9jiIlt2qdnDo21oWDN8aB8HRbyK4/cDMFsRQmb5Wl2DoD69WzWnnTah2k
7enWneJ+X012fkjrjIRUXqhrUwu40AP9XBBusQi2FBLYfoKqvekml8KRbJCnutKjT9euSSSLTlZH
y1bzqcVAF/oRdmkEY50BSWJoXrsu5zF5/fNr+XvunE/tEjv3lqXIxd78W9agzgaiRbgjNoUljaPU
8vlzRpK7JuChn40Rt7JfEJ0sfUlt5p1XBPX6z7/AZeX47Xvu6NIyJUxeCg5+R2xUTg4etpksZDKZ
35Z6WmzLZNCvQR/vID19a8kw3hINI7OVj26U7/FTDN+2yuoPE8roSYVDj1qnDOfAyThbMxAi5VQU
dKJrgaxgB5ZEn+kcRn6u8unTIyv60NH1cvSyUXsVMg2vK3C4oL+qmJhWqI/XLgS1bdvZ+n/45LK0
/9uixtKw7EkACCy+i//6LaxcJn7O8i1kztbfhLnRBct7ax4q9pU7EJBQ0oSAdUZNyX2NnHiUFcK2
j9m92ouZ4Z3F7PirHkL955/fh79Y4N1llQeZYFNcsuAWfl0fsnDKYaoM1obiI2uFFfc76qeDiZN6
jQH36s8P9hcvA/ESg5gL1W+CPeVfH4xRiw2jvrU2eDicV51J/LKMJLd/fpS/WJH/5VF+WyYwMMd2
I+kPT2Ucf+nArq4Z9JNSNlvgz39+rL94RpSfmIC4WP+p5P39GWmDVanIsjZZ63CFGpTpj8Hs/Idd
2Fj+M79+WcgDcXCgrYklHFKqs8yzfsFFGSy5i0Xd3mDiOFeNEa5yfdoxrwWv+Mjd7hYo8kqOw+dy
/gcbpd3OIuOcPJfkieUwrb2ua2hbMst7u6mGncNAiHDxuTEqZs0TbbFVjMVPJ6xdMeOafIl7HN1R
fSXkY//8kv3+9jATRAlgr2SUtwQ/foMzzUxbVGfXzkax7azocXd9G4j0erZLbf3nh/q3lw0RZdn4
CHLYnrDc3z7c0RwY9IRqjNsyG+fxlGp71HKMsTVlgrIJuj0vtfcfHpSj4O9fKgC0fN05LrGwOZbx
+9s1GK1l5AzrUKYH9Mq03MjQrRkijMOr5G5LLdbYnIHvHepweHOogtg6w2S8M7wSfqtHR84+/uSA
j5SBfddUBOVZW+gCq6tdtoxjmiB+C4zmrewFBWFMAoBVA5LImaCpjFJZZxgP5NZNv0bWvVtGJatl
mofNJqLig3y9H+uTvq1hgVLwB/aaFt/rytCyLYhcGBIBOV3usfedijwfpQHDhX5G3F2x5h5S031Y
jAi3s/1uVvNnoc/NbYGcvy4sK3xtSq271VRibAEahutgTi5dfLlfUyG3y2K7IN2Kaeptwme4Hjua
TlDgm/7TyLx6Z0YkDf28lebbGBsoP3r+WFU9zqMd8X44kaEgwmLVGyvIgYtoIVdjyyK40mZWvbVU
SrUypZD7MbOYUkx1fmOSTr8Tox1QEpmodiMSkz237oyvRqYuKFYHAKoIYf3SBwumgmqmzTzYTr4O
2CR+pPQrb2JGhvSmTKsqsx8ASZbrVi3ZgIJcDclChcOrlpF5H0Q9ync8bUapbzzmc7hX5p2RSbAn
j12fYgky1+1keN/TIK9TrGaq774STpfP8dLIJuci33hu/8I87arJx2YL160/BYYSzypJJMpXbZGN
r0pcQVOmEbCdPd+T6j735ueRZMWJSyjQr4pC2agLUR9Sl2uz0Nr+th7nEdhmZt21vZt/4m1ubrva
RfYPovDbxX+1I5jf7HVKNO6bzBWvBXhM2oMkFYdt2W7jZHTvyjKviGBnXe2PlGJZq9zA3EcecXrK
wrm9l8HUPVWYPVZKq6dHLQqqHXSo9EarFFOysdbOKQetmy5RjHN1Q18LlTs8sl3dBLPWbdIB43dn
uuJdC8jJgEewboy6YhbFu7enz7m9j7rso+6d6SNZnuGgW9quDvo7neDAXD5i2xQUgU+3gAVOAWmN
HaL8cChFWv4MAhE9YucSvqLrhQO4i+6oUnGlOdm8bsEHwDxGzS4JUN07aohuUsZ/a72axKqc6uLb
1Ztxq0Hcv4KdnN8WlvsVKesNZis1oI0oKxyZRjy+oGuWezMcNCxR5OEjOZKwbqL54AJw9Ls6fKmr
5qXyhi7B7yvqj6wU7XPopuArPZXvPDmVG0L7xoqbT3PNYMha1x6JHmay2bbW3HBjIVqtoHEX4PAL
7RTzW61pTeUPp8WZFZYqoFwNB4GGs+FPhTvDGa6Dpv+SVnhkFgJZIvHswse2SS4gjvgDcE0f+tFz
Nz2m+G1KmcJt0FTpRpSa+yC76aNxrfKc1QPwuo5Vge8gpggZ94cst+7mSpf3XZTznhgdZgIgGt2V
SVCLLxXm88gb4Gh4kCuMsrp2kkVukgvcbIoS4rdz9NSiTPHPqvmo64onWKpmNVmsjoAJcMzbKoc7
HCXvDb69a8gUw008B9m9NZXDCahevgEi3a6jDDXNjN/g6DTbECbBmjmCYl0F19p7/XrU8uSmhFaC
u2E0fhLc7kC8qWStvEhfx2mo7gwt90I/4Gpnb2VuPstAYQqX4HQ2UVSs6a24RWLvzlhDjoIEXSeb
A46HxwBNnWdcpfcgZAQiWGx86hT8LLRrTvouwddd0hhgrFGVAf/W9m1Ntfq6qKJ5r0b5IAJM1IVp
MPxE1XKcblfMVbfxauOj6NUxEtaaSQbBYNOmIqo3d0Nl49LS9IcSuBl0kP5UWH1wPXSkcHwLg+pr
O+diXamhwDHP9az3oyB3thOpAm7Xc31sBfhbOtlB/KbhTTeTxm+NQayiQc7GyilHMEOq7lZd7BUa
hrjC3NqeGa9oWr3i2AEJmyj4sZRaf6eJWAE0KOiWKMvqyrKb8mza6h4Ix0RBqqe9x2Zdvs+1nu5E
4MTPQQFzuh3NGNtcLV/5rQm8dKmFBA0GAyMBLFq7it49oSVXysWu6NjsnLXBRCfKK2/fM3pdVfgF
rqeM7osmLPNDJS1S5ZMFd6dO9VM2VN22pViRz3h9X4vvNEJH8G1tah7dlulBI6Lqzhiy6WyHqXus
8PofndlJjrrJ+N+kFO2lmL3pFfv/Al/KxHlcpi6FZbIXRkayM+s2/uFCSmYQQVquV67zWoW6fogj
ryTFELLdRtOdTkR+PaYyvEPZgUvOs70eGBkf276xrgPZWZso6PVHQ4/ie9KG8lA3g3tteiFMFC8J
T33u8nfk4W6Uk3xWuUoemY3if6NJfc9HdKO65sOlM3lbZJwXgbEvq4sXRdhwyMTgCnTs6cCcbQOs
96rqbi09ZoRmF7dDFuONqEa3XYnKDjZa5+KEZSB6BtpsfdJtmb86RmGtNM18ngI60coI+0OhSKZY
Q4/1sp3bZKebAL80086v2lTZrGFmvTUJd69Jt5GS0mr1oFk9UIkRlBI1s5UVHQBoVxgETdPPhII4
b+Z88IOWCRtcbNs8kIScD4Wrv7hm69y5/DwZP027L7wkO82x+rQbg9QYEj4n4Kxmsl13N1oj905j
fhdufRWmc3hn4W5Yj1MPxnCIEhzCvM74KqyVktPgI0edmrAikh6sOKgF2xp/doVAMFFeAsXkdhBe
d9u2TfjEDc8WfpHFYusRh8KY2fT1jSm94NmpHXHO81Y/GS2GUXKl42kEnvvZWLEOPUJF0eNQ8Mto
uml9yVH3frpxVFyldH5sjIifEzQhrmu7qAXz3krfMkWSvc+6ML0bXuNc530z0dUuS2KrnlOcq8Ip
DoRC+68MBk3nJ1KrEOXdfteUlax8R8TiSQs4kyQRXc7r0mK/7pF/Sj+H97ADlGOyVXYqeDQrjD4r
kQFyb4Y83E1KYu1vAmXjD4+IB8eQtp+XzsnX2pkzuNjMsCD24/qFoNjJyPZVmXg3aZT2WyPVhrXk
MgQ6K9Cst1CxBTlVkL3ZRufsPEujrz7FHOEPQ+7REKwqfnndxpLgYand9JWmGj8jgXw7MvblyFQ3
1W01RSSh++QMjOPDdJIX+FfAIKIJS3EYhAyQ5tduNvhCz7laTRjp9x24hyX/RMJn2W4obnE43daz
WiSicV1AGF9TOtBdY1QR2yjooq0j4UoQJcJ3VefBeIBxtg1yuU7yzNuyu+K1kBBz/AYU91Eb4+q5
GOdjF3zOpnN2B+Oxdvt3oaIDJrofVtq8RoYJsTTU8nvVw05u9MJZmXruQFdw03adgaxelzoORHwg
s3eT61VN+seb93mmdQIpyuCcxGDo5Fl1+6A1KSyt0pWkCSqju0mLODR9ukyt93EosBnxK3TQfKzw
PvPGh2DM5b40i+JtpJqbGupBl3ukpeGLwE77QHhO7bCpM9qvKofp/BQChmfb+ySb2iO+isAP6fb1
g0JWO77JLiPmurx3w2TY93QdvhVlC3hcUJdklyG+utC7kkVa3dspeocvvFgRco6rA3y34VmvYzYd
1+1xYsWhVVHfOHNn1eN2wj9px9/8zMLbwQm0VpNG0ynHmMhczXOjXaWgyGkDBsvkULQXYdya0k1t
ePl1b0aa5cd26WyzJHJ2ODyIVcZmKQlJGtq2aDz3QRsZpfsOouETkKXyjQu7fkQhKHc1JlG+3J0H
Dl2jvTKAZZUMhBtwGeFHnLejbPV3vsMG6DEm/Gnnzndar3cbEFwZx2BGkAeSf9pJjzAl+PpYp6eM
LNFtzeFjY0VpsYJgWO6WTPw6lqY45qH7lPX6lZE35cfchbQPRCp6YAxdPsyWxL1YtRNjTZZTQIH2
PUQN/Qfmdu/cpYZxMhw98PlPhj+XpfBHHpbRA9XIiiYOkYpjneCBqhLNe3Lmtn10UuZa666Nf7Kw
ZDcRRrCnQZ/ihJZEmoiEaoofSzclzyFK9xHQnWsyROGNmENF/Jae7TIh1gJttb2JRY5nXjPCl7jq
YNMbwItwphjHAWTAMefA9pJ7sZwBEnjZjjMPZCuFu33j5qO3V73Tt4vKEN8izPXPOMmmz1GDT1Z6
feP5djk093oTOcgpcz3tC85rRwJN9tcgFOy7OSnie8lH9V65CWX2vjYYxsFyuB9HGbfJPe0iuGeK
eMi2KnGLPdmB5KUh6PamEqCyG6kzOPBLNVPpwOE8eeqEhSmC+pWNmWt14zt4aWn5DHMdF2of3Wi2
XjDiLYlnEkzwNQznXAOj+o5tMiFtOGckS3MFfG1yp2cNhvoT9qNs5WautVbVHHA5LNqb1BnvncB1
+PD3abeveArUC7hV8c3/pQJ2MDOOlunEoNP3cLYP3K1c60yxO0nAGkgc9TWpuVJe2DyJVqBX6kRS
qHiM1c+sCsZNP/fGreiJf/oaBx5SFFr/bkVB8lZYWkEEWVhtTzWvOcRnGUVQwymYhR43T506ljjR
fOqazzxRJPSqxuM86LncsalPuxF70D6Vmk7UIQia754uLa7WCHfFlWHmtgmAHiDc0ZtiAhNzIJxp
nU24WNecpDXtFlZH6x7FZGfDZrSs1y4f8301u/KczdLbx1qsJj/vS6bsnPATTLmEJ9wN98zhtlWD
YimY526kcTr2om1eUHrclsQpYNW71WZq6sm4RqUmB2DHFoMqtwT/T3pSO4xQOU+p9JqnuMePMWi6
7UM65p6mueP3XHl4VLh7D1ezVuYflqjIlVUZWyQRF5Z/faB4FVfg/GIA4fyO0IFOFJ9rnzx19dYF
Q4MNlLDSFVshywDvDbCwqcvd+sZyw+mmKeEz4Bmds21v9fo1aljIet7j7Fz3MovXKiir2xgn0E2p
W8kPrpZcFx08Vh9JUqeI2yzcLxTheenGlcMxaSOX/l1gR7AZB7t6a5RXrrPKDF4ZKfG96jM66+24
fCj6wL0maB+mW82VHzD0N5DC8CO2JsMT9Mwd+KCrFAAILzYSmF/MWniOJyd7HBlGb6VehccqcsVt
aqXaUhjb1Y7f9UWznYhjgE1WxgYOct1ucngBLzKx+33C9vUcpuESpHMJbvJMRHNVz0n6XnJc2gxD
2dIcoIdHyinEXdUkGgbCdGmVHg26UFbtSIByNY5TAHzTidglx57CDSG4GHAb/jAs5R5QV8Oj0Y9f
jei/6kZ70rkC+FkSi4MUzrh2sf1szYEltLSK7rmuwvDK9SpsymYYf/WU4NJ0VMbTDcoWO0POwXoB
IjoEoUyBDFqTrJ/HSvtqPDijPrO178awhubn8hAFUdKhxecQmZG1sY1eT/25h5INiYMYIRb0CQ+l
6OXKXKKqOP64gs/PVl33zAPn4SPWKpKoYFXb2zFw7mj4tk7t0gbH0wrWcYt3fkkBdce+VfOhHsyW
SN30Bop6tmnwscw1F5N0Z7cT8BSWiHFdT/MPt0OHC3debr45tTvcQviTrw1P/cplG/bRF9sDM65y
g7okn9mdVsSN1OwnwWTdaAI4B2cZbCdZ6q6VmE9RkVMUYdc9qHpVfU7ZiNyWd6QWK+662ghOVaqh
hWRf4OFb6m15CQVIFI60IR5Szxj8dmRLblNjJH82a7tSb7J1Dgwcj3RnVDeNoRVbACrOoXSMUPdZ
6cRD5db2T6SMxFtDLgSCSQ/9YRbNOQ/q6E4Y6IKwVjPugJ08BUFHuw2fQ2oDyxB/IoEw3nGwCdhP
GLq6xNa6CN98770OmnSeo9m2r9KprlapOwuk2Ry3GnvvVQf97uRSDr6G56Fee2EnR1Cz+YrDQUWD
TT+AZFPkqz1vOI2DS9ag1bWJ1EHEtI42qejembgVgzjsjzVUzp9hTYakykhKS4spFqjb4imnCPqR
Ws0Z/kroPDOvL7kS0QMBqLBTcuOG5BEyO8EebBat++zSeI4GmxkP7VRgoppiIuDmEmad6RCspHQx
0NUJXqm0L1ZmwUfFM8c83g2cJQGYlAmmUUcfVgS16IGhUSnkuDX1P1hGAVPYYGU8MEUDR/tghsrD
FNqdScKpKt82sdOdWwHPP+N4X7KaumDdutHA/eNZg3YfZ1Nyo8oyuHKJYe2iss7WA+bca9yQCoSx
KLaumpO11TfcgZrMXuMhqzBL4nvKpXzCt+YXtfEjLm06kj2LJDvhCHBKvdrYEVWLa9p7Vu2EL5NS
iz2GMf1clbRbEFV1r/JpIOHVpI9FRH2zyProWwlDPDi1aT5i1gwg18t5g+fmISC6xiJtD+eBxC1+
KyulAR44X5cXmyZMujMJuvABZhPBnLa2tzRfliTzInkaCrPbWXbVbrvm0m/Mmu/W1KiEmbYbg/zQ
Z7Wz60w+RknUftNgNn9iK12BgxlX3QTNbrTIzgGXwPBe5QdaYrDx10W6c6IGbShw2pJPuAw3s5yj
x7brtjPjUKkK3mNGtht9an6aTT4fw2HAO9e1/4e7M+uNG0vT9F8p9HXT4HpIAj1zEWQEIxQhKbSm
rBtCtmTycOfhzl8/Tzidk+kqZE0l0AN0N1AowClrcYhxzre87/MqBwmTjQlU4yStmD9FdqwPuxoX
M8mKveltCWlrUZtj6swbBJYOqslscUl36VktN+jDiqOnUIs02tYnjAewK8p8H8u+pyUR7CXjAHiU
v+0V4m7QVVB34mSu/V5r6O8g0tlH1aa3zH5B/xhlVKfZXa3BF0lho3A00Q6bUzkzzh+XIwOwp9y3
GSvobsDiITAlTJ1kHBp0T/KYXDKGejUX71YfyyC31Ou6JifDoKvYJLKuk41hJuWG3b7JdaA5u8ah
BVodeXDNpWs2JC5B6OgrNlmUHu7R0WYitlYaZFEsiOotp9qCUskYUtJOOIY/v8JpEsdyzO3QqgVN
+yXZljM31N0kH8NCOl9AodoPok2qYZukJo4FxHNiZy9Zvy+WpSF8HMPYlaOhRosswA2f1WhoyVvM
f+DtqRpB3+sbj5btIoKdsJxjlR23Oe/bJqCX3q5we4Cz+g2jDCWXO+zY8UPbWMNGDn6NlQejtg88
MfFa86p1TMkefpymZY8TFI02vIKAzpdHSpEFnT1qcs1YOQLd9d8SGXMQGw6BZHoL1egoJP1JkOTC
mD77fpbf+YnrWODMUfAHy8B+hP1odiqccQ3WfJ6DCb/GZiGOcDMk3IcCHO3lPAUbSWyfvM+mMX8Y
UDZfiKxIxAlAZ6aJ0dNBByKF+xlWyPC21KbznsPdBk7iDyV0FOrmjr4uwK9U7NYVzK7XLka/RzII
1FLnV00zONItxg3qEk9TLwyK1TbDZsYKs3evXOEww9fcDRwEh9OquCFUHD1y0xLCbh66snlLddC0
7LluHe73pIbDoCXHLuu1B9uYcO7YSZXcORQk1zxx6ecYojQdcUuISKKjfzbescUOYbKYzb4Yifhz
4qUF6IwxvPRfx2S8d9r5xY67ud/wxuUdv1rtYYZFn0DziOxK1Tc+XMdAKB50XLELuC/zIrIxhnvu
bjISvZwpWVY05ZY2gE611+wZZfU6lh8rxodA2VaHaz49VGAPccDE9Ez2CPIFHUscNH43Pfh11T8l
A0jYWVoMqQunvcnQDyC6vybJJ94as2uEhpcypOjqOH6hXyj1Laq0NnRza0Upb/Wv0siQ2CqxzMe1
7/QEDWaeUfhK1sJtz6VbDglHXhp4zAuWLPH3i24MoU6rg+0wL4EhF5Xz0ALWptBifip1jeWIk33u
Es2IlpETl9nqfC1rB3xJPK8vi0vXRux8PzLZEDwst0KVL9NkWHcJtmIge721vJIwgAqY6vja9nvx
srQr4tKWtR4lEeHGdbb4+vVcaFBfAD8Ai6hcLYvKLolvLUZDX+lN6ULWLL6RY0Iqbs/rxyuppa6x
jR2jeKKFk2GnVIR9PZhKA8SZr7Ev6Mb8qQTTrIZmIut+eu4Bs/AKJk8skKOGoNN9wS5pO6yqC/Rl
UWnoKIcZd6aBjWWlyLkin/qahBDba+hMRh60TSF09a1a5U3TujCp5RK5pgqrCZoS9nuubAb5wepJ
JvBps01Naww7hC7DxjabZOcvJQjjGjGKCG1HfjERQzeIGptpT9afetErn9mqsNuLC7N9B2yno4My
eUAmqWK5KZHvPxSkiM1Ba/T5Po9xeOMwcU9u6pVP5iw6jGAM6/xAt5OVn+tiTKlEcpeCM+5dOEXd
2MgrNiesHMyy2M/KL8pQ6QMeRruc1vt1lkDUXGPqQhPZ9N4juhe1M+4UqpUse4E1Ib9CbDeCCm3L
g4ATy5x4buTRWW2OMMcdzz2RyRjCYxq52tSO4NQbWqa2tg/KHHHmCNgGNxN1zNW4xHgsh65Bnp2m
89IRTlHzZofFaodTz0seaObwnHegvzxv9bZSjCoiuiejrDMPwgXZsplSJ3KwtMNMEL15TQdXb1LF
VnEMMX7dVc17l0nto4YjGCh30E75peKdVlPeo9erbyyk5EFdIoXOiAcCQphZZ59x0LOdmi4YIgjO
3rhW9HsYesAtmIGT13OAnJpzqzLzEzIjm7JspHYGsHPkxJ0DCGvebuCUjoSVs/ev1WUz1saEDjFu
uAJRg7cIcX5YSUvcDyugr9yona/Yftx4w1SPyyPPSLQZML2DntCyS5rhFDJDskI9xSnRgMJ9UdAR
Hgyez7u0MXiUEpiEk73W9w5KqU3NHgoHm9WFGYcsA6rRJgFHh85Y5YsMgS6VD7Js8mjoRP9LG3PW
1brFQn+qULZtFj3jX1xqQzoGRWWwWUrcHqRanX610dF+hs8lb6FMtSHrRC0wESpuoO07gef6YwB/
W/BKFRAkK2s5pprHlZPUI78dQBremzZpnwlE+EhG17p2fOvMA8W0nmlSgL8lO6dwdIZwyACfh5Od
lvONv7K6jhq63iEivYjTLFXduOexbikfLUamU+mBLoOf9uS2egfZSpejHtZ+ASVb45VFMrD6p2o0
4r3jluqrmZAYysw9dq3+ttXK5VDpM/nwuTaqoAfYyGMJifMuYVj0wNMlf8mrxniZTKsIhdsl20Rz
CKkkpPWWKEsQeu5AfwmDjbVzYegvqC77p3w1GUx5JaCnbDUu5Cg8Pai2kg8/Wb0Q2EG+9cW6PLR+
25wq9Os7botiK1zVXVUzzKPNihGK9YvxvUsGY2xV7VHL6L7MpCiuHHIiD1rvA4bgDrFAfnlkaNrj
esOgpT9An9HecrwczxbGrSsY/eW+01LA+sJNo1lmxH32YluY8/Cu+SjY5YSZAUvMJIoA39kpXqf5
zBNZUFLb6nMtxuyr5RfM0tNkfXDh+08QnAaGOgvrYxQMIVPjDfpG/j9nSvK4ILkfoE9X3hzoY989
GHPZ3djEa4BexIh5ReI4FEVHm4YtjBm5b2XKBh1A5XmxgLLRQ5Sw/oy02DaiR6NiwOhx/cx9jEeg
VWlTU4gAubhShTnxfuat1yQdS0xvLZ5SVSIhAVvHFrS+1mrtya00TDCqeCwbyGv1YMc4aGZ5qWrr
MbClfNY1Nd4uQ4L5aM7He42MmzDL7iZGrTsTgtNLXovu7BjW/KLFab/FOTQcrVp6weDGwwvHyovI
C+t60S71wVTmN5jZzWNVdHpUJGl5Tno49bEz5u/jGJPhMJl6oMpR0qronA4IrPb0hhKoSWP2KeQQ
2zkUbtdGI0Ssz2XSKvyECwkHJd4u9hYNTrWCOvmYSScJK1swlwV2R8Stu5JfMJhBizc/opf2OJqS
5lA2grmP6CNlucMVZI8aNpFhvECYrTlr+akgbsrSuGPYKo/j2ls7ZrYZXxUyX93o+YHkEOvcuPAP
Sx/CB5Zu7ziAbd9k1beJeY2YuTOKeJgjymjAsotltxsCOvQg7rJq3wqmxsJLPntp+o5K6cNj2hok
bLFlbOxmF4la24ksatr6Ixd5vQGvE1VwOzclEDIMeLhEyvFEePFpcuvneeDYmVdcowWLITK/dPbG
6Za3bDAYdjhK1zgUY/OwkCmKYgi645gS4VAVgTOR6OCwFeo308wiyxsY95SdvklMbb9CLCksez9k
y8lumX4voIzvGXXZoIlmqGR9gh65WSXNJF6nVxeG5E7DAHntkaD2AFJOPDoVHWO9SkbhZW1E/77W
IIIUq3siK/rkTUtT+5oWWN+BA80j6Ond03fF3H+2YyT6qG/eyo/uPy5f+P+STP73z38EuPzj+14Y
0T/9Yfs9pv5u+FDL/Uc3FP1vrObL3/xXP/i3j38l7J5+ETeQhTTwz80g128V6wr1RzPI75/2qxvE
tyGQMEbGruqYoFIuno9fedW++cnHjMH01wETLQi5/90N4nwSCB0BWdsGTGvLQX3/g2hiWvCq0Qny
FS1H0Bv8JV41ZNmfFaKeLmBXGWgO4VHpSB0vQtU/KEQdljiNpucYJJUs9yg68apLqEw9LMiGuyXB
rzo/5oRFRDaC3yBJ1/mp7GiQQHH+Qg53e6213oqipZyPnOfjPcynO4NJ4CZfjXRjTLYkCrbWKZC7
hNWDivE3eSXjS+3QqdgH6OENR3Cs9xr2O+TNc/qFTSKjeDgHgTkW58zLoGOSjJ5nLCwX/LDtYPMO
kP4aNo4YH32yXYM5xsC6TktzrTJ7ptKGxBCU6Em42eIsksQ+7DXsU87e71hwFgPgOpblH/mqVW6Y
9FbL4EVmr6DSvkyszfbStm8yPHibHOj2cYJgFhI9zYTJXr7pGgefPVQtzlvU4x0ZsPfc5C0WZWe/
sMKiTDCYKkjIqauixKQ3JGc7lS8EgHB89U0L8KDq+Qd1E90k7bVuqOwZTAk1EAzbnUIIiiHExIQw
9WVzr0/Z++R0NunfcRxY6XLJzNGnLvA6/bXksuNLxdUYLeZlqOnbyQPruqC3Ju1hHNzibiw424qJ
1jlk8K/T07oXwiGqBnSIlUHDaKjL1zQnPVa07TkYKqAh1V72bBRj8DVoYWzQSU6lxnDQCmHuiyZN
tAPEreJIJkif7eLVzCXj9y6Pj/RT/bhLPc0/jnU3/NKTEaQOXSu6NGLuMl61vdNi26fiEuHoLFRu
iGMpcIHAFjadgq1/Fa01E4E+Q/zz0DFYG9ttcX+OiCX87aIt/rlnYADCs72EMlDXIvKYptWHuEGF
9tJ3Ql2zybSByMDTlkFixPYtkEeETf0EUEL1ZFFKtF+XWfd4i+mgM+6WvGdd4mcdCwzddgsXUyry
qgt2cpruM+XG6d5d5qG94gnDZl54CX0QFm2SBLSp+lY3sjy6akiSbb+AA41GwS3D9k8SxIKO399M
hnKmQEz+XTcmB9ofZvTYtsGi5tte78tw9CxogzSrW9u6QWj5ApD0PGeE2RVsk4NOqn3a2+nGUciU
mhXSi1Xfo035Ejf2w4DrajHs5Ub61t4p8+tyGtpTlsShldcHkV4D/r70wERzYue/rOX5lZmTE/bl
Uh5AGFhnuVjaB48zvn6wDKN+xumphdXs3aGva3b1NG9KjqidX5oNe8bhm7XekewC3Y/PocR+KTUz
u+tQMjUileGkVE6V69q4/zMR4tp/vxANH/xGg0WudWdPoARF208mExxaIgGTfeGgpkQe8liSFhfl
OetXyHDJvmXkthGiJPVqwfLKvBqp37rq25zw3jcb0e6mJeS+IhVqteppMzZuskcGVCEzYa5iZy2i
Ft+qEelW9bUuM/HqL8mDWWDvlp45RFNcNLxlsl1uQ7A1LLeHtx27X9GfE2dtLFvDm7sTyS8zImsq
7aqIwcC4Dxx910nmJBurRVgCr3nXA1ZasqJgDGiKqEWkXDYes1ehvxcuVMdZ0JnkDCGg/pHdbjMv
7LxHDezgx9R7+ZdhTf5fri7xs0sOWpsvDFsIA/08MnD373PAqwZ95igNf68xXsV4nZk09zReYTI3
zm1aC94l2jo4zRZJdHfNuExSatYx0iuSnEbkP1PKOdkL3nXkY/jnDHKQv03mnMyWTkrPQtSRM76U
I4TQWlXGVxpw3s+GmhhHERrJuKAghVWECxZskzGtgklopEMapYnQ1EEZDodF1cTHcQGiyYrrcppo
30+W9vsp010OnLmcU+0w9Itr7nlfArpSivp+0G1t50ENv+8zjWluQUDZQbUsddGeJl8ZGGCD75Md
c+nhVFAWT1hCdwM4Eyjk40m30wnOanU0szw9IsrIGCcymM5N2uiyTNinVD527MG6Rx0J95bj7CSq
2Ila4q1CoE4OKBBJ0PgMhKGqzCtrcPsPA3j/kxqTesv2vOBZ7dqyirrcoHLNxprGRazMeTq0rDIU
0L15urHw1AHqqix/kFSU03FpwWIU2QQl0pnNLWm1ioGtVoa+n1TPaeuvZxELND16CahLZUdaNvs8
AH6c2WQk1WcOhS4oWnfdOeRBQdJcFfMeVue3YzN470nvDFtZZXcKN96V0GVFj1UCIdRtI79BneES
sKB6nSlBX67yVOINOqaz5t5WXqlF7pjaX70YIIKhFf051i5jKDdJvsbU+CQ4yHZ4XWCLscVEchA7
g36HFbUIa8P4YhcxyfRzV2672mmTjVmqcwHKfiMdMyrIGYiM1rjitoPvO2jj0UvgiYhZtdsphcDW
EZKtDI/txXJCrvhCyzhveeV+KUhOAj9B0lyd+MtWA1ewMRvjEbhrHeTDvFc2cXA5QHJ/tt4T3Zh2
otW+gtxGI1LZRtSk/RXDijA1mHebxhGnxC9xQkYROq16ZC9rCOYN/o0+jhcq6ODs5nV4L7G3o/+2
Pmo78a/zoYHX7epq582k1SDXfiO5qLtiTT4GHdrOd/KlpitwUt1dSRbZAUshO9YGf0tZ5hgkx+4r
xaITYLl7H23UZBoL0aDNEw8EtJRHO9M+rynaO1BTBnwH/zqjTQusfDC3FdKsECtdvbNIHQ4QepKF
4ag1EM0whPTpjOQ5rQAObXsPSHMh6Ly6/nqFXxEuLBsjwjsuTjrzAa3cfF0YhjyYJVFu9D/QXTpD
3CRMj+9yUrvOTpUQKzBKJgVeESS4LgvGV668IkqS3S4+Efuji4txaw5G8y0fEY1xfdc7G0ZEWHao
j6zS5KOXBjOz8iyC25pxww7m8nlm7NdtxLyQLLUMF+O7KvUX6cj+uYVxiRtVZtk3AKgmWXlxgvYN
thLcTEyJTQRzKU22sD7LY3y5o9Xlts6/X9zN90ucqTYXuuUWidx73y/68fuljziPAqBJYoqB+Xth
YH8vEsSlXkgvlcP/lz7qf1xi84+2ie7kn3RbH0n6VrwtPwcE/dqm8Yk/+i3zk8spYgmH2bClM4X4
rd/y/E8exnouPx8P8K8f+c19Lz5h+ALo6JM1aLk8jb/3W84nvCRs+Uz6NBol3/0r7nvz0j/+0ZFH
v6XbBA5hw/dsvpj9dybDgVGORxyt2GPKsJO9SVQHx7OFv+Uiekzf55xpWy9mIuQcSwysoRYsGwKW
+rpL/Nh6ws5THqpeCMo3kY9UYlLjZnUmCHdRqaXW06VSvo6nSQcGpjn9mYWmsAIXewY7AtvO/H0H
ij+P9MVjGAjMdj4sgHMCTFi8Sby4Tx47x+XKHznIKX4M7RHyVnv0Bnd4webHrD4jl9NgfcRe3bvX
uUcQJuk3SBNGdi4NAMIcdfPXFn3uFGQWWxHWVElyQs3t9+z3jPXkpJT5l6Er8elD4UX2ysjQHbDG
tKY097GDRiVx1suMaqGBZDAScJRBSy+LRdxNqeU/gsH2osnIp2u4sn5AKOSI/xADlaVKotsHaJZm
KmghWYw8jyCqWNrXM8jwFnuB4WsNNvBGLuW2hsyjU9IxDLsiAXa8gz4i2MRVnN+nVvbZFMWMq6zN
PBVUn37VAjLv6AmaEHbjJXO0zuh1EmOBxFGMvmbcregDl1uVgDO8M2zSE+hC21jt80xT8SFtyMA8
DDqYyat4nHwrrLPYGLfDIJwVSH1avIygxpw7r1Rg2wy2vzTACILzgH0Os3Vr7cZhF4tujFx8f+96
zdw8KJvSj5CxG89k+BL9muhJgjm6++b783HQJlZ/lWeearUw77Vg2WvEsby4OH42qR6foRFQ1CHQ
4Z6fkVdbSPGw48s7Q+b6TpA9gxcjpu4ljGCKEK117xbk6z0LmFRGclylgSpZxz4hGu/RIYAGE5Nb
U9uXsvceiAJZThMxUjSI0gll1xcPfb604cCgd8OOkjIfifqV7tJbax3xtLr0oOEvtHqrsT7GFdp5
9DQE98BX3FwgwbIy9NuEgGlQkt3DYmeSYbLobjUavd1EwCfoFYtZG/mjDPTqOkVI2RJWR3iRNhVQ
V03KCNIiwgWkJsmJFDrEedvykad1OLKnMLIA+QVK/8WX2WFJctT9dTyE5cDFX6BsPSSsLW996p7P
Pb9berg6NroAEsIC8AbKgL5ZtWkKlSIUCsvg8ywlgu6FwfGUIevw9fW5JL7i3TG1aas8t3lgjdoh
9RgyXvdsiUSWtFg9e8BoFObX6Hs/gLPCxmoWk50wY499rmXZDmeslr802iQepnph+GCQXfVKErHR
bXXUloepwJqFr2AIWZZZW8HWa+uM7bDTW9VGq+9OgZpZKJe4F3cEiemBrZJij/vmSi979iwoNK6F
ow8vJItN5GEnxTnxSWfpmqyiF07928Rq4zd7GuP+V+/vf/Z48X/otWhj2/7zazF8K9+qv71V738L
5fCPo8jLJ/8A0zBwRM6kG0zymSD+4Wp09U9ciWgNDQMRpyDY9fdRpP6Jj/BGEMIDW+NdkMi/jSL1
T1CcuDUd3REGsoS/BKbxmWn+8Wa0L8xnyEYG/7MNKMN8oz9OIhtinSa7MmyMtvLb4IobVzlRI/zH
jGSJDdbLLfKcmUspfpRkvjSr+Owq1Ef+azoNxQY5zTFO1+d8EFEjnR0R5tvstGbqqp9APLrFNonH
63TSn1GrREzFobA7Ubaqvd5A6YsxbDVHQwVi8HZi4nNbciwztbfb4pAL604o58YRVoQ75c6OjRub
RlIkX+YkBVbpb5l8PHha87DO8TbmurVTOoySIPf+y1o8LEm7zco1cmaxc23CaBrvMCTlCbbKTWXP
z41l40arzry9tg1Fd1EyMMKSuJjx4wriOfRi+xFG+l5N2W0Z2xgSUiA3naP2a0ygC7PHO4i8ewt1
LJiWEWSU/6h76iVjl7JhdxxhCD+0GoJg6KQa+13keiebE+gPT975V7LA39C4nWtZ9d3/+jfj8kv6
GTjALxEPO/svnjOoFT//EsHyml2qa/a2aNsQ/s8GHfQpmdpbZ1luXYXxOE0vklYXqxiWIn4z//wH
+A5O+OkHwLqvu+CFHOHaOiPyn38A4i0oC0yJFY31INEtJ29Qu1kH3jsuDmiH1Ly1Y0RYQ7yes3Z9
HlmOnxzD0Q6lgPfubj4Wq1e7VdBijdg8dq4Rl9u4Xk9zgS8In3jARkk76OSFl2vHIemgboiqafGZ
miLf8KZiO1mokubiEp6MCjH2rWM7K2K6KKq2Q2d+XeBxswla0crJaO0kXirT+MVqzSMaoWsvG45V
i5G7bpFTf399/tJB+q+dkn/6t35a3fxX2tXYECH+/JgMUo5I+Q8E+u/tw+Uzf5yR4hP5oIQ6EBbK
YFV41Oe/rmtc8ck1PFPXxSUv1PrDtsbiiCRy9JIu6nEcfl/x/Dgi+RCLHRoOYXFyCt34S9uaf2Rc
YfC8tPo+P4Vu298zcv+wrBlS6AJ6eSkKJtU+lW3tvrSukVx7Jm3FJvPV/Bn675c4N9SHpyzsOQMK
BTGm6bC1u6neumOttq6j+S9kKNVXI0BXdF+yeHeKZPjlrz9qjzUYkfLn9d73ld3vu78/fc5+2hD+
d1occn8Be7xkA/z50/jU92Dk8ssz+dOV/fvn/vo8esYnnXUYg9sLaIcFHefZj+fR/eS4FoNcZHgo
yX5fHlrGJ5sL2+RBhCPii0uL+duN7X3iA5740QBfPuu3BeqPw/2fhd0K9+9Pe8Oy+PasZThr2Snp
/BB/vLJJp28UXaoZMfguiwhaykSyoUNOEdBZ560j/OuONXm9aZtcR1G6YvRDGiSgL9uQNScHsIDf
Wah4R6BFZH7izm6ehrViMoW41HVzJ0xBNx0IcBm/pHLoD3qGmIkFWqLJwF8r6Iyj56wHvGBejihI
6veA2q1dhQ/i1uQ6ZAJsIxmtBn4KrvZ0k4kBXlk+sQxs1EcCqT9giQRXyS+lHxa+4d0AC5OnhCN5
u5gZTGR3IMqUfJ6t3Zdy2/WZd8wsww/8dFWo5GhE0szy3zMiWFjzsxXaGV1sR/Uy6A/Ib+Vt3ogW
FZ/phiViD/SoRPZcYXo3Q91HlG8SbW5iQk5quUlN9QZCgx+U7DxUih5LN8TPSz4FqT2iWgc9cTcV
WRKKtqnPo2c3X/SyaJG66Cd7Fa+9r19jVGGsaRd7aocTcqfj6ix3qYY2z7GHs1vl1+BqVQilDc+O
4goSiTpgk8TCU2uiYHSnleSEefOEyhGm3mNP7MZM9zfGYDdseWfW2VHlM0l3XmmHKHl7IP4YOkCW
LdQlva/0EciJWb8BBl6uF6XiVz+bnUOG9+pMDg0k0NXUxGPBQuYKo1q3n4WGSjNNC4RLvUVcl9fn
+obddX4Q5ezux44UUk6p8Wnk1jcQijlYneaVoaBF7pzuetqhNpnedujCSXFwTPpyYXabAYniLxP7
yiNJ6dOmTFLkS4JXZBvbpXyXnKVbnady76c1EfN4natIxwT0OjqmuHVrtEHorLIvqqk/997ioole
3QhTaH5fAgA+w6MWzzXWwU0jU/1UydY9ZcWQYIkRKXbn+cTUITmNOtFqqrW0va9PeRQntnnnaqjH
GI2XNavYnCca32+5MeLhhkQEvKCzzbi2wAwTGG5pnJZV1Qski8x97l2TVAy8RsyhWyK8ZpnMB4Af
xtk0ioFcX6cZ3yzHm64oduyAeUEWjfnav05lDMwDAPzeB7P22OmehhZnqieUz5l6LeATqyDP1q4N
Rqw47Y2v5wUmugmbY2gb4FPZuGogsrB2bOPJa/YazC9oExrfpiIP9TyynXu2aw3mbqfxq2jz2U3x
TJiujSbdqo+wo9vA6sbyys1MCjWpQwtxHQN+rDTlTZZCv/ZWuzhP+AhPI0qJ82zgfdqYrrM8+Gtt
XNl53110AEb9VffN5FbvlxR4iAE8aFTIhVCw64qUH1c7lghYQaUbU23wTavs1lyt6joe1/zcwTnY
9vFckRdqFFyE9rx3XQStUa9NzZ2HZOnWY/59StH8BWPT4z7pXM/aeQ72QdRChTyZGQGHbr2Ik5F2
81FXfRoBGe1P5CpN1ylzhVenAa8O9BecLQLXpya2a5+MVit+NFRpfjHMtY7iiQEXwxD14LCjC6VN
RIkkAzVypcF7a7nou+KkmO7QBc13VLITbrla9Qi8CXDmSN2iTdtrra72bj2mJ7w7BI3lDro3AHdn
Q/jlWTqu89xqYnrWoeR/TBbrXyR0NdO21dMemKqb2GtN59mIW409VjNlRwSK3Ub2bsZWzOeRrizr
W5XHIAGMqXl28J+HWjOrZ5kOkociH9C5Q8TZWmwHdpntG9Flk7bDm4sxek06NGIqww8LiuzBdksY
h6mH59rypuVwQaucklKu0YLpKYJ14dELqjVMjMw44CX0X8DAu7u2M4d71qnxmT/Gh6af3Bc5YSsh
Gznd9SaqDFN0ww3bpeoL8QHjDpVN+WoCInn1vbI8D4KsNBQNAL1X0mfyTOBHHJXFPkNzzQO433YL
XKi0A6fIU7xfBfK10W7DCSPPwV6N8ty0M6LTXH411ewFouquCHbkjOdWIy3ztbHWdsYr4d4nLbKD
cl4OXuomj21WjB9Vp0+hUNYc9Ui0sKUNJvnFYsFUT2hpitxY2dO00xZLJKznrebUuFofrJdMeDUg
7yg8JnaEk1R7J7tsiaSzsa0Xtagrh1yXa6Me4QawuXcJ+SXbQO05qrfGwoi3zMp2T0ghGH1Fr2uQ
Sk4iLhgSLPe6YxVXudUjS+N3QtR8NlQeE1TMLnmfFQcmUpd/C/mLWzXjNGbh+kpRzMk81G4LP8Ca
yXvRnelBXfLXBttct2Y7ObvKL8d7yCFOuR1Ylu1no1m2pYc6FawVaojs3l2h3Bfl0J2h+TdfmsHK
6ZrM5guJQuXV3PDyVDzzJCOUJNTOAEmZHltskGOiFroKls5kRr21rnsxzivNmFm8YBV7v8zWizJ+
S2e3208lIwCvIv0Q2XKPqw2Xb3xAglUHs61Z952TQx3Kav3BXsYO0g4uwtvUrRAcmZ4zWBsnJXiX
eBpjVw7SxLKka9/mWIkrkpPVM++P9oSmZthbBLJyzQz1e9mX494zG4QfJFK+qdRhkJFW50uBvikK
ElaSsYwf+AWUvKaoojZtrrw3z1x66vU2vTGSOQv5ixh7upl1JKLtc2FV+olVO0aIUR+3Y8omP9C1
cWx2k5l1e1P0TB19pjzfSg2pbqxpPsPQ3G43ylLgfxJvkqgYgKREgoTkQ2VX2j2yikRuAbeO+4oZ
IXaOrhJFRNhnfU99IavrgvjANNTKgpE9x0CQHnQU8V5otm023frzrK4YOhd3cW/Jj5ITZ9mk2F6D
YiYDvAPY9GQBM99mlLuBlxvGY+eOxQ7rwdrzZxe8RJzKHcYcF5+aZIrvX2JVPFPuCbE2t4M7Nffd
NN3iud5UpOTxDbuDquc6HGYIaZ4OcKintLg4G5NAddP8Psl5/jY15nsnHfXqFuObaC7eW8dO6ltf
S8R+WAdU/K6UQVVb08m1EH+2jT4eVxvTRR3jU3W7tCSVkOup0wfrymq9R3OdymOHRZBFpuaFsao6
3CD4oQlfTkKncKpd2g3ySPIqXnTy76K4RohF3kIfTY4h0NtUguiIJX4nD8ja8R5NSGpeLX4NQ/kI
aEVcS4vkdp1VctStY7/TMvRgIgUjl7gJgTQVV2eQmRevpN0XYGNHP7laNPcScQqpXs1u+8XIRjKO
tSY+lxLIP7w/F3cCF2fdZc7NUKMP1orY2mK3h7dXADYLJq/yYezLGegPydtbYIBajQNvcmEM6eku
+z/UnVdv5Fh3Rf/KwA9+MhvMAYYNuHKVUqmU9UKUEnPO/PVet1qakbp7wjdqGON+mg7Doljk5T3n
7L02BiOP3VVHv4T4alKvy3aulD2kkt5ULtzagXqby8ZJw/x/ZQx6hGmmU65Jg8gmuVppq8hsu3UQ
u9nWAp2kTBpzJM3dk6Xg1sAYviq6CLWbptW4UsDL60FqTWxr1K950YFtN0ub6gBiwFzHUbsJlMRe
WW7dsLRARbBTyHxmZeDZidIEv3Mqz1GAqKsxQt3sFIO+YCwhr9M2V2Y6mmFeNQPpuOwGBGwo7Y8r
uT435AqhbC4fk6YY0tkrbyQ3m9Gd9E/bAUdBC+qQIEnjSkvp8Zh2Wc6CjKIlR68/zVW53+QGiu3S
TUmpAlLV0fQhssdsEoIjuTGIZUjquNvJEbE0MpHHiNprl5+ATJ8STv2f0FPV75pi39Zp3zTFJHwt
IHIDf9WLTqmkGdFMah2LpDEbObgRojxPO+mqcNT+0lYU53aw2/xM9bHM24Na3LkB+gCdEVoDBFL1
ln4z5Jc9rM+FbEjMe6yIsKHSkbZpW0KdKexAxbnENyBPHZ2thOSqwS39aEliU5NiD1frdJm3lj4n
BOXItgPp0QMDM9OkPjuTwrhaoXC4bopKeA5yY+4WjnKrNo11VCtGPQ0Fv8AS2VhpZBinehwxsDAg
t84SpKjr0rese3bq3tJQWyRiYbfHErJtaqap7FAmQ5RGiGbUARu3P5zDozgG4TgeI1my2IHbYNER
Y5LpEdE4MRmFlIS5i3D5J7UucDJLOubP6ZCwKRSUp+xmxOakzhBsYJUqfbM9xnozwFdit0uejGqe
Z1nVnlXxGDKAYTk4gTGkPqOACZ5yFwtRrkuIDMk62WVjRB8Rkz08DJNJJr5r80ivG2llkFwOLXHM
iqlqN8GI70nun9uqvwUOWCzSxggWepnE6KUKuBEetZNJ8sxEK8eAYbBh41RimIi33SDriJxWsraV
MTgbo5Q3NAEiG5f6dRvIJVJHjTDZHQ+6s+6dvlvDk2jXI2k3pEgP1QuiGLaCSdf1l37SkZfZsF/o
MGemjTW1FSk7JhUeUdFhyx0ftt84JyS0QmJTjhOtmnMh1QUoEqzqcuf7Z5rYyWuHTT3uQWWjHHb6
ckhidiP2/51k18eOqAkIPHcm2L0AQcatCqjUk+yzKuyURZ451WUiCozyUGuY7MxYjEQJoh2qkUYU
JgQydNvkUK24onDpSp+XtdlhLvUHp5hrTSFh4RWEzEPJYx/KH8Uq03xVF1aPWddUNn1pMJXUc1gq
ZcSNy9A7xLmpWHtiapDUIZeeqGlbb3X6vksQL+QA2qLeIrv1Ii91cxZL+U7C2bzKJS4Y/K1sx1BR
n2YBO2Vhg5QmGVth4qPx4RAj7k/00kXP0oRNPvVttmFkRdfO1Ee1dMOo2Jg2NCe3DviC64LvAKiE
KBkjUTxGhzqSGLnoxI9qOgUUmTrkhim2BCpP81CFOqIgzZn9LQtRpDaiXGXKyQCcCjYXpWwgitpE
lLecpCh0KXlLUfzGogwmrjLa2aI0NiTPvkt1jLIk/TyYooBuRCk9iqIa02+6tA+V9iiKbl+U344o
xIdDTY51RQMNSqHODF49qkXx3osyvj5U9KUo7lNR5o+i4A9ZpBMXU1LdFoynm0NnIBJNgka0CwzR
OFAhNM3e9ep+MObQv51VKbrKkEwxyeEQcsqDqv5dI7YCkU6RUEjLAbPoJiUCpFZde24MMIMBMYf0
LTRjK+sitQ5ZB3a+oDGWrWopdxVmlHRaIo17Gtqm2ySxPhxJtoIKlm7eLRuD7Fqz82P4ttW8kZ0R
aq/W7cqkhleSSHnEdyroboM1RCu5puiEeheSZWZ6krWpbFQL6I45K81RW3ZW7pjuy7EBZMkQF4rv
KBay6LCmhYf1Dacla51+WPd8sQQ6YjH84wum0FD/MBf6+gZiM62KNpdlfDMXckryjfR+sJeETF6M
t9ptsZdui113Wp3jOU7PpPhP0NffQf/5RAVuoKXAjGaptL75xI4GCwkrgbtEWOdCSa0CEqX1cDiN
+gA+JTvp/KgcCgbbihf5D4ox1nOU8dEL0o0eOzveqEUadkS4qhY76vnokg6OFz235OVouNJNVefm
Jf4OXnUY89D4R7plI+AGFbLqi6w41pIy2pjIL9fsZFifBNnEtOxd04+o+th+0mxIwkWsK8ViwAZw
JFCQ92YXuusKFfK6LQx7CctCukqCrjxu6jQ6x4+EQS/GBHXUsiG+8HH1MXEPwog4vr6bhX1QXuue
JtavRI3/j1v6/8DRETRxTVYphpCM8R8kRPyh4+d4/0TX/n3L/ocHeG3eMyCn266ZFDs6dh0xVn9t
3qtfDG5PsXLo/IeIUXiVomnWFxlZNikxNNNeXUFvwyT1C2dngxNiykSMF9u8f6F7bxvMAd49kxJu
JEuMag+7xXeLlw7om9jN2l/FnZWINR5FM29lxM02SDKhoUrHI0tKIWdr2ENlmr8bJFI4zFuzJj0x
F9U6tlojmVkMRa8NiYYlqLzhOg8Thy4gaYP5Asc/ov+AvtYuycPq3IpkvZ9aYcLrQLPoUIMe8Typ
nOZYZeeVJsOLqeDyeA8IhKUc5kAGXFM1tA15tN2+dYf0IfeJfpjzFOdLgBtlMoHqwdoVt5Upr7rB
NO/R+VBoaJnTD8tBrgkdV2PADOsqE6QoRCp6iL9Zoekc2mZwjhrM8KaIAIpLw2qSi8aG0WBGDTaU
fijNO3WIkm3fK4M07Vs1Ao0SIj5fgJGFa6LREIAPN2CVcWhvMI+IamvXp0EL+YYl+jE0pH7jhIm+
UXCD7AwJsojYG1+w5W5u8NkYWwR7yc5KGEhLte6s0CCMS9EpnsOBstzjFsUBbQ6DfYln9jMVYYK9
aFHJNVgHG//R6Xq+RymufAdzrdnyhoi68SiXTO2lc9v+Ahzy+Bx0CdI418uLO2T0+pnTDKgp/CoE
NJTooXdl6TFCwqZJ6q2fgxXDhd8DlOtRSID0GNplFNNfRmXQdleWYkrXBVJFAuc6Eq5oSPrI1c0C
qiIEOxkzh68+hEQaENcH9lFR68ib9LJXbYkzoQAi9Dqx5knuOkxRovoYrXVJaqBWpiuLDlO11mEQ
YEHCrnuf0BUvqXCb6tnDPnlptFlHW1mvMQ/TN7SnWGHtkywvTTRXWUqcR010yTIqwso5IyIuLngX
hkydDAfYI9xmqJkn3WjBDELZlunzsCXQdJHoo/WchiSnwQMsDLAZYZqPc7NQY+gATgJwtDbINGYD
6t/KKh4CwoT69CwxehxHPDVYV8gZTjpIUhY4VC5s30wDdjVcv5YWwRRzQUpbl6i4HSTqAhw0ao7b
hDDKlyDMrUHYit1nRi31yg6LRnnMwTzSg2Oz2QKMcUFq8Fl1trBKWNdb1IHKceP4KYTNOMaF0kEa
a0y/n0tl3qQzOUj4faVW0rEiBVk0bxt0MjqktXBb+y3IV713mcZ0Q3JVgOd5GsiLvSPBDABWyewu
p8Qmb1hhDrIIZQnwka6k3Tr3LUDbfmha2KYkE8AqzdbYnspZVONxAzi8gLUx5BNImfaz05amOosq
h3hdKzaY1AFlOZcbt1pjJakIgEua/kICHfvggBy6CTHunur9iD+hqWoE4X5vMmEqnfYcfHB105UG
ICOjY4Iw8spsY+aS894Oc3parduClHNA0BCQTcoxSBmuRSJAD2PY5jcDqTFHqRIZ+HVDs9JgmOkZ
MlqPbGOCZHAbcleS9EqPhDw+ozUmbWgBBayy9hGDDOHRSthAxcEQXZ/EBLruTGID7UUGis+dx8bQ
LwuM+kslj+W1lcPpmKh8jXclCJKnWqo8k5pHHk5Q0kknjeV7Jw79RnqImW7tuiQPLtpWuKzj1lTW
cmeOK71yy11gdxSOlJD0ILtUmnlZk94KHSPgxs5fVHgBL+uGJWdKqsC4CCNaKhPDyYO5wIyn9Izt
8J6NenYWxgSbVIWHV5xW3bpxSwKl4BXaAG9J7l5GUUZ0pdkOfPdNlPt47Tovv8uzPLpDYqB2G0K3
tGxq9FY5YQ2vr/h2+nYi4zI505g8Tdu4LoaNZPRdNemIWXWWmU1nwYUVFU1l9rBQC+Iwe6BSZ6Co
N9yEhdwA4kIeFN4rmZ7fGkXXOZOiKEUeegNPAlLJSEMhi0IyR2uLWnap5nJ+XYX4YnaqTaoxX4nG
ooPGqaB/QPV15IcDDXaUjco4t4Ja6qmEh7ZfqeQnwQcBj6Wd5UVenngj/vdJlzpDNLM81TktCyt+
6H3Pf/GlMpvllRxceiqYxokTIyqeWJDulmGBw3zKsNaau4MCn8nD4bDSU1ybMykr+o3eFj0NImxP
m6ZrCS82wCHgvMlqEDih2lYzxaNN2Npuv+3yQhtn0iBFEIN8ea3UqEtbq4n1aQ8mql8UmhYeAxmm
i6JmtYZYTfOXbX9Wsosk8omQGphOVTseDyHI1CZJQAbJhY6NtzCT8MEqopRwXe2o64MOOESMqWxC
OV+c55lV3WgxE0KKFFmbegOJcJMqkmmZZDSLsMRa2UaELWU3CZOpkKl1tbJMtqR0MszJoMR3DCKc
o9oUYjV8jfrET51442sdxSmDmyJC5OsasuATp6xDBmkLyk6z+3NVyRjxyaQqxrwNeFEH9WWcxvaR
N0I9GRLXBkxX1bvUbdoXnZfPUvNqWq+OuYdNbs5GHLarscMOqNZVdaX1hgZFBgjSxI9BydS2oj8X
geNCLkWOvW1AQS6iuGsw49Kh3ygu/XZzCBqGDAowJy0IaOGxie6PwTMxuvMyGS+XywTWYCGfh11a
QPXuvWyYki8hNZPaVNxo6tP9WVbghcIJQPFoPQYIy9VQjzc9t9qxbdfhEdQV/ajxGxtycd5Utw73
2awyUvvRRB0BTp5C+UxPYntHt8xahXWdKti+XLKhe0l9crhhZm6lpOdFiBW4iMdAnyeRp69ko86v
5BQBWdfw9UM1828TP0Lh3KnRyNDOBI+oWKF1msIwf1SCGm1hSXb11CzrXAgEjelYF+Qrq1X1SFBQ
vjXxHZykTOMRxkehd1oZlTXXMggenUHoPYTYXKvZc6nWfTJqsKrgdfRXph7o5cToEu/Z9aG8Ja6k
HdOlsHCrJTyFky6vFV6gqJbvWn2wECEV9oWka63MAuB6d5Yc0fDygra/l0xfuodsizEtrEN0kU5o
Ln07t86Q/WkbmlHRC+dbbvFPDg/O2ATYu/OhYnsGtkF4guwaO3iH+zysOiOckXEOMcZEfQh7urQX
1mB01yMl/cIq0mTvqCZbjbxCEj6pK5ehqlvWaTlVCw0uJqveseJ5NasDMQPnARPCgu2LiQ+9HmNW
KshkNbyQxi8DZtlSA6q5RuqwxhcEVcl2ejNexIqvnBLFo9+oVtfibatoeyyCNmmVSV/aRKIH5PIe
BZ41JtMM73Q9wxFQCoyWPGpTZoOmM3WHrrzr6qAMZ+B4AD4GY+ye0AXHyGpQ1q+5Q5yRBOyg3nu+
xUuNjp+yi1qL61+Bm+gmWPkajPhJfK3rfrHDgF6BWqMe2oWD7sxapSXEWJWto6Ay7DOFEdBzoBQ2
LHeiG9Q5792UBVBt4o5omNK4YCgKTBs+H09dV1Z+OveCMQ9mikQJs8Xj0iLBbw19BYg8y2bMn3I8
DG1qY3bgVdGeqEFF6AnfAlFqvZNZS1Op7V0cq0S2jE5nj5D6Yv0lTCSHhCBMFVfw3weizCX5ybbj
plll3cibPGJ81rBZZdgyKZqizzFJhvk8roCa+Hrsvajoanb1SIducHIlWLDHBOCr2wG5Bll53thM
b0oafMdKWtnmYmDXFs70XlHnjo/vgvSIiKgps3L3TleoOzllizFn1+vAegKCGM/73GT2xHheegEr
MLJHa8o1nTBS6UcMCwvJTft5aZFqMNF5LxPf3TfKvAjlbK/B41G3YevFc7dlWsnv+m0mx2RZpzmQ
zQlUdxewYlmqUzcp/K1Ls21N/pB3FskJ44XBZO5EBaTCZS0RZZBByCG9qzDQOSeF6fF1jtW/mhWO
G78A1FV3pQZmma1ORBfSLZqZFErjjDBZvuSyZzyqgec1icLzpq7MDpCIu1JGy1vXgMxk7sU8iABv
yh70vFgqj6J+xHLXK0xfpZr080G33GHpSonVnyDlli5xHHMU6HLG2qNDQklGzSnmtY27ybinH4fY
YdM86oq3482dY6FWA+fIdrOU4b4c5Yz6Mm0pS1UDR8Ei84p3yNwrVZifqg/5CpLUuNZDeD6SbBF6
kklkPQxVc8JJ6xtdU+Vb9gHFHJx5uoiUQJN4aGKRdgU9F397EU9DYDCzPoyaXaY3NE8SjY7RxMXB
NCHtOTgn/iueK7lDA82wHeNITlS2U0bkzlXTfWCf6ixlnsl51kCv0h3Hu1fLpH4YZKbqE4kwR8EI
jO4hBlkCXUfTjuog3HSZFC9HCWYsE6D+su/dLWHSyh3eKv+ccRjPpdojSnJNoweZ2nYrPY+9I9PM
I667GWxsP3Z81O2BsQTnqd4U5YjBOgsyIIyBlGgLX5YZWVi6jmOk9kJ2s1EgPxgsMRC0oUtFPDjV
CTKEhptIozgu24S9qxSE9cwDU77O4LIFE0aw2WVGRASk/MzcmmavX8AA09aWWUnbrCLjvgPSO0y8
ECBHIeVQr1h54ad5tj23+ta/5NFz73xTHVna3CZnefRo/1dN6wSTOMW0nA65v9Fc39zi2DLLSQHz
kth7U45ODElrVj7B2qeBOiI7c+len5Vx4THDkRNp5suNtXYTb6hmbhPWF4MaB1dN3LRb2mzGI8+u
slX80nkuKr9alE4IeshUB1+CBK/TPyelCmtrFK6BoIYnliwTWy+39DKSmvWKrBgVa7mdhOs4bfxZ
k0J9dSHYTiJH6tdqbuaMT/X+SIr5YSNLkFQxjGKDA91jzg0mqzclrzrBnWc4I8uwegO8sVBmY/uy
9huJUK6G6SixGJ25KCJAyb6m9idZJhFJJXYuxlS3/PRSSRScPnobbjNdfbEoBnkrY9SvyEOT6mNa
rBYGCL2ct1FkpzsEZN21yUuZ73IsMnvRtFn9FNGInf4HxTkE+FSLV9pgsKOJy76fyWYIFW4cfOOM
SXraoIcM5eqrRv9f0qD/BWHw/yPJL4Ya9h82wCBd+GAMXDbv+uOCTfTKHBLwo//6t9n+qdwfHDun
ewTpv6z2BK0Ev/yPsPD8npnnhx/xtc1oaV/oqauIqQgTRueoMK14bTMKX4+CPQeOkXC8CjX7m+UV
0Tr6YNXhLzhtGqC/qYRlNMcgIDEL6YdD2v9Kn1HRhAr4gyXjYOzhplZMXYWtJvqQ7/qNlEtQ7sxR
Ry541QzZiXOpLLwFYx52eQJOLRwrC7naaVcplJVmOoZXVREsguQGYNYsoG9ntzq64eSeHf0s8ld+
gqpTWqA9WLZsKtwqWfv2g4jI83MvnDTBTdPdsxWaS/TwAB1eaKQmdOoAaaNcaNImt1/KfhqLbL1W
PfWeYHhMUuN4QLaTdicZmVWu+UKzahqVAGpIBFFMaJlIohz89SyPs6GTQCUOy0RsBYGQISAKF5Q3
PD7lIhS5WOyMT3v/nk0ZO/zuQXbSq6qWz5NiZI7GW3BiaEM+J9iQQuexjs9MYvRoFUU1hROCVlZP
gkCYrk06S90qYXjhxeNa00oSj9SVpCcboDHx1EyOtR6PItvLs6opqQ+8ctZgfDJDeYukEboGfHZJ
yxg2A8VMC/1ORq3M1zRvM/zwjkcfpAM7Ei0GfZiWNYBas5wBYzrRgnpbm9opzZHHyDK3fca5dsNg
wKlXcTEOV5k0gpKD/YGleBLStp4IewItBI7q+cHWSwjnKdA3i63WaUGaW9j/WYj2d3Ml8dzJrMcW
KnhS1w+8k3f3Frrxqg8ypm79mFyVNVoVXa+2fWusWEnnhoobNbZMuIbpMs7PmAcuDUU/qgnEmuH7
h2dSgXJzXWdtBjE+SnkRNN2iDCOXXBltq7UZjknjQtOByYYhmygtOCrSI7nRl2WeHikDNjMbbVqO
9nc8N2KfYFBsnIpzWvMV5kPwopfGzojuJC4zmOVpACnQCyO8wv6UfSuiEuH9rY5tx5pBySJPUyLj
Qt6WhFK2mr4dZOfY1JHxDWKLi8TRry9DQA7cklg2N7pyb9KBDMdmU5jjqQxemQYYmC3LogXhcFdG
Q7rIW2xQ6YlVoOcC7mQk9kNSD6s4lldeV3k8S/iYomY8Hvt6btvufsiNRZbSTOaAIFVE6acMyNyo
YVQPKNalWpYnpauv4JJcpv39GBr9Ua4OgsOpWHdQPhGKYGKGUj73cwUPK7dIZ+oLxQQaqJVPcs85
tkQtegPKe3Z6xsxhP3hUdEwFzPH+3er6g3GtKmZ9H1YgUR3iSZNtYeDB3PNxBfqNhmdm0bMnNTcu
l88tlfuCOmtsS/QG5a5wo9Oxac+8qqQx2p8G0BoVSC1wryz0tE44g0wF7co581U4yEG9q2yHsMI6
2oZ++5KTtPTHp82I6JvzxqVJDxOSksELRkGV+/G8K4o0piOhOy/ICJuEqoaamxM2UCySDjIpY+iw
sU9HhnUxR80mITicFEqzV61FT2Ol8GkHWhJd/LLAmZFbFvesp2J4DwTSVMXBGJ/C4rpgYV1qcb8N
wuYip9IaEeBj5XvyjP4i0dkIazZx4hBvJyhl+GCzzui82iyNrfpCLg/jiLqWmHhSQYdjjpgz73Z+
22472G4Ew3m0I9ITv3XZvZjOPQwaZcIE/dJU4rM2Jle1MfIXAhx8winzy66WXhzwpFM7MF9QJ1wA
abwFObMs2wqBi/KS0xHyYQGIYMHAK8i70yejTXfWN64Bry2REzuk2D10IIIGFLJEwswrBZFZBxvU
n1K/3KQ5NTKKKJ0QnMSoT9CfbSs2yJNcVmfgDVZk8kRwzJubsKyvCkQddGpux6i48gLyxVEtzlpR
tEj1SoP1WJCkZxTpheF3KxlZNWi3R1fOL2IAMg1AbwoVZkcGbnN766XyOsu7bacjnozti0RRqVcS
c8a0f+7gKyHiakFywYKv/lhWsBMCPzX74IY2NDx3JOtWPjXoJWfHtTvOq8FY1E48jS0ixqrbcLwQ
/lMAVDO/OXLyaB2m7k0pOJeDIF4CGlhQdC/taJz7oqZHUkG0IUVEbW7BJ82KMrwjNwQ6vmBoqmos
T0fB1aTrX9+EiXWeeVrJrrMga4FhjJO3KMtDYA86um71JbCTtSs5NzpdU1fKnjBLLnIsPcILeZwC
paTgyrZ1Ea3UkeEC0NukM3eRFx7p6tDN0D1NCswZKBMV/v96RmDwAn3PzPWqlDfTbah2K63vVwkh
HRNSzBLkD8mV5qe3HmmIfaldx/Db4DTfGmNx2SdNTfhXsy5c62VUtSOi2sw5dF/s+6Buh95EEVUP
wwxUQzw39PEY9ciEAMMzpGTl0irlvQ5vag5TfpcRpxcV+PhRud/SUwVuiFhjGjjDttTrq3a0N63I
TNBIR5SidYSSHktVOq2VHhl1eKlU5m2jNgQc9A8JkGAAgJgOyPiVun7Wy/I2Mb0Zwv3rpO4mNmkr
gPB3ZiOdeNEduqEJ8rup4/qnVRucawkKMO52RqEvY6BOBq5Y3zsX/aChBgqWWY0OTilIqXhoI/vF
GeX7ngmep/YLpXEeEeHOggQMsmcYO9d5Js4NBN5cl05L+zRXTg3tLG12cAm2JYCpRkMkpO3aQZ3g
fboiXngasevIEO5CFpm0GBbU8DkKBpTX1D/VreVcdjSTg16faPELs8KZot413oXlocm0ycnSz2EY
TbyqA42rcrtIJ6G8QyUhJkfHsosmfiAshXdUALgAyb+hJ/MoAL0BPDE3z5Tu0SEFLrG027oRMeA8
15F6azvbhFAaKz6XvSYg+MkHOK1G0wbchBc8dFitkualJyqKCNCHXtPiBfFhD1IOkbv0VlGgPLVd
CPLE8SntMmc2oCRmnNLNGPhiasrsNXmIyJNbp5rZXnIdDJI379VBf5JKErhttMBMUexFl41HRple
+l5hzcixvnQi6S4bhpssGi+BFm9Ht7YwlDAz1lJmErQY4zn973RumRRdbZc+Zs24tEdrxexIDBtB
fSEtZ1/FwEyHkFXK+byTdaIGun1tsh0m8RjevzJFJUIclvWQtO0Gd9CzPTSXDrFhU4K1V2E4eLOs
YmviuEk0dy2hVJLcWdjSf2cIliv0xUf9mBDIF6Ds01BZerW50fVspmTlCfQLVl/E9zCVh6Feol1W
Z7qrQavUBwRqnSHNmPcHM4al0rSCxj+PI2mY/Mdvgeq54WwjkLWMkJpL0i1vy9EDjJEhwvMqd6f5
yoZrE8xdZxCoLmzSmQWBzyIweyLD75og6rk4vGZ/Qjn6CbnK66f/EEv7q8dS/O3BSX+Zfceu/Uv/
6E3+8eMDfeDccsOktaDmEoGSvtevMPt4ty359UgHxu4fHSHe10HdPFHOquhScNOZyNO+/qLAiwk6
e/1ryzlgImxZYHDFr68Cm3dX6PeuwR//eN8DgL8/zocfYP+UwKyDK1MGj/WHS2CiP/1rF+GbY/x2
ERQ4v+jNVB1l4OEXHYD3F8H8oqAFI0Xl9SJ9vej/pIvw1QnPFvODa/lwTb+/GX73Oqj2F5ONLBtu
84fXwfqCYRghnKF8vVeQovN5/6DroNH54Ab+3EUwv6Anw4WqfL0G8sebwZa/GKYpnpl/6s0g2kl/
cVn4/TvB/AJOmh8Uj/rhF22p908EIGsa4bLJjvbwi7bRP+tO0ME9fL09QRF4z9kfrI2/exEU54tO
l0EgI374OLAsyLaj0bz7h14EBqDyZ+8EKBi2DjrIEjrq97eA8YV+qQ547/U5+Prc/aXF4C/8o19f
oVMfgsXhDRs8V+/g8X/6D95eQN8f4PXFsn4SDBzt1/7o4R9eDvnz10M//wqa/+8Pd8hhvXv3l2/r
3/v//fUH/P6jf3hSb3+4Cp7LffnoD4cfd3g9za9tZ/rLPn3nbbl/eq78Dy9ASPJvvxdn/1//9uF0
362Gf3j8qtonb4cRV0YoTN9+//cPS8b9vnw7jDgswnXuo98u398729W+HPbp/u1Ah29SM2we+E8f
OUj2j5Aqf3ilYRLxiv3sR2z25An/8u/7JP/PX472GBCDD1eIbYbDQ/vZTznalylb1OjjRfq6Wfr0
sblP428OrAuB9GcPfLyPKn//1D0/528HO3y3Qkz99gd//2Y82T/5w4+fISHW/vwHnD0FnP7bcQ5P
Eb2/n/Blbpun5tF/Lsvhw8FNTTC8PnvRt00a7h/ejnM466/vjc8eeLcP9wg19h9KltfdyWePfRFE
UfBhwaJBbPyE7/BynwTxL6f7p+b9FdFU02SP89mzPpCDfrS0vG5cP3v8m+eq/mXynHr7+O1kxfeJ
iUH5CWd/smcxZ8Gqyw/3+OtW67PnvmxCjv6htrPYvqjaT3hfLLMPZyyOi/vr7RL9/RWFt/KvM9/T
4DF7YCC8rmLAUNXbwcX1p3YEzvgT1oH/KZv0919PCHpwtf2MhTIYs/LjdoBDy5bq/IQ37GWJVvLj
HfR68J/w9P54Ov/+uzh8FhP1tz/7+1++mP+Lr/rtSOKb5uiM88n1+fRS8cfxRL/uTf/e/unkT2jc
nzz87Dn2g7dL8Ntl0X/CE/e7GouvV/4ATP3k2f8pbPDTx/f3dR1U3+EMX/lxP+Ex+AuEuk/+EBte
Bb9LwPsJ9cjlM4+W9+0e31RsDdfYT3h4/6oX8JOX6cfr0d9RC/3hifyo3vy1Mfd9FfrWff3R//ax
xBb/4jF+3pf//b8AAAD//w==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1.xml"/><Relationship Id="rId12"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hyperlink" Target="#'Kpi''s'!A1"/><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hyperlink" Target="#'Dashboard data '!A1"/></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0.xml"/><Relationship Id="rId2" Type="http://schemas.microsoft.com/office/2014/relationships/chartEx" Target="../charts/chartEx3.xml"/><Relationship Id="rId1" Type="http://schemas.openxmlformats.org/officeDocument/2006/relationships/chart" Target="../charts/chart6.xml"/><Relationship Id="rId6" Type="http://schemas.microsoft.com/office/2014/relationships/chartEx" Target="../charts/chartEx4.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44824</xdr:colOff>
      <xdr:row>0</xdr:row>
      <xdr:rowOff>11207</xdr:rowOff>
    </xdr:from>
    <xdr:to>
      <xdr:col>26</xdr:col>
      <xdr:colOff>56029</xdr:colOff>
      <xdr:row>33</xdr:row>
      <xdr:rowOff>1</xdr:rowOff>
    </xdr:to>
    <xdr:sp macro="" textlink="">
      <xdr:nvSpPr>
        <xdr:cNvPr id="33" name="Rectangle 32">
          <a:extLst>
            <a:ext uri="{FF2B5EF4-FFF2-40B4-BE49-F238E27FC236}">
              <a16:creationId xmlns:a16="http://schemas.microsoft.com/office/drawing/2014/main" id="{F84B0836-D15D-E9DC-2C1D-9527BE281C60}"/>
            </a:ext>
          </a:extLst>
        </xdr:cNvPr>
        <xdr:cNvSpPr/>
      </xdr:nvSpPr>
      <xdr:spPr>
        <a:xfrm>
          <a:off x="44824" y="11207"/>
          <a:ext cx="15744264" cy="5905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575930</xdr:colOff>
      <xdr:row>12</xdr:row>
      <xdr:rowOff>88605</xdr:rowOff>
    </xdr:from>
    <xdr:to>
      <xdr:col>26</xdr:col>
      <xdr:colOff>17721</xdr:colOff>
      <xdr:row>32</xdr:row>
      <xdr:rowOff>115186</xdr:rowOff>
    </xdr:to>
    <xdr:sp macro="" textlink="">
      <xdr:nvSpPr>
        <xdr:cNvPr id="32" name="Rectangle 31">
          <a:extLst>
            <a:ext uri="{FF2B5EF4-FFF2-40B4-BE49-F238E27FC236}">
              <a16:creationId xmlns:a16="http://schemas.microsoft.com/office/drawing/2014/main" id="{11CA4464-3FB5-641E-0AFF-2A672F852538}"/>
            </a:ext>
          </a:extLst>
        </xdr:cNvPr>
        <xdr:cNvSpPr/>
      </xdr:nvSpPr>
      <xdr:spPr>
        <a:xfrm>
          <a:off x="7301023" y="2321442"/>
          <a:ext cx="8612372" cy="374797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62022</xdr:colOff>
      <xdr:row>5</xdr:row>
      <xdr:rowOff>26581</xdr:rowOff>
    </xdr:from>
    <xdr:to>
      <xdr:col>5</xdr:col>
      <xdr:colOff>502023</xdr:colOff>
      <xdr:row>32</xdr:row>
      <xdr:rowOff>17929</xdr:rowOff>
    </xdr:to>
    <xdr:sp macro="" textlink="">
      <xdr:nvSpPr>
        <xdr:cNvPr id="31" name="Rectangle 30">
          <a:extLst>
            <a:ext uri="{FF2B5EF4-FFF2-40B4-BE49-F238E27FC236}">
              <a16:creationId xmlns:a16="http://schemas.microsoft.com/office/drawing/2014/main" id="{9075D467-8AD9-F9A5-E384-BAD4090C3935}"/>
            </a:ext>
          </a:extLst>
        </xdr:cNvPr>
        <xdr:cNvSpPr/>
      </xdr:nvSpPr>
      <xdr:spPr>
        <a:xfrm>
          <a:off x="62022" y="923052"/>
          <a:ext cx="3488001" cy="4832289"/>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13138</xdr:colOff>
      <xdr:row>0</xdr:row>
      <xdr:rowOff>17517</xdr:rowOff>
    </xdr:from>
    <xdr:to>
      <xdr:col>11</xdr:col>
      <xdr:colOff>598714</xdr:colOff>
      <xdr:row>5</xdr:row>
      <xdr:rowOff>0</xdr:rowOff>
    </xdr:to>
    <xdr:sp macro="" textlink="">
      <xdr:nvSpPr>
        <xdr:cNvPr id="3" name="Rectangle 2">
          <a:extLst>
            <a:ext uri="{FF2B5EF4-FFF2-40B4-BE49-F238E27FC236}">
              <a16:creationId xmlns:a16="http://schemas.microsoft.com/office/drawing/2014/main" id="{40639CF6-4F67-A1BB-8671-2181B89A04C6}"/>
            </a:ext>
          </a:extLst>
        </xdr:cNvPr>
        <xdr:cNvSpPr/>
      </xdr:nvSpPr>
      <xdr:spPr>
        <a:xfrm>
          <a:off x="13138" y="17517"/>
          <a:ext cx="7256964" cy="91554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90000"/>
                <a:lumOff val="10000"/>
              </a:schemeClr>
            </a:solidFill>
          </a:endParaRPr>
        </a:p>
      </xdr:txBody>
    </xdr:sp>
    <xdr:clientData/>
  </xdr:twoCellAnchor>
  <xdr:twoCellAnchor>
    <xdr:from>
      <xdr:col>12</xdr:col>
      <xdr:colOff>26328</xdr:colOff>
      <xdr:row>0</xdr:row>
      <xdr:rowOff>17124</xdr:rowOff>
    </xdr:from>
    <xdr:to>
      <xdr:col>25</xdr:col>
      <xdr:colOff>590762</xdr:colOff>
      <xdr:row>5</xdr:row>
      <xdr:rowOff>6421</xdr:rowOff>
    </xdr:to>
    <xdr:sp macro="" textlink="">
      <xdr:nvSpPr>
        <xdr:cNvPr id="4" name="Rectangle 3">
          <a:extLst>
            <a:ext uri="{FF2B5EF4-FFF2-40B4-BE49-F238E27FC236}">
              <a16:creationId xmlns:a16="http://schemas.microsoft.com/office/drawing/2014/main" id="{C3FDA6E7-ABEB-3270-A4E9-151D0477105E}"/>
            </a:ext>
          </a:extLst>
        </xdr:cNvPr>
        <xdr:cNvSpPr/>
      </xdr:nvSpPr>
      <xdr:spPr>
        <a:xfrm>
          <a:off x="7320980" y="17124"/>
          <a:ext cx="8466973" cy="888286"/>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69137</xdr:colOff>
      <xdr:row>2</xdr:row>
      <xdr:rowOff>145551</xdr:rowOff>
    </xdr:from>
    <xdr:to>
      <xdr:col>16</xdr:col>
      <xdr:colOff>123893</xdr:colOff>
      <xdr:row>4</xdr:row>
      <xdr:rowOff>112400</xdr:rowOff>
    </xdr:to>
    <xdr:sp macro="" textlink="'Kpi''s'!$AC$2">
      <xdr:nvSpPr>
        <xdr:cNvPr id="5" name="TextBox 4">
          <a:extLst>
            <a:ext uri="{FF2B5EF4-FFF2-40B4-BE49-F238E27FC236}">
              <a16:creationId xmlns:a16="http://schemas.microsoft.com/office/drawing/2014/main" id="{B485A51A-D5CC-44A5-BFDF-217FABF731BE}"/>
            </a:ext>
          </a:extLst>
        </xdr:cNvPr>
        <xdr:cNvSpPr txBox="1"/>
      </xdr:nvSpPr>
      <xdr:spPr>
        <a:xfrm>
          <a:off x="7971676" y="505147"/>
          <a:ext cx="1878419" cy="326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1599A1-4467-4843-A10C-1A3B0810715D}" type="TxLink">
            <a:rPr lang="en-US" sz="2000" b="1" i="0" u="none" strike="noStrike">
              <a:solidFill>
                <a:schemeClr val="tx1"/>
              </a:solidFill>
              <a:latin typeface="Aptos Narrow"/>
            </a:rPr>
            <a:pPr algn="ctr"/>
            <a:t> 80,659,661 </a:t>
          </a:fld>
          <a:endParaRPr lang="en-US" sz="2000" b="1">
            <a:solidFill>
              <a:schemeClr val="tx1"/>
            </a:solidFill>
          </a:endParaRPr>
        </a:p>
      </xdr:txBody>
    </xdr:sp>
    <xdr:clientData/>
  </xdr:twoCellAnchor>
  <xdr:twoCellAnchor>
    <xdr:from>
      <xdr:col>22</xdr:col>
      <xdr:colOff>481002</xdr:colOff>
      <xdr:row>2</xdr:row>
      <xdr:rowOff>148495</xdr:rowOff>
    </xdr:from>
    <xdr:to>
      <xdr:col>25</xdr:col>
      <xdr:colOff>535758</xdr:colOff>
      <xdr:row>4</xdr:row>
      <xdr:rowOff>134044</xdr:rowOff>
    </xdr:to>
    <xdr:sp macro="" textlink="'Kpi''s'!$AI$2">
      <xdr:nvSpPr>
        <xdr:cNvPr id="6" name="TextBox 5">
          <a:extLst>
            <a:ext uri="{FF2B5EF4-FFF2-40B4-BE49-F238E27FC236}">
              <a16:creationId xmlns:a16="http://schemas.microsoft.com/office/drawing/2014/main" id="{48568AFA-2D8E-4F8F-8689-47B9DA1EAEEF}"/>
            </a:ext>
          </a:extLst>
        </xdr:cNvPr>
        <xdr:cNvSpPr txBox="1"/>
      </xdr:nvSpPr>
      <xdr:spPr>
        <a:xfrm>
          <a:off x="13854530" y="508091"/>
          <a:ext cx="1878419" cy="345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53DE58-7CDE-4D47-B063-A1D08858687A}" type="TxLink">
            <a:rPr lang="en-US" sz="2000" b="1" i="0" u="none" strike="noStrike">
              <a:solidFill>
                <a:schemeClr val="tx1"/>
              </a:solidFill>
              <a:latin typeface="Aptos Narrow"/>
            </a:rPr>
            <a:pPr algn="ctr"/>
            <a:t> 3.00 </a:t>
          </a:fld>
          <a:endParaRPr lang="en-US" sz="2000" b="1">
            <a:solidFill>
              <a:schemeClr val="tx1"/>
            </a:solidFill>
          </a:endParaRPr>
        </a:p>
      </xdr:txBody>
    </xdr:sp>
    <xdr:clientData/>
  </xdr:twoCellAnchor>
  <xdr:twoCellAnchor>
    <xdr:from>
      <xdr:col>18</xdr:col>
      <xdr:colOff>44847</xdr:colOff>
      <xdr:row>2</xdr:row>
      <xdr:rowOff>119865</xdr:rowOff>
    </xdr:from>
    <xdr:to>
      <xdr:col>21</xdr:col>
      <xdr:colOff>99604</xdr:colOff>
      <xdr:row>4</xdr:row>
      <xdr:rowOff>86714</xdr:rowOff>
    </xdr:to>
    <xdr:sp macro="" textlink="'Kpi''s'!$AF$2">
      <xdr:nvSpPr>
        <xdr:cNvPr id="7" name="TextBox 6">
          <a:extLst>
            <a:ext uri="{FF2B5EF4-FFF2-40B4-BE49-F238E27FC236}">
              <a16:creationId xmlns:a16="http://schemas.microsoft.com/office/drawing/2014/main" id="{60E4EF65-6EE7-42A7-A433-B3F72E6F1F36}"/>
            </a:ext>
          </a:extLst>
        </xdr:cNvPr>
        <xdr:cNvSpPr txBox="1"/>
      </xdr:nvSpPr>
      <xdr:spPr>
        <a:xfrm>
          <a:off x="10986825" y="479461"/>
          <a:ext cx="1878419" cy="326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1B1A91-2838-4AA9-94A6-9906C2B87D5C}" type="TxLink">
            <a:rPr lang="en-US" sz="2000" b="1" i="0" u="none" strike="noStrike">
              <a:solidFill>
                <a:schemeClr val="tx1"/>
              </a:solidFill>
              <a:latin typeface="Aptos Narrow"/>
            </a:rPr>
            <a:pPr algn="ctr"/>
            <a:t> 5.5 </a:t>
          </a:fld>
          <a:endParaRPr lang="en-US" sz="2000" b="1">
            <a:solidFill>
              <a:schemeClr val="tx1"/>
            </a:solidFill>
          </a:endParaRPr>
        </a:p>
      </xdr:txBody>
    </xdr:sp>
    <xdr:clientData/>
  </xdr:twoCellAnchor>
  <xdr:twoCellAnchor>
    <xdr:from>
      <xdr:col>13</xdr:col>
      <xdr:colOff>154111</xdr:colOff>
      <xdr:row>1</xdr:row>
      <xdr:rowOff>51373</xdr:rowOff>
    </xdr:from>
    <xdr:to>
      <xdr:col>16</xdr:col>
      <xdr:colOff>42807</xdr:colOff>
      <xdr:row>2</xdr:row>
      <xdr:rowOff>154115</xdr:rowOff>
    </xdr:to>
    <xdr:sp macro="" textlink="">
      <xdr:nvSpPr>
        <xdr:cNvPr id="8" name="Rectangle 7">
          <a:extLst>
            <a:ext uri="{FF2B5EF4-FFF2-40B4-BE49-F238E27FC236}">
              <a16:creationId xmlns:a16="http://schemas.microsoft.com/office/drawing/2014/main" id="{FB056474-90A5-1944-D7AA-D1B8F73590FC}"/>
            </a:ext>
          </a:extLst>
        </xdr:cNvPr>
        <xdr:cNvSpPr/>
      </xdr:nvSpPr>
      <xdr:spPr>
        <a:xfrm>
          <a:off x="8056650" y="231171"/>
          <a:ext cx="1712359" cy="2825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a:solidFill>
                <a:schemeClr val="bg1"/>
              </a:solidFill>
            </a:rPr>
            <a:t>Total</a:t>
          </a:r>
          <a:r>
            <a:rPr lang="en-US" sz="1200" b="1" baseline="0">
              <a:solidFill>
                <a:schemeClr val="bg1"/>
              </a:solidFill>
            </a:rPr>
            <a:t> Sales</a:t>
          </a:r>
          <a:endParaRPr lang="en-US" sz="1200" b="1">
            <a:solidFill>
              <a:schemeClr val="bg1"/>
            </a:solidFill>
          </a:endParaRPr>
        </a:p>
      </xdr:txBody>
    </xdr:sp>
    <xdr:clientData/>
  </xdr:twoCellAnchor>
  <xdr:twoCellAnchor>
    <xdr:from>
      <xdr:col>18</xdr:col>
      <xdr:colOff>111301</xdr:colOff>
      <xdr:row>1</xdr:row>
      <xdr:rowOff>17124</xdr:rowOff>
    </xdr:from>
    <xdr:to>
      <xdr:col>21</xdr:col>
      <xdr:colOff>59932</xdr:colOff>
      <xdr:row>2</xdr:row>
      <xdr:rowOff>119866</xdr:rowOff>
    </xdr:to>
    <xdr:sp macro="" textlink="">
      <xdr:nvSpPr>
        <xdr:cNvPr id="9" name="Rectangle 8">
          <a:extLst>
            <a:ext uri="{FF2B5EF4-FFF2-40B4-BE49-F238E27FC236}">
              <a16:creationId xmlns:a16="http://schemas.microsoft.com/office/drawing/2014/main" id="{4F5B6347-8A6F-BA57-F0E6-60171EE7D645}"/>
            </a:ext>
          </a:extLst>
        </xdr:cNvPr>
        <xdr:cNvSpPr/>
      </xdr:nvSpPr>
      <xdr:spPr>
        <a:xfrm>
          <a:off x="11053279" y="196922"/>
          <a:ext cx="1772293" cy="2825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baseline="0">
              <a:solidFill>
                <a:schemeClr val="bg1"/>
              </a:solidFill>
            </a:rPr>
            <a:t>Average  Delivery days</a:t>
          </a:r>
          <a:endParaRPr lang="en-US" sz="1200" b="1">
            <a:solidFill>
              <a:schemeClr val="bg1"/>
            </a:solidFill>
          </a:endParaRPr>
        </a:p>
      </xdr:txBody>
    </xdr:sp>
    <xdr:clientData/>
  </xdr:twoCellAnchor>
  <xdr:twoCellAnchor>
    <xdr:from>
      <xdr:col>23</xdr:col>
      <xdr:colOff>42809</xdr:colOff>
      <xdr:row>1</xdr:row>
      <xdr:rowOff>34248</xdr:rowOff>
    </xdr:from>
    <xdr:to>
      <xdr:col>25</xdr:col>
      <xdr:colOff>376720</xdr:colOff>
      <xdr:row>2</xdr:row>
      <xdr:rowOff>136990</xdr:rowOff>
    </xdr:to>
    <xdr:sp macro="" textlink="">
      <xdr:nvSpPr>
        <xdr:cNvPr id="10" name="Rectangle 9">
          <a:extLst>
            <a:ext uri="{FF2B5EF4-FFF2-40B4-BE49-F238E27FC236}">
              <a16:creationId xmlns:a16="http://schemas.microsoft.com/office/drawing/2014/main" id="{FDC1CD54-4DBB-507B-0709-AA0B00F0F703}"/>
            </a:ext>
          </a:extLst>
        </xdr:cNvPr>
        <xdr:cNvSpPr/>
      </xdr:nvSpPr>
      <xdr:spPr>
        <a:xfrm>
          <a:off x="14024225" y="214046"/>
          <a:ext cx="1549686" cy="2825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a:solidFill>
                <a:schemeClr val="bg1"/>
              </a:solidFill>
            </a:rPr>
            <a:t>Average</a:t>
          </a:r>
          <a:r>
            <a:rPr lang="en-US" sz="1200" b="1" baseline="0">
              <a:solidFill>
                <a:schemeClr val="bg1"/>
              </a:solidFill>
            </a:rPr>
            <a:t> Rating</a:t>
          </a:r>
          <a:endParaRPr lang="en-US" sz="1200" b="1">
            <a:solidFill>
              <a:schemeClr val="bg1"/>
            </a:solidFill>
          </a:endParaRPr>
        </a:p>
      </xdr:txBody>
    </xdr:sp>
    <xdr:clientData/>
  </xdr:twoCellAnchor>
  <xdr:twoCellAnchor editAs="oneCell">
    <xdr:from>
      <xdr:col>12</xdr:col>
      <xdr:colOff>34249</xdr:colOff>
      <xdr:row>1</xdr:row>
      <xdr:rowOff>25687</xdr:rowOff>
    </xdr:from>
    <xdr:to>
      <xdr:col>13</xdr:col>
      <xdr:colOff>102744</xdr:colOff>
      <xdr:row>4</xdr:row>
      <xdr:rowOff>162676</xdr:rowOff>
    </xdr:to>
    <xdr:pic>
      <xdr:nvPicPr>
        <xdr:cNvPr id="12" name="Graphic 11" descr="Bar graph with upward trend with solid fill">
          <a:extLst>
            <a:ext uri="{FF2B5EF4-FFF2-40B4-BE49-F238E27FC236}">
              <a16:creationId xmlns:a16="http://schemas.microsoft.com/office/drawing/2014/main" id="{91E01927-5ACA-5E21-A9D1-FE25A7B216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28901" y="205485"/>
          <a:ext cx="676382" cy="676382"/>
        </a:xfrm>
        <a:prstGeom prst="rect">
          <a:avLst/>
        </a:prstGeom>
      </xdr:spPr>
    </xdr:pic>
    <xdr:clientData/>
  </xdr:twoCellAnchor>
  <xdr:twoCellAnchor editAs="oneCell">
    <xdr:from>
      <xdr:col>16</xdr:col>
      <xdr:colOff>462338</xdr:colOff>
      <xdr:row>0</xdr:row>
      <xdr:rowOff>171235</xdr:rowOff>
    </xdr:from>
    <xdr:to>
      <xdr:col>18</xdr:col>
      <xdr:colOff>0</xdr:colOff>
      <xdr:row>5</xdr:row>
      <xdr:rowOff>25684</xdr:rowOff>
    </xdr:to>
    <xdr:pic>
      <xdr:nvPicPr>
        <xdr:cNvPr id="14" name="Graphic 13" descr="Truck with solid fill">
          <a:extLst>
            <a:ext uri="{FF2B5EF4-FFF2-40B4-BE49-F238E27FC236}">
              <a16:creationId xmlns:a16="http://schemas.microsoft.com/office/drawing/2014/main" id="{E1797516-082A-6810-3127-73D3F651A1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88540" y="171235"/>
          <a:ext cx="753438" cy="753438"/>
        </a:xfrm>
        <a:prstGeom prst="rect">
          <a:avLst/>
        </a:prstGeom>
      </xdr:spPr>
    </xdr:pic>
    <xdr:clientData/>
  </xdr:twoCellAnchor>
  <xdr:twoCellAnchor editAs="oneCell">
    <xdr:from>
      <xdr:col>21</xdr:col>
      <xdr:colOff>410968</xdr:colOff>
      <xdr:row>1</xdr:row>
      <xdr:rowOff>94180</xdr:rowOff>
    </xdr:from>
    <xdr:to>
      <xdr:col>22</xdr:col>
      <xdr:colOff>376720</xdr:colOff>
      <xdr:row>4</xdr:row>
      <xdr:rowOff>128427</xdr:rowOff>
    </xdr:to>
    <xdr:pic>
      <xdr:nvPicPr>
        <xdr:cNvPr id="18" name="Graphic 17" descr="Angel face outline with solid fill">
          <a:extLst>
            <a:ext uri="{FF2B5EF4-FFF2-40B4-BE49-F238E27FC236}">
              <a16:creationId xmlns:a16="http://schemas.microsoft.com/office/drawing/2014/main" id="{FFE71A15-AEB8-8FE9-215B-D52D2E9966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176608" y="273978"/>
          <a:ext cx="573640" cy="573640"/>
        </a:xfrm>
        <a:prstGeom prst="rect">
          <a:avLst/>
        </a:prstGeom>
      </xdr:spPr>
    </xdr:pic>
    <xdr:clientData/>
  </xdr:twoCellAnchor>
  <xdr:twoCellAnchor editAs="oneCell">
    <xdr:from>
      <xdr:col>12</xdr:col>
      <xdr:colOff>21676</xdr:colOff>
      <xdr:row>5</xdr:row>
      <xdr:rowOff>25685</xdr:rowOff>
    </xdr:from>
    <xdr:to>
      <xdr:col>14</xdr:col>
      <xdr:colOff>239731</xdr:colOff>
      <xdr:row>12</xdr:row>
      <xdr:rowOff>51371</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354DED96-AE27-4222-BC8B-FDEFBEED5F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15105" y="932828"/>
              <a:ext cx="1433626" cy="1295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325487</xdr:colOff>
      <xdr:row>5</xdr:row>
      <xdr:rowOff>8563</xdr:rowOff>
    </xdr:from>
    <xdr:to>
      <xdr:col>16</xdr:col>
      <xdr:colOff>541944</xdr:colOff>
      <xdr:row>12</xdr:row>
      <xdr:rowOff>51371</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4D95A9FB-0511-4A86-B0F7-4ACDCF5373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834487" y="915706"/>
              <a:ext cx="1432028" cy="1312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31019</xdr:colOff>
      <xdr:row>5</xdr:row>
      <xdr:rowOff>17123</xdr:rowOff>
    </xdr:from>
    <xdr:to>
      <xdr:col>19</xdr:col>
      <xdr:colOff>249074</xdr:colOff>
      <xdr:row>12</xdr:row>
      <xdr:rowOff>51371</xdr:rowOff>
    </xdr:to>
    <mc:AlternateContent xmlns:mc="http://schemas.openxmlformats.org/markup-compatibility/2006" xmlns:a14="http://schemas.microsoft.com/office/drawing/2010/main">
      <mc:Choice Requires="a14">
        <xdr:graphicFrame macro="">
          <xdr:nvGraphicFramePr>
            <xdr:cNvPr id="21" name="OrderChannel 1">
              <a:extLst>
                <a:ext uri="{FF2B5EF4-FFF2-40B4-BE49-F238E27FC236}">
                  <a16:creationId xmlns:a16="http://schemas.microsoft.com/office/drawing/2014/main" id="{8D88A04B-B122-4D95-8134-65FD78592CCD}"/>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10363376" y="924266"/>
              <a:ext cx="1433627" cy="130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359000</xdr:colOff>
      <xdr:row>5</xdr:row>
      <xdr:rowOff>0</xdr:rowOff>
    </xdr:from>
    <xdr:to>
      <xdr:col>21</xdr:col>
      <xdr:colOff>577055</xdr:colOff>
      <xdr:row>12</xdr:row>
      <xdr:rowOff>68379</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9B03D5FC-08A6-45FD-91D2-267A22F3393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06929" y="907143"/>
              <a:ext cx="1433626" cy="133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25685</xdr:colOff>
      <xdr:row>5</xdr:row>
      <xdr:rowOff>0</xdr:rowOff>
    </xdr:from>
    <xdr:to>
      <xdr:col>25</xdr:col>
      <xdr:colOff>605117</xdr:colOff>
      <xdr:row>12</xdr:row>
      <xdr:rowOff>51371</xdr:rowOff>
    </xdr:to>
    <mc:AlternateContent xmlns:mc="http://schemas.openxmlformats.org/markup-compatibility/2006" xmlns:tsle="http://schemas.microsoft.com/office/drawing/2012/timeslicer">
      <mc:Choice Requires="tsle">
        <xdr:graphicFrame macro="">
          <xdr:nvGraphicFramePr>
            <xdr:cNvPr id="23" name="OrderDate 1">
              <a:extLst>
                <a:ext uri="{FF2B5EF4-FFF2-40B4-BE49-F238E27FC236}">
                  <a16:creationId xmlns:a16="http://schemas.microsoft.com/office/drawing/2014/main" id="{3D51B154-0098-4C26-9ACB-449FD8A6F341}"/>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3396971" y="907143"/>
              <a:ext cx="2402789" cy="13213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97466</xdr:colOff>
      <xdr:row>5</xdr:row>
      <xdr:rowOff>81064</xdr:rowOff>
    </xdr:from>
    <xdr:to>
      <xdr:col>5</xdr:col>
      <xdr:colOff>389862</xdr:colOff>
      <xdr:row>20</xdr:row>
      <xdr:rowOff>0</xdr:rowOff>
    </xdr:to>
    <xdr:graphicFrame macro="">
      <xdr:nvGraphicFramePr>
        <xdr:cNvPr id="24" name="Chart 23">
          <a:extLst>
            <a:ext uri="{FF2B5EF4-FFF2-40B4-BE49-F238E27FC236}">
              <a16:creationId xmlns:a16="http://schemas.microsoft.com/office/drawing/2014/main" id="{9BEA4753-B284-40AF-8622-7B252A2DD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601005</xdr:colOff>
      <xdr:row>23</xdr:row>
      <xdr:rowOff>60380</xdr:rowOff>
    </xdr:from>
    <xdr:to>
      <xdr:col>25</xdr:col>
      <xdr:colOff>573290</xdr:colOff>
      <xdr:row>32</xdr:row>
      <xdr:rowOff>68621</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D38D6181-4D02-4B57-ACF2-042AC446FD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354605" y="4266620"/>
              <a:ext cx="5458685" cy="16541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548971</xdr:colOff>
      <xdr:row>12</xdr:row>
      <xdr:rowOff>139486</xdr:rowOff>
    </xdr:from>
    <xdr:to>
      <xdr:col>25</xdr:col>
      <xdr:colOff>548971</xdr:colOff>
      <xdr:row>22</xdr:row>
      <xdr:rowOff>177209</xdr:rowOff>
    </xdr:to>
    <xdr:graphicFrame macro="">
      <xdr:nvGraphicFramePr>
        <xdr:cNvPr id="26" name="Chart 25">
          <a:extLst>
            <a:ext uri="{FF2B5EF4-FFF2-40B4-BE49-F238E27FC236}">
              <a16:creationId xmlns:a16="http://schemas.microsoft.com/office/drawing/2014/main" id="{2F814644-56E2-424A-AA8D-73B38ACB5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17720</xdr:colOff>
      <xdr:row>12</xdr:row>
      <xdr:rowOff>151191</xdr:rowOff>
    </xdr:from>
    <xdr:to>
      <xdr:col>16</xdr:col>
      <xdr:colOff>516467</xdr:colOff>
      <xdr:row>32</xdr:row>
      <xdr:rowOff>71404</xdr:rowOff>
    </xdr:to>
    <xdr:graphicFrame macro="">
      <xdr:nvGraphicFramePr>
        <xdr:cNvPr id="27" name="Chart 26">
          <a:extLst>
            <a:ext uri="{FF2B5EF4-FFF2-40B4-BE49-F238E27FC236}">
              <a16:creationId xmlns:a16="http://schemas.microsoft.com/office/drawing/2014/main" id="{E98EA527-A8A4-4919-B652-C9BBC511B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7728</xdr:colOff>
      <xdr:row>12</xdr:row>
      <xdr:rowOff>150644</xdr:rowOff>
    </xdr:from>
    <xdr:to>
      <xdr:col>21</xdr:col>
      <xdr:colOff>502596</xdr:colOff>
      <xdr:row>23</xdr:row>
      <xdr:rowOff>8860</xdr:rowOff>
    </xdr:to>
    <xdr:graphicFrame macro="">
      <xdr:nvGraphicFramePr>
        <xdr:cNvPr id="28" name="Chart 27">
          <a:extLst>
            <a:ext uri="{FF2B5EF4-FFF2-40B4-BE49-F238E27FC236}">
              <a16:creationId xmlns:a16="http://schemas.microsoft.com/office/drawing/2014/main" id="{B36507AD-C76C-46FE-BEE1-E1BE35C44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479651</xdr:colOff>
      <xdr:row>5</xdr:row>
      <xdr:rowOff>49473</xdr:rowOff>
    </xdr:from>
    <xdr:to>
      <xdr:col>11</xdr:col>
      <xdr:colOff>549349</xdr:colOff>
      <xdr:row>20</xdr:row>
      <xdr:rowOff>88605</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DBD3B3ED-D80D-4C36-86DB-5B62CAB353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527651" y="963873"/>
              <a:ext cx="3727298" cy="27823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98612</xdr:colOff>
      <xdr:row>20</xdr:row>
      <xdr:rowOff>107576</xdr:rowOff>
    </xdr:from>
    <xdr:to>
      <xdr:col>5</xdr:col>
      <xdr:colOff>412377</xdr:colOff>
      <xdr:row>31</xdr:row>
      <xdr:rowOff>80683</xdr:rowOff>
    </xdr:to>
    <xdr:graphicFrame macro="">
      <xdr:nvGraphicFramePr>
        <xdr:cNvPr id="30" name="Chart 29">
          <a:extLst>
            <a:ext uri="{FF2B5EF4-FFF2-40B4-BE49-F238E27FC236}">
              <a16:creationId xmlns:a16="http://schemas.microsoft.com/office/drawing/2014/main" id="{E448D5E5-B0A2-4486-B99E-016D16E2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403412</xdr:colOff>
      <xdr:row>21</xdr:row>
      <xdr:rowOff>134471</xdr:rowOff>
    </xdr:from>
    <xdr:to>
      <xdr:col>11</xdr:col>
      <xdr:colOff>11206</xdr:colOff>
      <xdr:row>25</xdr:row>
      <xdr:rowOff>100853</xdr:rowOff>
    </xdr:to>
    <xdr:sp macro="" textlink="">
      <xdr:nvSpPr>
        <xdr:cNvPr id="35" name="Rectangle: Beveled 34">
          <a:hlinkClick xmlns:r="http://schemas.openxmlformats.org/officeDocument/2006/relationships" r:id="rId14"/>
          <a:extLst>
            <a:ext uri="{FF2B5EF4-FFF2-40B4-BE49-F238E27FC236}">
              <a16:creationId xmlns:a16="http://schemas.microsoft.com/office/drawing/2014/main" id="{12CE5D61-9936-3430-9EE7-36EDDDED3D64}"/>
            </a:ext>
          </a:extLst>
        </xdr:cNvPr>
        <xdr:cNvSpPr/>
      </xdr:nvSpPr>
      <xdr:spPr>
        <a:xfrm>
          <a:off x="4034118" y="3899647"/>
          <a:ext cx="2633382" cy="683559"/>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Data</a:t>
          </a:r>
          <a:r>
            <a:rPr lang="en-US" sz="2000" b="1" baseline="0"/>
            <a:t> </a:t>
          </a:r>
          <a:endParaRPr lang="en-US" sz="2000" b="1"/>
        </a:p>
      </xdr:txBody>
    </xdr:sp>
    <xdr:clientData/>
  </xdr:twoCellAnchor>
  <xdr:twoCellAnchor>
    <xdr:from>
      <xdr:col>6</xdr:col>
      <xdr:colOff>403412</xdr:colOff>
      <xdr:row>26</xdr:row>
      <xdr:rowOff>145676</xdr:rowOff>
    </xdr:from>
    <xdr:to>
      <xdr:col>11</xdr:col>
      <xdr:colOff>11206</xdr:colOff>
      <xdr:row>30</xdr:row>
      <xdr:rowOff>112058</xdr:rowOff>
    </xdr:to>
    <xdr:sp macro="" textlink="">
      <xdr:nvSpPr>
        <xdr:cNvPr id="36" name="Rectangle: Beveled 35">
          <a:hlinkClick xmlns:r="http://schemas.openxmlformats.org/officeDocument/2006/relationships" r:id="rId15"/>
          <a:extLst>
            <a:ext uri="{FF2B5EF4-FFF2-40B4-BE49-F238E27FC236}">
              <a16:creationId xmlns:a16="http://schemas.microsoft.com/office/drawing/2014/main" id="{A0EF7DDE-4DAD-DEB7-7F7B-C74344150678}"/>
            </a:ext>
          </a:extLst>
        </xdr:cNvPr>
        <xdr:cNvSpPr/>
      </xdr:nvSpPr>
      <xdr:spPr>
        <a:xfrm>
          <a:off x="4034118" y="4807323"/>
          <a:ext cx="2633382" cy="683559"/>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2"/>
              </a:solidFill>
            </a:rPr>
            <a:t>KPI,s</a:t>
          </a:r>
        </a:p>
      </xdr:txBody>
    </xdr:sp>
    <xdr:clientData/>
  </xdr:twoCellAnchor>
  <xdr:twoCellAnchor>
    <xdr:from>
      <xdr:col>0</xdr:col>
      <xdr:colOff>67236</xdr:colOff>
      <xdr:row>0</xdr:row>
      <xdr:rowOff>56029</xdr:rowOff>
    </xdr:from>
    <xdr:to>
      <xdr:col>11</xdr:col>
      <xdr:colOff>571500</xdr:colOff>
      <xdr:row>4</xdr:row>
      <xdr:rowOff>156883</xdr:rowOff>
    </xdr:to>
    <xdr:sp macro="" textlink="">
      <xdr:nvSpPr>
        <xdr:cNvPr id="37" name="Rectangle 36">
          <a:extLst>
            <a:ext uri="{FF2B5EF4-FFF2-40B4-BE49-F238E27FC236}">
              <a16:creationId xmlns:a16="http://schemas.microsoft.com/office/drawing/2014/main" id="{6BA1268C-782E-D7AA-0A81-75A535ECBCA4}"/>
            </a:ext>
          </a:extLst>
        </xdr:cNvPr>
        <xdr:cNvSpPr/>
      </xdr:nvSpPr>
      <xdr:spPr>
        <a:xfrm>
          <a:off x="67236" y="56029"/>
          <a:ext cx="7160558" cy="81803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291101</xdr:colOff>
      <xdr:row>0</xdr:row>
      <xdr:rowOff>145551</xdr:rowOff>
    </xdr:from>
    <xdr:to>
      <xdr:col>11</xdr:col>
      <xdr:colOff>299663</xdr:colOff>
      <xdr:row>4</xdr:row>
      <xdr:rowOff>42809</xdr:rowOff>
    </xdr:to>
    <xdr:sp macro="" textlink="">
      <xdr:nvSpPr>
        <xdr:cNvPr id="38" name="TextBox 37">
          <a:extLst>
            <a:ext uri="{FF2B5EF4-FFF2-40B4-BE49-F238E27FC236}">
              <a16:creationId xmlns:a16="http://schemas.microsoft.com/office/drawing/2014/main" id="{661A9EBC-FCFB-FA04-718B-E37A52B0C1DF}"/>
            </a:ext>
          </a:extLst>
        </xdr:cNvPr>
        <xdr:cNvSpPr txBox="1"/>
      </xdr:nvSpPr>
      <xdr:spPr>
        <a:xfrm>
          <a:off x="291101" y="145551"/>
          <a:ext cx="6695326" cy="6164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Sales</a:t>
          </a:r>
          <a:r>
            <a:rPr lang="en-US" sz="3600" b="1" baseline="0"/>
            <a:t> Dashboard 2026</a:t>
          </a:r>
          <a:endParaRPr lang="en-US" sz="36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224296</xdr:colOff>
      <xdr:row>31</xdr:row>
      <xdr:rowOff>6436</xdr:rowOff>
    </xdr:from>
    <xdr:to>
      <xdr:col>9</xdr:col>
      <xdr:colOff>558502</xdr:colOff>
      <xdr:row>44</xdr:row>
      <xdr:rowOff>145433</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D2FCCA2-57C0-91F8-9586-62752427CC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29156" y="5774599"/>
              <a:ext cx="1831625"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680342</xdr:colOff>
      <xdr:row>31</xdr:row>
      <xdr:rowOff>9701</xdr:rowOff>
    </xdr:from>
    <xdr:to>
      <xdr:col>12</xdr:col>
      <xdr:colOff>25899</xdr:colOff>
      <xdr:row>44</xdr:row>
      <xdr:rowOff>148698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8C5E1C9-E03D-30E9-6565-36719106B4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82621" y="5777864"/>
              <a:ext cx="1817627"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150309</xdr:colOff>
      <xdr:row>31</xdr:row>
      <xdr:rowOff>14763</xdr:rowOff>
    </xdr:from>
    <xdr:to>
      <xdr:col>13</xdr:col>
      <xdr:colOff>959257</xdr:colOff>
      <xdr:row>44</xdr:row>
      <xdr:rowOff>153760</xdr:rowOff>
    </xdr:to>
    <mc:AlternateContent xmlns:mc="http://schemas.openxmlformats.org/markup-compatibility/2006" xmlns:a14="http://schemas.microsoft.com/office/drawing/2010/main">
      <mc:Choice Requires="a14">
        <xdr:graphicFrame macro="">
          <xdr:nvGraphicFramePr>
            <xdr:cNvPr id="4" name="OrderChannel">
              <a:extLst>
                <a:ext uri="{FF2B5EF4-FFF2-40B4-BE49-F238E27FC236}">
                  <a16:creationId xmlns:a16="http://schemas.microsoft.com/office/drawing/2014/main" id="{6AA65588-A2B8-F4C2-4770-1A2AC41EEF66}"/>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10224658" y="5782926"/>
              <a:ext cx="1836762"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1130281</xdr:colOff>
      <xdr:row>30</xdr:row>
      <xdr:rowOff>170710</xdr:rowOff>
    </xdr:from>
    <xdr:to>
      <xdr:col>16</xdr:col>
      <xdr:colOff>485856</xdr:colOff>
      <xdr:row>44</xdr:row>
      <xdr:rowOff>123637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CF8BCF1-ACCC-9C85-1CE0-445B99F554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32444" y="5752803"/>
              <a:ext cx="1827645"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499052</xdr:colOff>
      <xdr:row>45</xdr:row>
      <xdr:rowOff>95777</xdr:rowOff>
    </xdr:from>
    <xdr:to>
      <xdr:col>13</xdr:col>
      <xdr:colOff>333518</xdr:colOff>
      <xdr:row>52</xdr:row>
      <xdr:rowOff>153203</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C7DFF8D2-B5D4-11B5-54B4-78838F547BB7}"/>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101331" y="8468917"/>
              <a:ext cx="3334350" cy="13599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16</xdr:row>
      <xdr:rowOff>121389</xdr:rowOff>
    </xdr:from>
    <xdr:to>
      <xdr:col>2</xdr:col>
      <xdr:colOff>208221</xdr:colOff>
      <xdr:row>31</xdr:row>
      <xdr:rowOff>73542</xdr:rowOff>
    </xdr:to>
    <xdr:graphicFrame macro="">
      <xdr:nvGraphicFramePr>
        <xdr:cNvPr id="8" name="Chart 7">
          <a:extLst>
            <a:ext uri="{FF2B5EF4-FFF2-40B4-BE49-F238E27FC236}">
              <a16:creationId xmlns:a16="http://schemas.microsoft.com/office/drawing/2014/main" id="{FC41347E-EB70-3DC9-30B7-464986932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407582</xdr:colOff>
      <xdr:row>28</xdr:row>
      <xdr:rowOff>37215</xdr:rowOff>
    </xdr:from>
    <xdr:to>
      <xdr:col>6</xdr:col>
      <xdr:colOff>558210</xdr:colOff>
      <xdr:row>39</xdr:row>
      <xdr:rowOff>53164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D97E664-EFCE-52B3-411B-1C97FC3C98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41182" y="5157855"/>
              <a:ext cx="3503428" cy="20276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571500</xdr:colOff>
      <xdr:row>14</xdr:row>
      <xdr:rowOff>112528</xdr:rowOff>
    </xdr:from>
    <xdr:to>
      <xdr:col>11</xdr:col>
      <xdr:colOff>106325</xdr:colOff>
      <xdr:row>29</xdr:row>
      <xdr:rowOff>64682</xdr:rowOff>
    </xdr:to>
    <xdr:graphicFrame macro="">
      <xdr:nvGraphicFramePr>
        <xdr:cNvPr id="10" name="Chart 9">
          <a:extLst>
            <a:ext uri="{FF2B5EF4-FFF2-40B4-BE49-F238E27FC236}">
              <a16:creationId xmlns:a16="http://schemas.microsoft.com/office/drawing/2014/main" id="{EE0E55B7-6B05-72F2-CA21-CB97163DD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208221</xdr:colOff>
      <xdr:row>8</xdr:row>
      <xdr:rowOff>156831</xdr:rowOff>
    </xdr:from>
    <xdr:to>
      <xdr:col>14</xdr:col>
      <xdr:colOff>336699</xdr:colOff>
      <xdr:row>23</xdr:row>
      <xdr:rowOff>108984</xdr:rowOff>
    </xdr:to>
    <xdr:graphicFrame macro="">
      <xdr:nvGraphicFramePr>
        <xdr:cNvPr id="11" name="Chart 10">
          <a:extLst>
            <a:ext uri="{FF2B5EF4-FFF2-40B4-BE49-F238E27FC236}">
              <a16:creationId xmlns:a16="http://schemas.microsoft.com/office/drawing/2014/main" id="{5CF6F13C-6BFE-7D07-4C2C-060540AD3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598081</xdr:colOff>
      <xdr:row>6</xdr:row>
      <xdr:rowOff>94807</xdr:rowOff>
    </xdr:from>
    <xdr:to>
      <xdr:col>18</xdr:col>
      <xdr:colOff>97465</xdr:colOff>
      <xdr:row>19</xdr:row>
      <xdr:rowOff>17721</xdr:rowOff>
    </xdr:to>
    <xdr:graphicFrame macro="">
      <xdr:nvGraphicFramePr>
        <xdr:cNvPr id="12" name="Chart 11">
          <a:extLst>
            <a:ext uri="{FF2B5EF4-FFF2-40B4-BE49-F238E27FC236}">
              <a16:creationId xmlns:a16="http://schemas.microsoft.com/office/drawing/2014/main" id="{E2FC5834-8488-0E23-9A72-4B1772B53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425303</xdr:colOff>
      <xdr:row>20</xdr:row>
      <xdr:rowOff>10634</xdr:rowOff>
    </xdr:from>
    <xdr:to>
      <xdr:col>22</xdr:col>
      <xdr:colOff>505047</xdr:colOff>
      <xdr:row>31</xdr:row>
      <xdr:rowOff>168349</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9624A5E-C068-1BF4-5624-A95A6D1919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114883" y="3668234"/>
              <a:ext cx="3432544" cy="21693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314547</xdr:colOff>
      <xdr:row>6</xdr:row>
      <xdr:rowOff>183411</xdr:rowOff>
    </xdr:from>
    <xdr:to>
      <xdr:col>26</xdr:col>
      <xdr:colOff>416442</xdr:colOff>
      <xdr:row>20</xdr:row>
      <xdr:rowOff>53164</xdr:rowOff>
    </xdr:to>
    <xdr:graphicFrame macro="">
      <xdr:nvGraphicFramePr>
        <xdr:cNvPr id="14" name="Chart 13">
          <a:extLst>
            <a:ext uri="{FF2B5EF4-FFF2-40B4-BE49-F238E27FC236}">
              <a16:creationId xmlns:a16="http://schemas.microsoft.com/office/drawing/2014/main" id="{76B346E2-1AB7-449B-0148-27D1FBA8A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88605</xdr:colOff>
      <xdr:row>5</xdr:row>
      <xdr:rowOff>8860</xdr:rowOff>
    </xdr:from>
    <xdr:to>
      <xdr:col>30</xdr:col>
      <xdr:colOff>106326</xdr:colOff>
      <xdr:row>7</xdr:row>
      <xdr:rowOff>177210</xdr:rowOff>
    </xdr:to>
    <xdr:sp macro="" textlink="$AC$2">
      <xdr:nvSpPr>
        <xdr:cNvPr id="15" name="TextBox 14">
          <a:extLst>
            <a:ext uri="{FF2B5EF4-FFF2-40B4-BE49-F238E27FC236}">
              <a16:creationId xmlns:a16="http://schemas.microsoft.com/office/drawing/2014/main" id="{7F04665A-A63D-6291-7377-8BB0E656AB7B}"/>
            </a:ext>
          </a:extLst>
        </xdr:cNvPr>
        <xdr:cNvSpPr txBox="1"/>
      </xdr:nvSpPr>
      <xdr:spPr>
        <a:xfrm>
          <a:off x="23737186" y="939209"/>
          <a:ext cx="1878419" cy="5404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E1CAD6-ED5E-4B42-8014-0B175ACC4FF8}" type="TxLink">
            <a:rPr lang="en-US" sz="1100" b="0" i="0" u="none" strike="noStrike">
              <a:solidFill>
                <a:srgbClr val="000000"/>
              </a:solidFill>
              <a:latin typeface="Aptos Narrow"/>
            </a:rPr>
            <a:pPr/>
            <a:t> 80,659,661 </a:t>
          </a:fld>
          <a:endParaRPr lang="en-US" sz="1100"/>
        </a:p>
      </xdr:txBody>
    </xdr:sp>
    <xdr:clientData/>
  </xdr:twoCellAnchor>
  <xdr:twoCellAnchor>
    <xdr:from>
      <xdr:col>33</xdr:col>
      <xdr:colOff>141768</xdr:colOff>
      <xdr:row>5</xdr:row>
      <xdr:rowOff>8860</xdr:rowOff>
    </xdr:from>
    <xdr:to>
      <xdr:col>35</xdr:col>
      <xdr:colOff>345559</xdr:colOff>
      <xdr:row>7</xdr:row>
      <xdr:rowOff>177210</xdr:rowOff>
    </xdr:to>
    <xdr:sp macro="" textlink="$AI$2">
      <xdr:nvSpPr>
        <xdr:cNvPr id="17" name="TextBox 16">
          <a:extLst>
            <a:ext uri="{FF2B5EF4-FFF2-40B4-BE49-F238E27FC236}">
              <a16:creationId xmlns:a16="http://schemas.microsoft.com/office/drawing/2014/main" id="{2844081C-E14C-7DAB-1196-130CFF1C317F}"/>
            </a:ext>
          </a:extLst>
        </xdr:cNvPr>
        <xdr:cNvSpPr txBox="1"/>
      </xdr:nvSpPr>
      <xdr:spPr>
        <a:xfrm>
          <a:off x="28335768" y="939209"/>
          <a:ext cx="1878419" cy="5404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84A432-3C14-4612-B758-0A2693AFC75D}" type="TxLink">
            <a:rPr lang="en-US" sz="1100" b="0" i="0" u="none" strike="noStrike">
              <a:solidFill>
                <a:srgbClr val="000000"/>
              </a:solidFill>
              <a:latin typeface="Aptos Narrow"/>
            </a:rPr>
            <a:pPr/>
            <a:t> 3.00 </a:t>
          </a:fld>
          <a:endParaRPr lang="en-US" sz="1100"/>
        </a:p>
      </xdr:txBody>
    </xdr:sp>
    <xdr:clientData/>
  </xdr:twoCellAnchor>
  <xdr:twoCellAnchor>
    <xdr:from>
      <xdr:col>30</xdr:col>
      <xdr:colOff>301256</xdr:colOff>
      <xdr:row>5</xdr:row>
      <xdr:rowOff>8860</xdr:rowOff>
    </xdr:from>
    <xdr:to>
      <xdr:col>32</xdr:col>
      <xdr:colOff>106326</xdr:colOff>
      <xdr:row>7</xdr:row>
      <xdr:rowOff>177210</xdr:rowOff>
    </xdr:to>
    <xdr:sp macro="" textlink="$AF$2">
      <xdr:nvSpPr>
        <xdr:cNvPr id="18" name="TextBox 17">
          <a:extLst>
            <a:ext uri="{FF2B5EF4-FFF2-40B4-BE49-F238E27FC236}">
              <a16:creationId xmlns:a16="http://schemas.microsoft.com/office/drawing/2014/main" id="{1AB94198-F31F-3921-FF3F-2FBE0A2B67B8}"/>
            </a:ext>
          </a:extLst>
        </xdr:cNvPr>
        <xdr:cNvSpPr txBox="1"/>
      </xdr:nvSpPr>
      <xdr:spPr>
        <a:xfrm>
          <a:off x="25810535" y="939209"/>
          <a:ext cx="1878419" cy="5404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7DF390-AE14-4273-9CA1-0988DB66059A}" type="TxLink">
            <a:rPr lang="en-US" sz="1100" b="0" i="0" u="none" strike="noStrike">
              <a:solidFill>
                <a:srgbClr val="000000"/>
              </a:solidFill>
              <a:latin typeface="Aptos Narrow"/>
            </a:rPr>
            <a:pPr/>
            <a:t> 5.5 </a:t>
          </a:fld>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6.559379861108" createdVersion="8" refreshedVersion="8" minRefreshableVersion="3" recordCount="1000" xr:uid="{F242CB9D-A1A2-40BA-A1FB-5F042BA68CBF}">
  <cacheSource type="worksheet">
    <worksheetSource ref="A1:Z1001" sheet="Dashboard data "/>
  </cacheSource>
  <cacheFields count="29">
    <cacheField name="OrderID" numFmtId="0">
      <sharedItems/>
    </cacheField>
    <cacheField name="OrderDate" numFmtId="15">
      <sharedItems containsSemiMixedTypes="0" containsNonDate="0" containsDate="1" containsString="0" minDate="2025-04-10T00:00:00" maxDate="2026-04-10T00:00:00" count="339">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sharedItems>
      <fieldGroup par="28"/>
    </cacheField>
    <cacheField name="CustomerID" numFmtId="0">
      <sharedItems/>
    </cacheField>
    <cacheField name="CustomerName"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Product" numFmtId="0">
      <sharedItems count="10">
        <s v="Headphones"/>
        <s v="Keyboard"/>
        <s v="Shoes"/>
        <s v="Backpack"/>
        <s v="Laptop"/>
        <s v="Camera"/>
        <s v="Phone"/>
        <s v="Watch"/>
        <s v="Tablet"/>
        <s v="Mouse"/>
      </sharedItems>
    </cacheField>
    <cacheField name="Category" numFmtId="0">
      <sharedItems count="3">
        <s v="Electronics"/>
        <s v="Fashion"/>
        <s v="Accessories"/>
      </sharedItems>
    </cacheField>
    <cacheField name="SubCategory" numFmtId="0">
      <sharedItems count="10">
        <s v="Headphones"/>
        <s v="Keyboard"/>
        <s v="Shoes"/>
        <s v="Backpack"/>
        <s v="Laptop"/>
        <s v="Camera"/>
        <s v="Phone"/>
        <s v="Watch"/>
        <s v="Tablet"/>
        <s v="Mouse"/>
      </sharedItems>
    </cacheField>
    <cacheField name="Brand" numFmtId="0">
      <sharedItems count="10">
        <s v="Sony"/>
        <s v="Boat"/>
        <s v="Dell"/>
        <s v="HP"/>
        <s v="Lenovo"/>
        <s v="Samsung"/>
        <s v="Nike"/>
        <s v="Apple"/>
        <s v="Noise"/>
        <s v="Adidas"/>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528" maxValue="49982"/>
    </cacheField>
    <cacheField name="Discount" numFmtId="0">
      <sharedItems containsSemiMixedTypes="0" containsString="0" containsNumber="1" containsInteger="1" minValue="0" maxValue="20"/>
    </cacheField>
    <cacheField name="DiscountAmount" numFmtId="0">
      <sharedItems containsSemiMixedTypes="0" containsString="0" containsNumber="1" minValue="0" maxValue="49241"/>
    </cacheField>
    <cacheField name="Tax" numFmtId="0">
      <sharedItems containsSemiMixedTypes="0" containsString="0" containsNumber="1" minValue="104.58" maxValue="44473.5"/>
    </cacheField>
    <cacheField name="ShippingCost" numFmtId="0">
      <sharedItems containsSemiMixedTypes="0" containsString="0" containsNumber="1" containsInteger="1" minValue="0" maxValue="499"/>
    </cacheField>
    <cacheField name="TotalAmount" numFmtId="0">
      <sharedItems containsSemiMixedTypes="0" containsString="0" containsNumber="1" minValue="704.58" maxValue="291645.5"/>
    </cacheField>
    <cacheField name="PaymentMethod" numFmtId="0">
      <sharedItems count="4">
        <s v="Net Banking"/>
        <s v="Cash on Delivery"/>
        <s v="UPI"/>
        <s v="Card"/>
      </sharedItems>
    </cacheField>
    <cacheField name="OrderChannel" numFmtId="0">
      <sharedItems count="2">
        <s v="Website"/>
        <s v="Mobile App"/>
      </sharedItems>
    </cacheField>
    <cacheField name="City" numFmtId="0">
      <sharedItems/>
    </cacheField>
    <cacheField name="State" numFmtId="0">
      <sharedItems count="6">
        <s v="Maharashtra"/>
        <s v="Punjab"/>
        <s v="Rajasthan"/>
        <s v="Karnataka"/>
        <s v="Uttar Pradesh"/>
        <s v="Delhi"/>
      </sharedItems>
    </cacheField>
    <cacheField name="Region" numFmtId="0">
      <sharedItems count="3">
        <s v="West"/>
        <s v="North"/>
        <s v="South"/>
      </sharedItems>
    </cacheField>
    <cacheField name="DeliveryDays" numFmtId="0">
      <sharedItems containsSemiMixedTypes="0" containsString="0" containsNumber="1" containsInteger="1" minValue="1" maxValue="10"/>
    </cacheField>
    <cacheField name="ReturnStatus" numFmtId="0">
      <sharedItems count="2">
        <s v="No Return"/>
        <s v="Returned"/>
      </sharedItems>
    </cacheField>
    <cacheField name="Rating" numFmtId="0">
      <sharedItems containsSemiMixedTypes="0" containsString="0" containsNumber="1" containsInteger="1" minValue="1" maxValue="5"/>
    </cacheField>
    <cacheField name="Status" numFmtId="0">
      <sharedItems/>
    </cacheField>
    <cacheField name="Months (OrderDate)" numFmtId="0" databaseField="0">
      <fieldGroup base="1">
        <rangePr groupBy="months" startDate="2025-04-10T00:00:00" endDate="2026-04-10T00:00:00"/>
        <groupItems count="14">
          <s v="&lt;4/10/2025"/>
          <s v="Jan"/>
          <s v="Feb"/>
          <s v="Mar"/>
          <s v="Apr"/>
          <s v="May"/>
          <s v="Jun"/>
          <s v="Jul"/>
          <s v="Aug"/>
          <s v="Sep"/>
          <s v="Oct"/>
          <s v="Nov"/>
          <s v="Dec"/>
          <s v="&gt;4/10/2026"/>
        </groupItems>
      </fieldGroup>
    </cacheField>
    <cacheField name="Quarters (OrderDate)" numFmtId="0" databaseField="0">
      <fieldGroup base="1">
        <rangePr groupBy="quarters" startDate="2025-04-10T00:00:00" endDate="2026-04-10T00:00:00"/>
        <groupItems count="6">
          <s v="&lt;4/10/2025"/>
          <s v="Qtr1"/>
          <s v="Qtr2"/>
          <s v="Qtr3"/>
          <s v="Qtr4"/>
          <s v="&gt;4/10/2026"/>
        </groupItems>
      </fieldGroup>
    </cacheField>
    <cacheField name="Years (OrderDate)" numFmtId="0" databaseField="0">
      <fieldGroup base="1">
        <rangePr groupBy="years" startDate="2025-04-10T00:00:00" endDate="2026-04-10T00:00:00"/>
        <groupItems count="4">
          <s v="&lt;4/10/2025"/>
          <s v="2025"/>
          <s v="2026"/>
          <s v="&gt;4/10/2026"/>
        </groupItems>
      </fieldGroup>
    </cacheField>
  </cacheFields>
  <extLst>
    <ext xmlns:x14="http://schemas.microsoft.com/office/spreadsheetml/2009/9/main" uri="{725AE2AE-9491-48be-B2B4-4EB974FC3084}">
      <x14:pivotCacheDefinition pivotCacheId="1970605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s v="CUST883"/>
    <s v="Rahul"/>
    <x v="0"/>
    <n v="35"/>
    <x v="0"/>
    <x v="0"/>
    <x v="0"/>
    <x v="0"/>
    <n v="2"/>
    <n v="24446"/>
    <n v="5"/>
    <n v="2444.6"/>
    <n v="8360.5300000000007"/>
    <n v="310"/>
    <n v="55117.93"/>
    <x v="0"/>
    <x v="0"/>
    <s v="Mumbai"/>
    <x v="0"/>
    <x v="0"/>
    <n v="1"/>
    <x v="0"/>
    <n v="1"/>
    <s v="Delivered"/>
  </r>
  <r>
    <s v="ORD00002"/>
    <x v="1"/>
    <s v="CUST657"/>
    <s v="Neha"/>
    <x v="1"/>
    <n v="45"/>
    <x v="1"/>
    <x v="0"/>
    <x v="1"/>
    <x v="0"/>
    <n v="2"/>
    <n v="18047"/>
    <n v="20"/>
    <n v="7218.8"/>
    <n v="5197.54"/>
    <n v="363"/>
    <n v="34435.74"/>
    <x v="1"/>
    <x v="0"/>
    <s v="Pune"/>
    <x v="0"/>
    <x v="0"/>
    <n v="4"/>
    <x v="0"/>
    <n v="1"/>
    <s v="Returned"/>
  </r>
  <r>
    <s v="ORD00003"/>
    <x v="2"/>
    <s v="CUST546"/>
    <s v="Arjun"/>
    <x v="0"/>
    <n v="29"/>
    <x v="2"/>
    <x v="1"/>
    <x v="2"/>
    <x v="1"/>
    <n v="2"/>
    <n v="15876"/>
    <n v="5"/>
    <n v="1587.6"/>
    <n v="5429.59"/>
    <n v="156"/>
    <n v="35749.99"/>
    <x v="2"/>
    <x v="0"/>
    <s v="Chandigarh"/>
    <x v="1"/>
    <x v="1"/>
    <n v="3"/>
    <x v="0"/>
    <n v="4"/>
    <s v="Cancelled"/>
  </r>
  <r>
    <s v="ORD00004"/>
    <x v="3"/>
    <s v="CUST355"/>
    <s v="Priya"/>
    <x v="0"/>
    <n v="18"/>
    <x v="1"/>
    <x v="0"/>
    <x v="1"/>
    <x v="2"/>
    <n v="4"/>
    <n v="22930"/>
    <n v="15"/>
    <n v="13758"/>
    <n v="14033.16"/>
    <n v="264"/>
    <n v="92259.16"/>
    <x v="1"/>
    <x v="1"/>
    <s v="Chandigarh"/>
    <x v="1"/>
    <x v="1"/>
    <n v="10"/>
    <x v="0"/>
    <n v="2"/>
    <s v="Delivered"/>
  </r>
  <r>
    <s v="ORD00005"/>
    <x v="4"/>
    <s v="CUST595"/>
    <s v="Vikas"/>
    <x v="1"/>
    <n v="22"/>
    <x v="3"/>
    <x v="2"/>
    <x v="3"/>
    <x v="3"/>
    <n v="3"/>
    <n v="28947"/>
    <n v="10"/>
    <n v="8684.1"/>
    <n v="14068.24"/>
    <n v="398"/>
    <n v="92623.14"/>
    <x v="0"/>
    <x v="1"/>
    <s v="Patiala"/>
    <x v="1"/>
    <x v="1"/>
    <n v="6"/>
    <x v="0"/>
    <n v="2"/>
    <s v="Delivered"/>
  </r>
  <r>
    <s v="ORD00006"/>
    <x v="5"/>
    <s v="CUST587"/>
    <s v="Sneha"/>
    <x v="1"/>
    <n v="45"/>
    <x v="4"/>
    <x v="0"/>
    <x v="4"/>
    <x v="4"/>
    <n v="5"/>
    <n v="5222"/>
    <n v="10"/>
    <n v="2611"/>
    <n v="4229.82"/>
    <n v="392"/>
    <n v="28120.82"/>
    <x v="0"/>
    <x v="1"/>
    <s v="Jaipur"/>
    <x v="2"/>
    <x v="1"/>
    <n v="6"/>
    <x v="0"/>
    <n v="3"/>
    <s v="Delivered"/>
  </r>
  <r>
    <s v="ORD00007"/>
    <x v="6"/>
    <s v="CUST842"/>
    <s v="Amit"/>
    <x v="0"/>
    <n v="42"/>
    <x v="0"/>
    <x v="0"/>
    <x v="0"/>
    <x v="2"/>
    <n v="3"/>
    <n v="47976"/>
    <n v="10"/>
    <n v="14392.8"/>
    <n v="23316.34"/>
    <n v="272"/>
    <n v="153123.54"/>
    <x v="1"/>
    <x v="1"/>
    <s v="Mumbai"/>
    <x v="0"/>
    <x v="0"/>
    <n v="7"/>
    <x v="1"/>
    <n v="1"/>
    <s v="Returned"/>
  </r>
  <r>
    <s v="ORD00008"/>
    <x v="7"/>
    <s v="CUST666"/>
    <s v="Arjun"/>
    <x v="1"/>
    <n v="28"/>
    <x v="1"/>
    <x v="0"/>
    <x v="1"/>
    <x v="3"/>
    <n v="1"/>
    <n v="15216"/>
    <n v="10"/>
    <n v="1521.6"/>
    <n v="2464.9899999999998"/>
    <n v="366"/>
    <n v="16525.39"/>
    <x v="3"/>
    <x v="0"/>
    <s v="Bangalore"/>
    <x v="3"/>
    <x v="2"/>
    <n v="3"/>
    <x v="0"/>
    <n v="4"/>
    <s v="Returned"/>
  </r>
  <r>
    <s v="ORD00009"/>
    <x v="8"/>
    <s v="CUST794"/>
    <s v="Karan"/>
    <x v="1"/>
    <n v="52"/>
    <x v="5"/>
    <x v="0"/>
    <x v="5"/>
    <x v="4"/>
    <n v="3"/>
    <n v="39902"/>
    <n v="0"/>
    <n v="0"/>
    <n v="21547.08"/>
    <n v="82"/>
    <n v="141335.07999999999"/>
    <x v="2"/>
    <x v="0"/>
    <s v="Bangalore"/>
    <x v="3"/>
    <x v="2"/>
    <n v="8"/>
    <x v="0"/>
    <n v="4"/>
    <s v="Shipped"/>
  </r>
  <r>
    <s v="ORD00010"/>
    <x v="9"/>
    <s v="CUST126"/>
    <s v="Karan"/>
    <x v="0"/>
    <n v="32"/>
    <x v="6"/>
    <x v="0"/>
    <x v="6"/>
    <x v="0"/>
    <n v="5"/>
    <n v="20474"/>
    <n v="5"/>
    <n v="5118.5"/>
    <n v="17505.27"/>
    <n v="217"/>
    <n v="114973.77"/>
    <x v="3"/>
    <x v="1"/>
    <s v="Lucknow"/>
    <x v="4"/>
    <x v="1"/>
    <n v="7"/>
    <x v="0"/>
    <n v="5"/>
    <s v="Shipped"/>
  </r>
  <r>
    <s v="ORD00011"/>
    <x v="10"/>
    <s v="CUST244"/>
    <s v="Amit"/>
    <x v="1"/>
    <n v="22"/>
    <x v="7"/>
    <x v="1"/>
    <x v="7"/>
    <x v="2"/>
    <n v="5"/>
    <n v="33495"/>
    <n v="0"/>
    <n v="0"/>
    <n v="30145.5"/>
    <n v="336"/>
    <n v="197956.5"/>
    <x v="3"/>
    <x v="0"/>
    <s v="Bangalore"/>
    <x v="3"/>
    <x v="2"/>
    <n v="10"/>
    <x v="0"/>
    <n v="4"/>
    <s v="Returned"/>
  </r>
  <r>
    <s v="ORD00012"/>
    <x v="11"/>
    <s v="CUST221"/>
    <s v="Arjun"/>
    <x v="0"/>
    <n v="58"/>
    <x v="0"/>
    <x v="0"/>
    <x v="0"/>
    <x v="5"/>
    <n v="5"/>
    <n v="28508"/>
    <n v="0"/>
    <n v="0"/>
    <n v="25657.200000000001"/>
    <n v="8"/>
    <n v="168205.2"/>
    <x v="0"/>
    <x v="0"/>
    <s v="Delhi"/>
    <x v="5"/>
    <x v="1"/>
    <n v="4"/>
    <x v="1"/>
    <n v="1"/>
    <s v="Returned"/>
  </r>
  <r>
    <s v="ORD00013"/>
    <x v="12"/>
    <s v="CUST100"/>
    <s v="Vikas"/>
    <x v="0"/>
    <n v="25"/>
    <x v="6"/>
    <x v="0"/>
    <x v="6"/>
    <x v="3"/>
    <n v="3"/>
    <n v="25199"/>
    <n v="10"/>
    <n v="7559.7"/>
    <n v="12246.71"/>
    <n v="373"/>
    <n v="80657.009999999995"/>
    <x v="2"/>
    <x v="1"/>
    <s v="Lucknow"/>
    <x v="4"/>
    <x v="1"/>
    <n v="6"/>
    <x v="0"/>
    <n v="4"/>
    <s v="Returned"/>
  </r>
  <r>
    <s v="ORD00014"/>
    <x v="13"/>
    <s v="CUST256"/>
    <s v="Anjali"/>
    <x v="0"/>
    <n v="22"/>
    <x v="2"/>
    <x v="1"/>
    <x v="2"/>
    <x v="2"/>
    <n v="3"/>
    <n v="528"/>
    <n v="5"/>
    <n v="79.2"/>
    <n v="270.86"/>
    <n v="489"/>
    <n v="2264.66"/>
    <x v="3"/>
    <x v="1"/>
    <s v="Jaipur"/>
    <x v="2"/>
    <x v="1"/>
    <n v="7"/>
    <x v="1"/>
    <n v="5"/>
    <s v="Delivered"/>
  </r>
  <r>
    <s v="ORD00015"/>
    <x v="14"/>
    <s v="CUST217"/>
    <s v="Riya"/>
    <x v="1"/>
    <n v="19"/>
    <x v="0"/>
    <x v="0"/>
    <x v="0"/>
    <x v="6"/>
    <n v="2"/>
    <n v="4978"/>
    <n v="10"/>
    <n v="995.6"/>
    <n v="1612.87"/>
    <n v="228"/>
    <n v="10801.27"/>
    <x v="0"/>
    <x v="1"/>
    <s v="Jaipur"/>
    <x v="2"/>
    <x v="1"/>
    <n v="8"/>
    <x v="1"/>
    <n v="3"/>
    <s v="Shipped"/>
  </r>
  <r>
    <s v="ORD00016"/>
    <x v="15"/>
    <s v="CUST814"/>
    <s v="Anjali"/>
    <x v="1"/>
    <n v="51"/>
    <x v="4"/>
    <x v="0"/>
    <x v="4"/>
    <x v="5"/>
    <n v="5"/>
    <n v="46989"/>
    <n v="10"/>
    <n v="23494.5"/>
    <n v="38061.089999999997"/>
    <n v="201"/>
    <n v="249712.59"/>
    <x v="2"/>
    <x v="0"/>
    <s v="Bangalore"/>
    <x v="3"/>
    <x v="2"/>
    <n v="9"/>
    <x v="1"/>
    <n v="4"/>
    <s v="Delivered"/>
  </r>
  <r>
    <s v="ORD00017"/>
    <x v="16"/>
    <s v="CUST829"/>
    <s v="Riya"/>
    <x v="0"/>
    <n v="31"/>
    <x v="3"/>
    <x v="2"/>
    <x v="3"/>
    <x v="3"/>
    <n v="1"/>
    <n v="48667"/>
    <n v="5"/>
    <n v="2433.35"/>
    <n v="8322.06"/>
    <n v="58"/>
    <n v="54613.71"/>
    <x v="3"/>
    <x v="1"/>
    <s v="Bangalore"/>
    <x v="3"/>
    <x v="2"/>
    <n v="1"/>
    <x v="1"/>
    <n v="2"/>
    <s v="Shipped"/>
  </r>
  <r>
    <s v="ORD00018"/>
    <x v="17"/>
    <s v="CUST196"/>
    <s v="Vikas"/>
    <x v="0"/>
    <n v="31"/>
    <x v="6"/>
    <x v="0"/>
    <x v="6"/>
    <x v="1"/>
    <n v="3"/>
    <n v="33636"/>
    <n v="10"/>
    <n v="10090.799999999999"/>
    <n v="16347.1"/>
    <n v="272"/>
    <n v="107436.3"/>
    <x v="3"/>
    <x v="0"/>
    <s v="Jaipur"/>
    <x v="2"/>
    <x v="1"/>
    <n v="1"/>
    <x v="0"/>
    <n v="3"/>
    <s v="Delivered"/>
  </r>
  <r>
    <s v="ORD00019"/>
    <x v="18"/>
    <s v="CUST776"/>
    <s v="Vikas"/>
    <x v="1"/>
    <n v="55"/>
    <x v="2"/>
    <x v="1"/>
    <x v="2"/>
    <x v="1"/>
    <n v="3"/>
    <n v="40213"/>
    <n v="15"/>
    <n v="18095.849999999999"/>
    <n v="18457.77"/>
    <n v="371"/>
    <n v="121371.92"/>
    <x v="0"/>
    <x v="0"/>
    <s v="Chandigarh"/>
    <x v="1"/>
    <x v="1"/>
    <n v="6"/>
    <x v="1"/>
    <n v="4"/>
    <s v="Returned"/>
  </r>
  <r>
    <s v="ORD00020"/>
    <x v="19"/>
    <s v="CUST822"/>
    <s v="Riya"/>
    <x v="0"/>
    <n v="36"/>
    <x v="2"/>
    <x v="1"/>
    <x v="2"/>
    <x v="5"/>
    <n v="4"/>
    <n v="7214"/>
    <n v="5"/>
    <n v="1442.8"/>
    <n v="4934.38"/>
    <n v="443"/>
    <n v="32790.58"/>
    <x v="0"/>
    <x v="1"/>
    <s v="Lucknow"/>
    <x v="4"/>
    <x v="1"/>
    <n v="9"/>
    <x v="0"/>
    <n v="5"/>
    <s v="Returned"/>
  </r>
  <r>
    <s v="ORD00021"/>
    <x v="20"/>
    <s v="CUST383"/>
    <s v="Riya"/>
    <x v="1"/>
    <n v="54"/>
    <x v="0"/>
    <x v="0"/>
    <x v="0"/>
    <x v="7"/>
    <n v="2"/>
    <n v="33517"/>
    <n v="0"/>
    <n v="0"/>
    <n v="12066.12"/>
    <n v="341"/>
    <n v="79441.119999999995"/>
    <x v="3"/>
    <x v="1"/>
    <s v="Jaipur"/>
    <x v="2"/>
    <x v="1"/>
    <n v="5"/>
    <x v="1"/>
    <n v="3"/>
    <s v="Cancelled"/>
  </r>
  <r>
    <s v="ORD00022"/>
    <x v="21"/>
    <s v="CUST330"/>
    <s v="Priya"/>
    <x v="0"/>
    <n v="45"/>
    <x v="3"/>
    <x v="2"/>
    <x v="3"/>
    <x v="5"/>
    <n v="1"/>
    <n v="29256"/>
    <n v="15"/>
    <n v="4388.3999999999996"/>
    <n v="4476.17"/>
    <n v="37"/>
    <n v="29380.77"/>
    <x v="3"/>
    <x v="1"/>
    <s v="Lucknow"/>
    <x v="4"/>
    <x v="1"/>
    <n v="9"/>
    <x v="0"/>
    <n v="4"/>
    <s v="Cancelled"/>
  </r>
  <r>
    <s v="ORD00023"/>
    <x v="22"/>
    <s v="CUST478"/>
    <s v="Vikas"/>
    <x v="0"/>
    <n v="31"/>
    <x v="1"/>
    <x v="0"/>
    <x v="1"/>
    <x v="3"/>
    <n v="1"/>
    <n v="36299"/>
    <n v="10"/>
    <n v="3629.9"/>
    <n v="5880.44"/>
    <n v="385"/>
    <n v="38934.54"/>
    <x v="2"/>
    <x v="0"/>
    <s v="Pune"/>
    <x v="0"/>
    <x v="0"/>
    <n v="1"/>
    <x v="0"/>
    <n v="1"/>
    <s v="Cancelled"/>
  </r>
  <r>
    <s v="ORD00024"/>
    <x v="23"/>
    <s v="CUST158"/>
    <s v="Amit"/>
    <x v="1"/>
    <n v="56"/>
    <x v="4"/>
    <x v="0"/>
    <x v="4"/>
    <x v="1"/>
    <n v="3"/>
    <n v="24675"/>
    <n v="15"/>
    <n v="11103.75"/>
    <n v="11325.82"/>
    <n v="294"/>
    <n v="74541.070000000007"/>
    <x v="3"/>
    <x v="1"/>
    <s v="Lucknow"/>
    <x v="4"/>
    <x v="1"/>
    <n v="4"/>
    <x v="0"/>
    <n v="4"/>
    <s v="Delivered"/>
  </r>
  <r>
    <s v="ORD00025"/>
    <x v="24"/>
    <s v="CUST442"/>
    <s v="Anjali"/>
    <x v="0"/>
    <n v="30"/>
    <x v="8"/>
    <x v="0"/>
    <x v="8"/>
    <x v="7"/>
    <n v="5"/>
    <n v="1082"/>
    <n v="20"/>
    <n v="1082"/>
    <n v="779.04"/>
    <n v="274"/>
    <n v="5381.04"/>
    <x v="1"/>
    <x v="0"/>
    <s v="Mumbai"/>
    <x v="0"/>
    <x v="0"/>
    <n v="2"/>
    <x v="0"/>
    <n v="2"/>
    <s v="Shipped"/>
  </r>
  <r>
    <s v="ORD00026"/>
    <x v="25"/>
    <s v="CUST924"/>
    <s v="Sneha"/>
    <x v="1"/>
    <n v="48"/>
    <x v="0"/>
    <x v="0"/>
    <x v="0"/>
    <x v="5"/>
    <n v="2"/>
    <n v="971"/>
    <n v="20"/>
    <n v="388.4"/>
    <n v="279.64999999999998"/>
    <n v="249"/>
    <n v="2082.25"/>
    <x v="3"/>
    <x v="1"/>
    <s v="Mumbai"/>
    <x v="0"/>
    <x v="0"/>
    <n v="7"/>
    <x v="0"/>
    <n v="2"/>
    <s v="Delivered"/>
  </r>
  <r>
    <s v="ORD00027"/>
    <x v="26"/>
    <s v="CUST380"/>
    <s v="Riya"/>
    <x v="0"/>
    <n v="43"/>
    <x v="9"/>
    <x v="0"/>
    <x v="9"/>
    <x v="1"/>
    <n v="2"/>
    <n v="12340"/>
    <n v="10"/>
    <n v="2468"/>
    <n v="3998.16"/>
    <n v="380"/>
    <n v="26590.16"/>
    <x v="2"/>
    <x v="1"/>
    <s v="Jaipur"/>
    <x v="2"/>
    <x v="1"/>
    <n v="3"/>
    <x v="0"/>
    <n v="1"/>
    <s v="Delivered"/>
  </r>
  <r>
    <s v="ORD00028"/>
    <x v="27"/>
    <s v="CUST512"/>
    <s v="Arjun"/>
    <x v="0"/>
    <n v="44"/>
    <x v="6"/>
    <x v="0"/>
    <x v="6"/>
    <x v="7"/>
    <n v="4"/>
    <n v="3291"/>
    <n v="5"/>
    <n v="658.2"/>
    <n v="2251.04"/>
    <n v="242"/>
    <n v="14998.84"/>
    <x v="0"/>
    <x v="1"/>
    <s v="Jaipur"/>
    <x v="2"/>
    <x v="1"/>
    <n v="1"/>
    <x v="0"/>
    <n v="3"/>
    <s v="Returned"/>
  </r>
  <r>
    <s v="ORD00029"/>
    <x v="28"/>
    <s v="CUST349"/>
    <s v="Rahul"/>
    <x v="1"/>
    <n v="19"/>
    <x v="8"/>
    <x v="0"/>
    <x v="8"/>
    <x v="7"/>
    <n v="3"/>
    <n v="44392"/>
    <n v="0"/>
    <n v="0"/>
    <n v="23971.68"/>
    <n v="464"/>
    <n v="157611.68"/>
    <x v="0"/>
    <x v="0"/>
    <s v="Pune"/>
    <x v="0"/>
    <x v="0"/>
    <n v="9"/>
    <x v="1"/>
    <n v="2"/>
    <s v="Cancelled"/>
  </r>
  <r>
    <s v="ORD00030"/>
    <x v="29"/>
    <s v="CUST583"/>
    <s v="Riya"/>
    <x v="1"/>
    <n v="59"/>
    <x v="6"/>
    <x v="0"/>
    <x v="6"/>
    <x v="3"/>
    <n v="2"/>
    <n v="40547"/>
    <n v="20"/>
    <n v="16218.8"/>
    <n v="11677.54"/>
    <n v="177"/>
    <n v="76729.740000000005"/>
    <x v="1"/>
    <x v="0"/>
    <s v="Lucknow"/>
    <x v="4"/>
    <x v="1"/>
    <n v="2"/>
    <x v="1"/>
    <n v="3"/>
    <s v="Cancelled"/>
  </r>
  <r>
    <s v="ORD00031"/>
    <x v="30"/>
    <s v="CUST279"/>
    <s v="Karan"/>
    <x v="0"/>
    <n v="60"/>
    <x v="0"/>
    <x v="0"/>
    <x v="0"/>
    <x v="1"/>
    <n v="5"/>
    <n v="31394"/>
    <n v="0"/>
    <n v="0"/>
    <n v="28254.6"/>
    <n v="446"/>
    <n v="185670.6"/>
    <x v="1"/>
    <x v="0"/>
    <s v="Bangalore"/>
    <x v="3"/>
    <x v="2"/>
    <n v="3"/>
    <x v="0"/>
    <n v="2"/>
    <s v="Cancelled"/>
  </r>
  <r>
    <s v="ORD00032"/>
    <x v="31"/>
    <s v="CUST354"/>
    <s v="Karan"/>
    <x v="0"/>
    <n v="57"/>
    <x v="5"/>
    <x v="0"/>
    <x v="5"/>
    <x v="8"/>
    <n v="2"/>
    <n v="35379"/>
    <n v="0"/>
    <n v="0"/>
    <n v="12736.44"/>
    <n v="53"/>
    <n v="83547.44"/>
    <x v="2"/>
    <x v="1"/>
    <s v="Pune"/>
    <x v="0"/>
    <x v="0"/>
    <n v="4"/>
    <x v="0"/>
    <n v="4"/>
    <s v="Cancelled"/>
  </r>
  <r>
    <s v="ORD00033"/>
    <x v="32"/>
    <s v="CUST837"/>
    <s v="Karan"/>
    <x v="0"/>
    <n v="54"/>
    <x v="2"/>
    <x v="1"/>
    <x v="2"/>
    <x v="2"/>
    <n v="1"/>
    <n v="35566"/>
    <n v="20"/>
    <n v="7113.2"/>
    <n v="5121.5"/>
    <n v="467"/>
    <n v="34041.300000000003"/>
    <x v="1"/>
    <x v="0"/>
    <s v="Bangalore"/>
    <x v="3"/>
    <x v="2"/>
    <n v="5"/>
    <x v="0"/>
    <n v="2"/>
    <s v="Delivered"/>
  </r>
  <r>
    <s v="ORD00034"/>
    <x v="33"/>
    <s v="CUST450"/>
    <s v="Vikas"/>
    <x v="1"/>
    <n v="47"/>
    <x v="5"/>
    <x v="0"/>
    <x v="5"/>
    <x v="8"/>
    <n v="1"/>
    <n v="20264"/>
    <n v="15"/>
    <n v="3039.6"/>
    <n v="3100.39"/>
    <n v="365"/>
    <n v="20689.79"/>
    <x v="0"/>
    <x v="0"/>
    <s v="Delhi"/>
    <x v="5"/>
    <x v="1"/>
    <n v="10"/>
    <x v="1"/>
    <n v="2"/>
    <s v="Shipped"/>
  </r>
  <r>
    <s v="ORD00035"/>
    <x v="34"/>
    <s v="CUST697"/>
    <s v="Priya"/>
    <x v="1"/>
    <n v="37"/>
    <x v="1"/>
    <x v="0"/>
    <x v="1"/>
    <x v="7"/>
    <n v="3"/>
    <n v="32124"/>
    <n v="5"/>
    <n v="4818.6000000000004"/>
    <n v="16479.61"/>
    <n v="285"/>
    <n v="108318.01"/>
    <x v="0"/>
    <x v="0"/>
    <s v="Delhi"/>
    <x v="5"/>
    <x v="1"/>
    <n v="9"/>
    <x v="0"/>
    <n v="2"/>
    <s v="Shipped"/>
  </r>
  <r>
    <s v="ORD00036"/>
    <x v="35"/>
    <s v="CUST292"/>
    <s v="Karan"/>
    <x v="0"/>
    <n v="53"/>
    <x v="2"/>
    <x v="1"/>
    <x v="2"/>
    <x v="8"/>
    <n v="5"/>
    <n v="18427"/>
    <n v="5"/>
    <n v="4606.75"/>
    <n v="15755.08"/>
    <n v="210"/>
    <n v="103493.33"/>
    <x v="2"/>
    <x v="0"/>
    <s v="Bangalore"/>
    <x v="3"/>
    <x v="2"/>
    <n v="9"/>
    <x v="1"/>
    <n v="2"/>
    <s v="Returned"/>
  </r>
  <r>
    <s v="ORD00037"/>
    <x v="36"/>
    <s v="CUST537"/>
    <s v="Rahul"/>
    <x v="1"/>
    <n v="57"/>
    <x v="7"/>
    <x v="1"/>
    <x v="7"/>
    <x v="6"/>
    <n v="5"/>
    <n v="43320"/>
    <n v="10"/>
    <n v="21660"/>
    <n v="35089.199999999997"/>
    <n v="103"/>
    <n v="230132.2"/>
    <x v="2"/>
    <x v="1"/>
    <s v="Jaipur"/>
    <x v="2"/>
    <x v="1"/>
    <n v="5"/>
    <x v="0"/>
    <n v="5"/>
    <s v="Returned"/>
  </r>
  <r>
    <s v="ORD00038"/>
    <x v="37"/>
    <s v="CUST800"/>
    <s v="Riya"/>
    <x v="0"/>
    <n v="52"/>
    <x v="0"/>
    <x v="0"/>
    <x v="0"/>
    <x v="8"/>
    <n v="2"/>
    <n v="2134"/>
    <n v="0"/>
    <n v="0"/>
    <n v="768.24"/>
    <n v="266"/>
    <n v="5302.24"/>
    <x v="3"/>
    <x v="1"/>
    <s v="Mumbai"/>
    <x v="0"/>
    <x v="0"/>
    <n v="10"/>
    <x v="0"/>
    <n v="2"/>
    <s v="Cancelled"/>
  </r>
  <r>
    <s v="ORD00039"/>
    <x v="38"/>
    <s v="CUST563"/>
    <s v="Amit"/>
    <x v="0"/>
    <n v="50"/>
    <x v="2"/>
    <x v="1"/>
    <x v="2"/>
    <x v="5"/>
    <n v="2"/>
    <n v="46564"/>
    <n v="0"/>
    <n v="0"/>
    <n v="16763.04"/>
    <n v="299"/>
    <n v="110190.04"/>
    <x v="2"/>
    <x v="0"/>
    <s v="Pune"/>
    <x v="0"/>
    <x v="0"/>
    <n v="10"/>
    <x v="0"/>
    <n v="3"/>
    <s v="Cancelled"/>
  </r>
  <r>
    <s v="ORD00040"/>
    <x v="39"/>
    <s v="CUST723"/>
    <s v="Vikas"/>
    <x v="0"/>
    <n v="50"/>
    <x v="1"/>
    <x v="0"/>
    <x v="1"/>
    <x v="3"/>
    <n v="1"/>
    <n v="18376"/>
    <n v="15"/>
    <n v="2756.4"/>
    <n v="2811.53"/>
    <n v="486"/>
    <n v="18917.13"/>
    <x v="0"/>
    <x v="0"/>
    <s v="Patiala"/>
    <x v="1"/>
    <x v="1"/>
    <n v="4"/>
    <x v="0"/>
    <n v="2"/>
    <s v="Shipped"/>
  </r>
  <r>
    <s v="ORD00041"/>
    <x v="40"/>
    <s v="CUST427"/>
    <s v="Priya"/>
    <x v="0"/>
    <n v="31"/>
    <x v="4"/>
    <x v="0"/>
    <x v="4"/>
    <x v="7"/>
    <n v="4"/>
    <n v="27754"/>
    <n v="20"/>
    <n v="22203.200000000001"/>
    <n v="15986.3"/>
    <n v="275"/>
    <n v="105074.1"/>
    <x v="1"/>
    <x v="0"/>
    <s v="Jaipur"/>
    <x v="2"/>
    <x v="1"/>
    <n v="9"/>
    <x v="0"/>
    <n v="3"/>
    <s v="Cancelled"/>
  </r>
  <r>
    <s v="ORD00042"/>
    <x v="41"/>
    <s v="CUST496"/>
    <s v="Anjali"/>
    <x v="0"/>
    <n v="48"/>
    <x v="2"/>
    <x v="1"/>
    <x v="2"/>
    <x v="2"/>
    <n v="1"/>
    <n v="13832"/>
    <n v="5"/>
    <n v="691.6"/>
    <n v="2365.27"/>
    <n v="391"/>
    <n v="15896.67"/>
    <x v="2"/>
    <x v="0"/>
    <s v="Chandigarh"/>
    <x v="1"/>
    <x v="1"/>
    <n v="7"/>
    <x v="0"/>
    <n v="2"/>
    <s v="Delivered"/>
  </r>
  <r>
    <s v="ORD00043"/>
    <x v="42"/>
    <s v="CUST930"/>
    <s v="Priya"/>
    <x v="1"/>
    <n v="57"/>
    <x v="9"/>
    <x v="0"/>
    <x v="9"/>
    <x v="6"/>
    <n v="2"/>
    <n v="48320"/>
    <n v="0"/>
    <n v="0"/>
    <n v="17395.2"/>
    <n v="415"/>
    <n v="114450.2"/>
    <x v="3"/>
    <x v="0"/>
    <s v="Chandigarh"/>
    <x v="1"/>
    <x v="1"/>
    <n v="1"/>
    <x v="1"/>
    <n v="4"/>
    <s v="Delivered"/>
  </r>
  <r>
    <s v="ORD00044"/>
    <x v="20"/>
    <s v="CUST320"/>
    <s v="Arjun"/>
    <x v="1"/>
    <n v="35"/>
    <x v="5"/>
    <x v="0"/>
    <x v="5"/>
    <x v="5"/>
    <n v="1"/>
    <n v="2598"/>
    <n v="5"/>
    <n v="129.9"/>
    <n v="444.26"/>
    <n v="414"/>
    <n v="3326.36"/>
    <x v="1"/>
    <x v="0"/>
    <s v="Lucknow"/>
    <x v="4"/>
    <x v="1"/>
    <n v="7"/>
    <x v="1"/>
    <n v="2"/>
    <s v="Shipped"/>
  </r>
  <r>
    <s v="ORD00045"/>
    <x v="16"/>
    <s v="CUST558"/>
    <s v="Rahul"/>
    <x v="0"/>
    <n v="27"/>
    <x v="1"/>
    <x v="0"/>
    <x v="1"/>
    <x v="1"/>
    <n v="4"/>
    <n v="46065"/>
    <n v="10"/>
    <n v="18426"/>
    <n v="29850.12"/>
    <n v="96"/>
    <n v="195780.12"/>
    <x v="2"/>
    <x v="1"/>
    <s v="Chandigarh"/>
    <x v="1"/>
    <x v="1"/>
    <n v="5"/>
    <x v="1"/>
    <n v="1"/>
    <s v="Shipped"/>
  </r>
  <r>
    <s v="ORD00046"/>
    <x v="43"/>
    <s v="CUST991"/>
    <s v="Vikas"/>
    <x v="1"/>
    <n v="57"/>
    <x v="7"/>
    <x v="1"/>
    <x v="7"/>
    <x v="0"/>
    <n v="2"/>
    <n v="33957"/>
    <n v="15"/>
    <n v="10187.1"/>
    <n v="10390.84"/>
    <n v="493"/>
    <n v="68610.740000000005"/>
    <x v="3"/>
    <x v="1"/>
    <s v="Mumbai"/>
    <x v="0"/>
    <x v="0"/>
    <n v="9"/>
    <x v="0"/>
    <n v="1"/>
    <s v="Delivered"/>
  </r>
  <r>
    <s v="ORD00047"/>
    <x v="44"/>
    <s v="CUST863"/>
    <s v="Anjali"/>
    <x v="1"/>
    <n v="31"/>
    <x v="6"/>
    <x v="0"/>
    <x v="6"/>
    <x v="1"/>
    <n v="4"/>
    <n v="34160"/>
    <n v="10"/>
    <n v="13664"/>
    <n v="22135.68"/>
    <n v="174"/>
    <n v="145285.68"/>
    <x v="2"/>
    <x v="1"/>
    <s v="Pune"/>
    <x v="0"/>
    <x v="0"/>
    <n v="6"/>
    <x v="0"/>
    <n v="3"/>
    <s v="Returned"/>
  </r>
  <r>
    <s v="ORD00048"/>
    <x v="2"/>
    <s v="CUST846"/>
    <s v="Priya"/>
    <x v="1"/>
    <n v="37"/>
    <x v="6"/>
    <x v="0"/>
    <x v="6"/>
    <x v="3"/>
    <n v="2"/>
    <n v="18482"/>
    <n v="15"/>
    <n v="5544.6"/>
    <n v="5655.49"/>
    <n v="78"/>
    <n v="37152.89"/>
    <x v="0"/>
    <x v="0"/>
    <s v="Lucknow"/>
    <x v="4"/>
    <x v="1"/>
    <n v="5"/>
    <x v="0"/>
    <n v="3"/>
    <s v="Shipped"/>
  </r>
  <r>
    <s v="ORD00049"/>
    <x v="45"/>
    <s v="CUST434"/>
    <s v="Neha"/>
    <x v="1"/>
    <n v="55"/>
    <x v="1"/>
    <x v="0"/>
    <x v="1"/>
    <x v="5"/>
    <n v="2"/>
    <n v="40666"/>
    <n v="10"/>
    <n v="8133.2"/>
    <n v="13175.78"/>
    <n v="334"/>
    <n v="86708.58"/>
    <x v="1"/>
    <x v="1"/>
    <s v="Patiala"/>
    <x v="1"/>
    <x v="1"/>
    <n v="8"/>
    <x v="1"/>
    <n v="5"/>
    <s v="Returned"/>
  </r>
  <r>
    <s v="ORD00050"/>
    <x v="46"/>
    <s v="CUST837"/>
    <s v="Amit"/>
    <x v="1"/>
    <n v="42"/>
    <x v="4"/>
    <x v="0"/>
    <x v="4"/>
    <x v="7"/>
    <n v="4"/>
    <n v="2535"/>
    <n v="5"/>
    <n v="507"/>
    <n v="1733.94"/>
    <n v="49"/>
    <n v="11415.94"/>
    <x v="2"/>
    <x v="0"/>
    <s v="Jaipur"/>
    <x v="2"/>
    <x v="1"/>
    <n v="3"/>
    <x v="1"/>
    <n v="1"/>
    <s v="Delivered"/>
  </r>
  <r>
    <s v="ORD00051"/>
    <x v="47"/>
    <s v="CUST678"/>
    <s v="Vikas"/>
    <x v="0"/>
    <n v="35"/>
    <x v="5"/>
    <x v="0"/>
    <x v="5"/>
    <x v="8"/>
    <n v="3"/>
    <n v="41574"/>
    <n v="20"/>
    <n v="24944.400000000001"/>
    <n v="17959.97"/>
    <n v="206"/>
    <n v="117943.57"/>
    <x v="1"/>
    <x v="0"/>
    <s v="Mumbai"/>
    <x v="0"/>
    <x v="0"/>
    <n v="10"/>
    <x v="0"/>
    <n v="3"/>
    <s v="Returned"/>
  </r>
  <r>
    <s v="ORD00052"/>
    <x v="9"/>
    <s v="CUST809"/>
    <s v="Neha"/>
    <x v="1"/>
    <n v="28"/>
    <x v="4"/>
    <x v="0"/>
    <x v="4"/>
    <x v="5"/>
    <n v="3"/>
    <n v="33177"/>
    <n v="5"/>
    <n v="4976.55"/>
    <n v="17019.8"/>
    <n v="56"/>
    <n v="111630.25"/>
    <x v="3"/>
    <x v="1"/>
    <s v="Mumbai"/>
    <x v="0"/>
    <x v="0"/>
    <n v="3"/>
    <x v="1"/>
    <n v="3"/>
    <s v="Cancelled"/>
  </r>
  <r>
    <s v="ORD00053"/>
    <x v="20"/>
    <s v="CUST615"/>
    <s v="Neha"/>
    <x v="1"/>
    <n v="47"/>
    <x v="4"/>
    <x v="0"/>
    <x v="4"/>
    <x v="8"/>
    <n v="5"/>
    <n v="1762"/>
    <n v="20"/>
    <n v="1762"/>
    <n v="1268.6400000000001"/>
    <n v="27"/>
    <n v="8343.64"/>
    <x v="0"/>
    <x v="1"/>
    <s v="Chandigarh"/>
    <x v="1"/>
    <x v="1"/>
    <n v="4"/>
    <x v="0"/>
    <n v="3"/>
    <s v="Returned"/>
  </r>
  <r>
    <s v="ORD00054"/>
    <x v="48"/>
    <s v="CUST986"/>
    <s v="Sneha"/>
    <x v="1"/>
    <n v="47"/>
    <x v="6"/>
    <x v="0"/>
    <x v="6"/>
    <x v="2"/>
    <n v="2"/>
    <n v="16428"/>
    <n v="20"/>
    <n v="6571.2"/>
    <n v="4731.26"/>
    <n v="94"/>
    <n v="31110.06"/>
    <x v="1"/>
    <x v="1"/>
    <s v="Delhi"/>
    <x v="5"/>
    <x v="1"/>
    <n v="1"/>
    <x v="0"/>
    <n v="4"/>
    <s v="Delivered"/>
  </r>
  <r>
    <s v="ORD00055"/>
    <x v="49"/>
    <s v="CUST622"/>
    <s v="Arjun"/>
    <x v="0"/>
    <n v="27"/>
    <x v="6"/>
    <x v="0"/>
    <x v="6"/>
    <x v="6"/>
    <n v="3"/>
    <n v="17615"/>
    <n v="0"/>
    <n v="0"/>
    <n v="9512.1"/>
    <n v="128"/>
    <n v="62485.1"/>
    <x v="0"/>
    <x v="0"/>
    <s v="Patiala"/>
    <x v="1"/>
    <x v="1"/>
    <n v="5"/>
    <x v="0"/>
    <n v="4"/>
    <s v="Cancelled"/>
  </r>
  <r>
    <s v="ORD00056"/>
    <x v="50"/>
    <s v="CUST279"/>
    <s v="Amit"/>
    <x v="0"/>
    <n v="50"/>
    <x v="7"/>
    <x v="1"/>
    <x v="7"/>
    <x v="0"/>
    <n v="2"/>
    <n v="18078"/>
    <n v="10"/>
    <n v="3615.6"/>
    <n v="5857.27"/>
    <n v="92"/>
    <n v="38489.67"/>
    <x v="0"/>
    <x v="1"/>
    <s v="Jaipur"/>
    <x v="2"/>
    <x v="1"/>
    <n v="9"/>
    <x v="0"/>
    <n v="2"/>
    <s v="Returned"/>
  </r>
  <r>
    <s v="ORD00057"/>
    <x v="51"/>
    <s v="CUST665"/>
    <s v="Priya"/>
    <x v="1"/>
    <n v="33"/>
    <x v="5"/>
    <x v="0"/>
    <x v="5"/>
    <x v="5"/>
    <n v="1"/>
    <n v="4209"/>
    <n v="20"/>
    <n v="841.8"/>
    <n v="606.1"/>
    <n v="108"/>
    <n v="4081.3"/>
    <x v="0"/>
    <x v="0"/>
    <s v="Jaipur"/>
    <x v="2"/>
    <x v="1"/>
    <n v="8"/>
    <x v="0"/>
    <n v="5"/>
    <s v="Shipped"/>
  </r>
  <r>
    <s v="ORD00058"/>
    <x v="52"/>
    <s v="CUST777"/>
    <s v="Vikas"/>
    <x v="0"/>
    <n v="20"/>
    <x v="5"/>
    <x v="0"/>
    <x v="5"/>
    <x v="9"/>
    <n v="5"/>
    <n v="32244"/>
    <n v="5"/>
    <n v="8061"/>
    <n v="27568.62"/>
    <n v="248"/>
    <n v="180975.62"/>
    <x v="0"/>
    <x v="0"/>
    <s v="Pune"/>
    <x v="0"/>
    <x v="0"/>
    <n v="6"/>
    <x v="0"/>
    <n v="2"/>
    <s v="Cancelled"/>
  </r>
  <r>
    <s v="ORD00059"/>
    <x v="53"/>
    <s v="CUST228"/>
    <s v="Neha"/>
    <x v="1"/>
    <n v="40"/>
    <x v="3"/>
    <x v="2"/>
    <x v="3"/>
    <x v="8"/>
    <n v="2"/>
    <n v="17758"/>
    <n v="10"/>
    <n v="3551.6"/>
    <n v="5753.59"/>
    <n v="218"/>
    <n v="37935.99"/>
    <x v="1"/>
    <x v="1"/>
    <s v="Pune"/>
    <x v="0"/>
    <x v="0"/>
    <n v="9"/>
    <x v="1"/>
    <n v="4"/>
    <s v="Cancelled"/>
  </r>
  <r>
    <s v="ORD00060"/>
    <x v="54"/>
    <s v="CUST993"/>
    <s v="Anjali"/>
    <x v="1"/>
    <n v="26"/>
    <x v="9"/>
    <x v="0"/>
    <x v="9"/>
    <x v="5"/>
    <n v="3"/>
    <n v="49447"/>
    <n v="0"/>
    <n v="0"/>
    <n v="26701.38"/>
    <n v="5"/>
    <n v="175047.38"/>
    <x v="0"/>
    <x v="0"/>
    <s v="Jaipur"/>
    <x v="2"/>
    <x v="1"/>
    <n v="3"/>
    <x v="0"/>
    <n v="1"/>
    <s v="Cancelled"/>
  </r>
  <r>
    <s v="ORD00061"/>
    <x v="55"/>
    <s v="CUST778"/>
    <s v="Anjali"/>
    <x v="0"/>
    <n v="55"/>
    <x v="6"/>
    <x v="0"/>
    <x v="6"/>
    <x v="1"/>
    <n v="4"/>
    <n v="44629"/>
    <n v="0"/>
    <n v="0"/>
    <n v="32132.880000000001"/>
    <n v="182"/>
    <n v="210830.88"/>
    <x v="3"/>
    <x v="0"/>
    <s v="Lucknow"/>
    <x v="4"/>
    <x v="1"/>
    <n v="6"/>
    <x v="1"/>
    <n v="2"/>
    <s v="Returned"/>
  </r>
  <r>
    <s v="ORD00062"/>
    <x v="56"/>
    <s v="CUST287"/>
    <s v="Priya"/>
    <x v="0"/>
    <n v="43"/>
    <x v="8"/>
    <x v="0"/>
    <x v="8"/>
    <x v="3"/>
    <n v="2"/>
    <n v="35049"/>
    <n v="10"/>
    <n v="7009.8"/>
    <n v="11355.88"/>
    <n v="249"/>
    <n v="74693.08"/>
    <x v="0"/>
    <x v="0"/>
    <s v="Mumbai"/>
    <x v="0"/>
    <x v="0"/>
    <n v="1"/>
    <x v="1"/>
    <n v="1"/>
    <s v="Cancelled"/>
  </r>
  <r>
    <s v="ORD00063"/>
    <x v="27"/>
    <s v="CUST955"/>
    <s v="Arjun"/>
    <x v="1"/>
    <n v="49"/>
    <x v="1"/>
    <x v="0"/>
    <x v="1"/>
    <x v="0"/>
    <n v="4"/>
    <n v="15260"/>
    <n v="5"/>
    <n v="3052"/>
    <n v="10437.84"/>
    <n v="466"/>
    <n v="68891.839999999997"/>
    <x v="2"/>
    <x v="0"/>
    <s v="Mumbai"/>
    <x v="0"/>
    <x v="0"/>
    <n v="2"/>
    <x v="1"/>
    <n v="2"/>
    <s v="Delivered"/>
  </r>
  <r>
    <s v="ORD00064"/>
    <x v="14"/>
    <s v="CUST551"/>
    <s v="Amit"/>
    <x v="0"/>
    <n v="24"/>
    <x v="9"/>
    <x v="0"/>
    <x v="9"/>
    <x v="7"/>
    <n v="4"/>
    <n v="45316"/>
    <n v="15"/>
    <n v="27189.599999999999"/>
    <n v="27733.39"/>
    <n v="203"/>
    <n v="182010.79"/>
    <x v="0"/>
    <x v="0"/>
    <s v="Lucknow"/>
    <x v="4"/>
    <x v="1"/>
    <n v="5"/>
    <x v="0"/>
    <n v="4"/>
    <s v="Delivered"/>
  </r>
  <r>
    <s v="ORD00065"/>
    <x v="57"/>
    <s v="CUST193"/>
    <s v="Sneha"/>
    <x v="1"/>
    <n v="34"/>
    <x v="4"/>
    <x v="0"/>
    <x v="4"/>
    <x v="4"/>
    <n v="3"/>
    <n v="1028"/>
    <n v="5"/>
    <n v="154.19999999999999"/>
    <n v="527.36"/>
    <n v="194"/>
    <n v="3651.16"/>
    <x v="3"/>
    <x v="1"/>
    <s v="Pune"/>
    <x v="0"/>
    <x v="0"/>
    <n v="2"/>
    <x v="1"/>
    <n v="2"/>
    <s v="Cancelled"/>
  </r>
  <r>
    <s v="ORD00066"/>
    <x v="58"/>
    <s v="CUST783"/>
    <s v="Neha"/>
    <x v="1"/>
    <n v="56"/>
    <x v="1"/>
    <x v="0"/>
    <x v="1"/>
    <x v="4"/>
    <n v="1"/>
    <n v="32156"/>
    <n v="10"/>
    <n v="3215.6"/>
    <n v="5209.2700000000004"/>
    <n v="312"/>
    <n v="34461.67"/>
    <x v="1"/>
    <x v="0"/>
    <s v="Lucknow"/>
    <x v="4"/>
    <x v="1"/>
    <n v="9"/>
    <x v="0"/>
    <n v="4"/>
    <s v="Returned"/>
  </r>
  <r>
    <s v="ORD00067"/>
    <x v="20"/>
    <s v="CUST284"/>
    <s v="Amit"/>
    <x v="1"/>
    <n v="23"/>
    <x v="9"/>
    <x v="0"/>
    <x v="9"/>
    <x v="0"/>
    <n v="1"/>
    <n v="33064"/>
    <n v="0"/>
    <n v="0"/>
    <n v="5951.52"/>
    <n v="426"/>
    <n v="39441.519999999997"/>
    <x v="0"/>
    <x v="0"/>
    <s v="Chandigarh"/>
    <x v="1"/>
    <x v="1"/>
    <n v="9"/>
    <x v="0"/>
    <n v="4"/>
    <s v="Cancelled"/>
  </r>
  <r>
    <s v="ORD00068"/>
    <x v="59"/>
    <s v="CUST714"/>
    <s v="Amit"/>
    <x v="0"/>
    <n v="36"/>
    <x v="2"/>
    <x v="1"/>
    <x v="2"/>
    <x v="2"/>
    <n v="1"/>
    <n v="1059"/>
    <n v="0"/>
    <n v="0"/>
    <n v="190.62"/>
    <n v="48"/>
    <n v="1297.6199999999999"/>
    <x v="2"/>
    <x v="1"/>
    <s v="Lucknow"/>
    <x v="4"/>
    <x v="1"/>
    <n v="5"/>
    <x v="0"/>
    <n v="2"/>
    <s v="Returned"/>
  </r>
  <r>
    <s v="ORD00069"/>
    <x v="60"/>
    <s v="CUST307"/>
    <s v="Arjun"/>
    <x v="0"/>
    <n v="30"/>
    <x v="7"/>
    <x v="1"/>
    <x v="7"/>
    <x v="7"/>
    <n v="4"/>
    <n v="7089"/>
    <n v="20"/>
    <n v="5671.2"/>
    <n v="4083.26"/>
    <n v="403"/>
    <n v="27171.06"/>
    <x v="0"/>
    <x v="1"/>
    <s v="Delhi"/>
    <x v="5"/>
    <x v="1"/>
    <n v="9"/>
    <x v="1"/>
    <n v="2"/>
    <s v="Delivered"/>
  </r>
  <r>
    <s v="ORD00070"/>
    <x v="61"/>
    <s v="CUST979"/>
    <s v="Vikas"/>
    <x v="0"/>
    <n v="55"/>
    <x v="8"/>
    <x v="0"/>
    <x v="8"/>
    <x v="9"/>
    <n v="4"/>
    <n v="11996"/>
    <n v="5"/>
    <n v="2399.1999999999998"/>
    <n v="8205.26"/>
    <n v="466"/>
    <n v="54256.06"/>
    <x v="1"/>
    <x v="0"/>
    <s v="Chandigarh"/>
    <x v="1"/>
    <x v="1"/>
    <n v="4"/>
    <x v="1"/>
    <n v="4"/>
    <s v="Returned"/>
  </r>
  <r>
    <s v="ORD00071"/>
    <x v="62"/>
    <s v="CUST660"/>
    <s v="Karan"/>
    <x v="1"/>
    <n v="19"/>
    <x v="2"/>
    <x v="1"/>
    <x v="2"/>
    <x v="2"/>
    <n v="1"/>
    <n v="15786"/>
    <n v="20"/>
    <n v="3157.2"/>
    <n v="2273.1799999999998"/>
    <n v="268"/>
    <n v="15169.98"/>
    <x v="1"/>
    <x v="0"/>
    <s v="Patiala"/>
    <x v="1"/>
    <x v="1"/>
    <n v="10"/>
    <x v="0"/>
    <n v="5"/>
    <s v="Delivered"/>
  </r>
  <r>
    <s v="ORD00072"/>
    <x v="41"/>
    <s v="CUST948"/>
    <s v="Sneha"/>
    <x v="1"/>
    <n v="26"/>
    <x v="3"/>
    <x v="2"/>
    <x v="3"/>
    <x v="3"/>
    <n v="1"/>
    <n v="16943"/>
    <n v="15"/>
    <n v="2541.4499999999998"/>
    <n v="2592.2800000000002"/>
    <n v="242"/>
    <n v="17235.830000000002"/>
    <x v="3"/>
    <x v="0"/>
    <s v="Bangalore"/>
    <x v="3"/>
    <x v="2"/>
    <n v="5"/>
    <x v="0"/>
    <n v="2"/>
    <s v="Delivered"/>
  </r>
  <r>
    <s v="ORD00073"/>
    <x v="63"/>
    <s v="CUST325"/>
    <s v="Arjun"/>
    <x v="0"/>
    <n v="31"/>
    <x v="2"/>
    <x v="1"/>
    <x v="2"/>
    <x v="7"/>
    <n v="3"/>
    <n v="810"/>
    <n v="10"/>
    <n v="243"/>
    <n v="393.66"/>
    <n v="202"/>
    <n v="2782.66"/>
    <x v="1"/>
    <x v="0"/>
    <s v="Mumbai"/>
    <x v="0"/>
    <x v="0"/>
    <n v="6"/>
    <x v="0"/>
    <n v="5"/>
    <s v="Cancelled"/>
  </r>
  <r>
    <s v="ORD00074"/>
    <x v="64"/>
    <s v="CUST456"/>
    <s v="Rahul"/>
    <x v="1"/>
    <n v="26"/>
    <x v="5"/>
    <x v="0"/>
    <x v="5"/>
    <x v="2"/>
    <n v="3"/>
    <n v="22771"/>
    <n v="15"/>
    <n v="10246.950000000001"/>
    <n v="10451.89"/>
    <n v="196"/>
    <n v="68713.94"/>
    <x v="3"/>
    <x v="0"/>
    <s v="Mumbai"/>
    <x v="0"/>
    <x v="0"/>
    <n v="1"/>
    <x v="1"/>
    <n v="2"/>
    <s v="Returned"/>
  </r>
  <r>
    <s v="ORD00075"/>
    <x v="65"/>
    <s v="CUST838"/>
    <s v="Vikas"/>
    <x v="1"/>
    <n v="27"/>
    <x v="9"/>
    <x v="0"/>
    <x v="9"/>
    <x v="4"/>
    <n v="1"/>
    <n v="49814"/>
    <n v="15"/>
    <n v="7472.1"/>
    <n v="7621.54"/>
    <n v="331"/>
    <n v="50294.44"/>
    <x v="1"/>
    <x v="1"/>
    <s v="Delhi"/>
    <x v="5"/>
    <x v="1"/>
    <n v="10"/>
    <x v="1"/>
    <n v="4"/>
    <s v="Returned"/>
  </r>
  <r>
    <s v="ORD00076"/>
    <x v="66"/>
    <s v="CUST806"/>
    <s v="Rahul"/>
    <x v="0"/>
    <n v="24"/>
    <x v="2"/>
    <x v="1"/>
    <x v="2"/>
    <x v="4"/>
    <n v="2"/>
    <n v="17710"/>
    <n v="20"/>
    <n v="7084"/>
    <n v="5100.4799999999996"/>
    <n v="267"/>
    <n v="33703.480000000003"/>
    <x v="0"/>
    <x v="0"/>
    <s v="Pune"/>
    <x v="0"/>
    <x v="0"/>
    <n v="1"/>
    <x v="0"/>
    <n v="1"/>
    <s v="Cancelled"/>
  </r>
  <r>
    <s v="ORD00077"/>
    <x v="67"/>
    <s v="CUST580"/>
    <s v="Anjali"/>
    <x v="0"/>
    <n v="45"/>
    <x v="1"/>
    <x v="0"/>
    <x v="1"/>
    <x v="3"/>
    <n v="5"/>
    <n v="24572"/>
    <n v="10"/>
    <n v="12286"/>
    <n v="19903.32"/>
    <n v="152"/>
    <n v="130629.32"/>
    <x v="3"/>
    <x v="0"/>
    <s v="Lucknow"/>
    <x v="4"/>
    <x v="1"/>
    <n v="5"/>
    <x v="1"/>
    <n v="5"/>
    <s v="Shipped"/>
  </r>
  <r>
    <s v="ORD00078"/>
    <x v="68"/>
    <s v="CUST731"/>
    <s v="Vikas"/>
    <x v="0"/>
    <n v="47"/>
    <x v="1"/>
    <x v="0"/>
    <x v="1"/>
    <x v="2"/>
    <n v="3"/>
    <n v="49144"/>
    <n v="15"/>
    <n v="22114.799999999999"/>
    <n v="22557.1"/>
    <n v="324"/>
    <n v="148198.29999999999"/>
    <x v="1"/>
    <x v="0"/>
    <s v="Delhi"/>
    <x v="5"/>
    <x v="1"/>
    <n v="2"/>
    <x v="1"/>
    <n v="4"/>
    <s v="Cancelled"/>
  </r>
  <r>
    <s v="ORD00079"/>
    <x v="69"/>
    <s v="CUST687"/>
    <s v="Sneha"/>
    <x v="0"/>
    <n v="56"/>
    <x v="4"/>
    <x v="0"/>
    <x v="4"/>
    <x v="3"/>
    <n v="3"/>
    <n v="38503"/>
    <n v="15"/>
    <n v="17326.349999999999"/>
    <n v="17672.88"/>
    <n v="380"/>
    <n v="116235.53"/>
    <x v="0"/>
    <x v="1"/>
    <s v="Jaipur"/>
    <x v="2"/>
    <x v="1"/>
    <n v="7"/>
    <x v="0"/>
    <n v="5"/>
    <s v="Returned"/>
  </r>
  <r>
    <s v="ORD00080"/>
    <x v="70"/>
    <s v="CUST231"/>
    <s v="Sneha"/>
    <x v="0"/>
    <n v="28"/>
    <x v="5"/>
    <x v="0"/>
    <x v="5"/>
    <x v="7"/>
    <n v="5"/>
    <n v="39230"/>
    <n v="20"/>
    <n v="39230"/>
    <n v="28245.599999999999"/>
    <n v="225"/>
    <n v="185390.6"/>
    <x v="3"/>
    <x v="0"/>
    <s v="Chandigarh"/>
    <x v="1"/>
    <x v="1"/>
    <n v="4"/>
    <x v="1"/>
    <n v="2"/>
    <s v="Shipped"/>
  </r>
  <r>
    <s v="ORD00081"/>
    <x v="71"/>
    <s v="CUST890"/>
    <s v="Priya"/>
    <x v="0"/>
    <n v="43"/>
    <x v="7"/>
    <x v="1"/>
    <x v="7"/>
    <x v="2"/>
    <n v="5"/>
    <n v="2002"/>
    <n v="5"/>
    <n v="500.5"/>
    <n v="1711.71"/>
    <n v="358"/>
    <n v="11579.21"/>
    <x v="2"/>
    <x v="0"/>
    <s v="Mumbai"/>
    <x v="0"/>
    <x v="0"/>
    <n v="3"/>
    <x v="0"/>
    <n v="4"/>
    <s v="Cancelled"/>
  </r>
  <r>
    <s v="ORD00082"/>
    <x v="58"/>
    <s v="CUST861"/>
    <s v="Riya"/>
    <x v="1"/>
    <n v="19"/>
    <x v="1"/>
    <x v="0"/>
    <x v="1"/>
    <x v="9"/>
    <n v="2"/>
    <n v="44220"/>
    <n v="15"/>
    <n v="13266"/>
    <n v="13531.32"/>
    <n v="258"/>
    <n v="88963.32"/>
    <x v="2"/>
    <x v="1"/>
    <s v="Pune"/>
    <x v="0"/>
    <x v="0"/>
    <n v="7"/>
    <x v="1"/>
    <n v="2"/>
    <s v="Returned"/>
  </r>
  <r>
    <s v="ORD00083"/>
    <x v="72"/>
    <s v="CUST490"/>
    <s v="Karan"/>
    <x v="0"/>
    <n v="39"/>
    <x v="5"/>
    <x v="0"/>
    <x v="5"/>
    <x v="8"/>
    <n v="1"/>
    <n v="41458"/>
    <n v="10"/>
    <n v="4145.8"/>
    <n v="6716.2"/>
    <n v="255"/>
    <n v="44283.4"/>
    <x v="2"/>
    <x v="0"/>
    <s v="Bangalore"/>
    <x v="3"/>
    <x v="2"/>
    <n v="9"/>
    <x v="1"/>
    <n v="2"/>
    <s v="Returned"/>
  </r>
  <r>
    <s v="ORD00084"/>
    <x v="73"/>
    <s v="CUST335"/>
    <s v="Rahul"/>
    <x v="1"/>
    <n v="28"/>
    <x v="8"/>
    <x v="0"/>
    <x v="8"/>
    <x v="5"/>
    <n v="4"/>
    <n v="15002"/>
    <n v="20"/>
    <n v="12001.6"/>
    <n v="8641.15"/>
    <n v="259"/>
    <n v="56906.55"/>
    <x v="0"/>
    <x v="1"/>
    <s v="Bangalore"/>
    <x v="3"/>
    <x v="2"/>
    <n v="1"/>
    <x v="0"/>
    <n v="3"/>
    <s v="Shipped"/>
  </r>
  <r>
    <s v="ORD00085"/>
    <x v="74"/>
    <s v="CUST122"/>
    <s v="Karan"/>
    <x v="1"/>
    <n v="29"/>
    <x v="5"/>
    <x v="0"/>
    <x v="5"/>
    <x v="0"/>
    <n v="3"/>
    <n v="27664"/>
    <n v="10"/>
    <n v="8299.2000000000007"/>
    <n v="13444.7"/>
    <n v="52"/>
    <n v="88189.5"/>
    <x v="2"/>
    <x v="0"/>
    <s v="Chandigarh"/>
    <x v="1"/>
    <x v="1"/>
    <n v="4"/>
    <x v="1"/>
    <n v="3"/>
    <s v="Cancelled"/>
  </r>
  <r>
    <s v="ORD00086"/>
    <x v="75"/>
    <s v="CUST596"/>
    <s v="Rahul"/>
    <x v="0"/>
    <n v="23"/>
    <x v="4"/>
    <x v="0"/>
    <x v="4"/>
    <x v="1"/>
    <n v="1"/>
    <n v="23710"/>
    <n v="5"/>
    <n v="1185.5"/>
    <n v="4054.41"/>
    <n v="33"/>
    <n v="26611.91"/>
    <x v="3"/>
    <x v="1"/>
    <s v="Pune"/>
    <x v="0"/>
    <x v="0"/>
    <n v="1"/>
    <x v="0"/>
    <n v="1"/>
    <s v="Cancelled"/>
  </r>
  <r>
    <s v="ORD00087"/>
    <x v="76"/>
    <s v="CUST253"/>
    <s v="Priya"/>
    <x v="0"/>
    <n v="50"/>
    <x v="8"/>
    <x v="0"/>
    <x v="8"/>
    <x v="2"/>
    <n v="5"/>
    <n v="2722"/>
    <n v="5"/>
    <n v="680.5"/>
    <n v="2327.31"/>
    <n v="444"/>
    <n v="15700.81"/>
    <x v="1"/>
    <x v="0"/>
    <s v="Pune"/>
    <x v="0"/>
    <x v="0"/>
    <n v="3"/>
    <x v="1"/>
    <n v="1"/>
    <s v="Cancelled"/>
  </r>
  <r>
    <s v="ORD00088"/>
    <x v="41"/>
    <s v="CUST231"/>
    <s v="Vikas"/>
    <x v="1"/>
    <n v="53"/>
    <x v="4"/>
    <x v="0"/>
    <x v="4"/>
    <x v="7"/>
    <n v="3"/>
    <n v="26078"/>
    <n v="10"/>
    <n v="7823.4"/>
    <n v="12673.91"/>
    <n v="236"/>
    <n v="83320.509999999995"/>
    <x v="1"/>
    <x v="0"/>
    <s v="Pune"/>
    <x v="0"/>
    <x v="0"/>
    <n v="5"/>
    <x v="1"/>
    <n v="5"/>
    <s v="Cancelled"/>
  </r>
  <r>
    <s v="ORD00089"/>
    <x v="77"/>
    <s v="CUST261"/>
    <s v="Priya"/>
    <x v="0"/>
    <n v="56"/>
    <x v="0"/>
    <x v="0"/>
    <x v="0"/>
    <x v="4"/>
    <n v="3"/>
    <n v="15789"/>
    <n v="15"/>
    <n v="7105.05"/>
    <n v="7247.15"/>
    <n v="301"/>
    <n v="47810.1"/>
    <x v="3"/>
    <x v="0"/>
    <s v="Delhi"/>
    <x v="5"/>
    <x v="1"/>
    <n v="4"/>
    <x v="0"/>
    <n v="3"/>
    <s v="Returned"/>
  </r>
  <r>
    <s v="ORD00090"/>
    <x v="78"/>
    <s v="CUST992"/>
    <s v="Rahul"/>
    <x v="0"/>
    <n v="32"/>
    <x v="9"/>
    <x v="0"/>
    <x v="9"/>
    <x v="7"/>
    <n v="2"/>
    <n v="23965"/>
    <n v="20"/>
    <n v="9586"/>
    <n v="6901.92"/>
    <n v="167"/>
    <n v="45412.92"/>
    <x v="3"/>
    <x v="1"/>
    <s v="Jaipur"/>
    <x v="2"/>
    <x v="1"/>
    <n v="1"/>
    <x v="1"/>
    <n v="1"/>
    <s v="Returned"/>
  </r>
  <r>
    <s v="ORD00091"/>
    <x v="2"/>
    <s v="CUST689"/>
    <s v="Sneha"/>
    <x v="1"/>
    <n v="34"/>
    <x v="7"/>
    <x v="1"/>
    <x v="7"/>
    <x v="3"/>
    <n v="1"/>
    <n v="29036"/>
    <n v="10"/>
    <n v="2903.6"/>
    <n v="4703.83"/>
    <n v="336"/>
    <n v="31172.23"/>
    <x v="1"/>
    <x v="1"/>
    <s v="Delhi"/>
    <x v="5"/>
    <x v="1"/>
    <n v="7"/>
    <x v="1"/>
    <n v="2"/>
    <s v="Delivered"/>
  </r>
  <r>
    <s v="ORD00092"/>
    <x v="79"/>
    <s v="CUST468"/>
    <s v="Vikas"/>
    <x v="0"/>
    <n v="55"/>
    <x v="5"/>
    <x v="0"/>
    <x v="5"/>
    <x v="9"/>
    <n v="4"/>
    <n v="24259"/>
    <n v="20"/>
    <n v="19407.2"/>
    <n v="13973.18"/>
    <n v="445"/>
    <n v="92046.98"/>
    <x v="1"/>
    <x v="1"/>
    <s v="Pune"/>
    <x v="0"/>
    <x v="0"/>
    <n v="1"/>
    <x v="0"/>
    <n v="5"/>
    <s v="Shipped"/>
  </r>
  <r>
    <s v="ORD00093"/>
    <x v="80"/>
    <s v="CUST532"/>
    <s v="Rahul"/>
    <x v="1"/>
    <n v="55"/>
    <x v="0"/>
    <x v="0"/>
    <x v="0"/>
    <x v="1"/>
    <n v="4"/>
    <n v="27999"/>
    <n v="0"/>
    <n v="0"/>
    <n v="20159.28"/>
    <n v="169"/>
    <n v="132324.28"/>
    <x v="0"/>
    <x v="1"/>
    <s v="Bangalore"/>
    <x v="3"/>
    <x v="2"/>
    <n v="8"/>
    <x v="1"/>
    <n v="2"/>
    <s v="Shipped"/>
  </r>
  <r>
    <s v="ORD00094"/>
    <x v="80"/>
    <s v="CUST256"/>
    <s v="Vikas"/>
    <x v="0"/>
    <n v="54"/>
    <x v="8"/>
    <x v="0"/>
    <x v="8"/>
    <x v="0"/>
    <n v="5"/>
    <n v="44136"/>
    <n v="10"/>
    <n v="22068"/>
    <n v="35750.160000000003"/>
    <n v="127"/>
    <n v="234489.16"/>
    <x v="1"/>
    <x v="0"/>
    <s v="Pune"/>
    <x v="0"/>
    <x v="0"/>
    <n v="8"/>
    <x v="0"/>
    <n v="5"/>
    <s v="Returned"/>
  </r>
  <r>
    <s v="ORD00095"/>
    <x v="81"/>
    <s v="CUST264"/>
    <s v="Riya"/>
    <x v="1"/>
    <n v="55"/>
    <x v="5"/>
    <x v="0"/>
    <x v="5"/>
    <x v="1"/>
    <n v="5"/>
    <n v="34596"/>
    <n v="15"/>
    <n v="25947"/>
    <n v="26465.94"/>
    <n v="316"/>
    <n v="173814.94"/>
    <x v="2"/>
    <x v="1"/>
    <s v="Mumbai"/>
    <x v="0"/>
    <x v="0"/>
    <n v="7"/>
    <x v="0"/>
    <n v="1"/>
    <s v="Returned"/>
  </r>
  <r>
    <s v="ORD00096"/>
    <x v="82"/>
    <s v="CUST664"/>
    <s v="Amit"/>
    <x v="0"/>
    <n v="51"/>
    <x v="5"/>
    <x v="0"/>
    <x v="5"/>
    <x v="2"/>
    <n v="1"/>
    <n v="30323"/>
    <n v="15"/>
    <n v="4548.45"/>
    <n v="4639.42"/>
    <n v="45"/>
    <n v="30458.97"/>
    <x v="3"/>
    <x v="1"/>
    <s v="Pune"/>
    <x v="0"/>
    <x v="0"/>
    <n v="1"/>
    <x v="1"/>
    <n v="4"/>
    <s v="Cancelled"/>
  </r>
  <r>
    <s v="ORD00097"/>
    <x v="15"/>
    <s v="CUST168"/>
    <s v="Vikas"/>
    <x v="0"/>
    <n v="27"/>
    <x v="9"/>
    <x v="0"/>
    <x v="9"/>
    <x v="5"/>
    <n v="4"/>
    <n v="14331"/>
    <n v="0"/>
    <n v="0"/>
    <n v="10318.32"/>
    <n v="41"/>
    <n v="67683.320000000007"/>
    <x v="3"/>
    <x v="0"/>
    <s v="Lucknow"/>
    <x v="4"/>
    <x v="1"/>
    <n v="1"/>
    <x v="1"/>
    <n v="4"/>
    <s v="Delivered"/>
  </r>
  <r>
    <s v="ORD00098"/>
    <x v="83"/>
    <s v="CUST631"/>
    <s v="Arjun"/>
    <x v="0"/>
    <n v="24"/>
    <x v="2"/>
    <x v="1"/>
    <x v="2"/>
    <x v="7"/>
    <n v="3"/>
    <n v="3679"/>
    <n v="10"/>
    <n v="1103.7"/>
    <n v="1787.99"/>
    <n v="262"/>
    <n v="11983.29"/>
    <x v="1"/>
    <x v="1"/>
    <s v="Mumbai"/>
    <x v="0"/>
    <x v="0"/>
    <n v="4"/>
    <x v="1"/>
    <n v="1"/>
    <s v="Delivered"/>
  </r>
  <r>
    <s v="ORD00099"/>
    <x v="36"/>
    <s v="CUST643"/>
    <s v="Karan"/>
    <x v="0"/>
    <n v="56"/>
    <x v="4"/>
    <x v="0"/>
    <x v="4"/>
    <x v="4"/>
    <n v="3"/>
    <n v="25123"/>
    <n v="20"/>
    <n v="15073.8"/>
    <n v="10853.14"/>
    <n v="393"/>
    <n v="71541.34"/>
    <x v="0"/>
    <x v="0"/>
    <s v="Bangalore"/>
    <x v="3"/>
    <x v="2"/>
    <n v="10"/>
    <x v="1"/>
    <n v="5"/>
    <s v="Delivered"/>
  </r>
  <r>
    <s v="ORD00100"/>
    <x v="84"/>
    <s v="CUST540"/>
    <s v="Priya"/>
    <x v="1"/>
    <n v="41"/>
    <x v="7"/>
    <x v="1"/>
    <x v="7"/>
    <x v="5"/>
    <n v="4"/>
    <n v="46566"/>
    <n v="10"/>
    <n v="18626.400000000001"/>
    <n v="30174.77"/>
    <n v="402"/>
    <n v="198214.37"/>
    <x v="2"/>
    <x v="0"/>
    <s v="Chandigarh"/>
    <x v="1"/>
    <x v="1"/>
    <n v="7"/>
    <x v="1"/>
    <n v="4"/>
    <s v="Delivered"/>
  </r>
  <r>
    <s v="ORD00101"/>
    <x v="61"/>
    <s v="CUST796"/>
    <s v="Arjun"/>
    <x v="0"/>
    <n v="60"/>
    <x v="8"/>
    <x v="0"/>
    <x v="8"/>
    <x v="2"/>
    <n v="1"/>
    <n v="42289"/>
    <n v="20"/>
    <n v="8457.7999999999993"/>
    <n v="6089.62"/>
    <n v="250"/>
    <n v="40170.82"/>
    <x v="1"/>
    <x v="1"/>
    <s v="Delhi"/>
    <x v="5"/>
    <x v="1"/>
    <n v="1"/>
    <x v="0"/>
    <n v="2"/>
    <s v="Returned"/>
  </r>
  <r>
    <s v="ORD00102"/>
    <x v="85"/>
    <s v="CUST371"/>
    <s v="Karan"/>
    <x v="0"/>
    <n v="31"/>
    <x v="2"/>
    <x v="1"/>
    <x v="2"/>
    <x v="4"/>
    <n v="5"/>
    <n v="4012"/>
    <n v="0"/>
    <n v="0"/>
    <n v="3610.8"/>
    <n v="329"/>
    <n v="23999.8"/>
    <x v="3"/>
    <x v="1"/>
    <s v="Bangalore"/>
    <x v="3"/>
    <x v="2"/>
    <n v="8"/>
    <x v="1"/>
    <n v="4"/>
    <s v="Delivered"/>
  </r>
  <r>
    <s v="ORD00103"/>
    <x v="86"/>
    <s v="CUST769"/>
    <s v="Priya"/>
    <x v="0"/>
    <n v="52"/>
    <x v="4"/>
    <x v="0"/>
    <x v="4"/>
    <x v="8"/>
    <n v="2"/>
    <n v="30405"/>
    <n v="0"/>
    <n v="0"/>
    <n v="10945.8"/>
    <n v="301"/>
    <n v="72056.800000000003"/>
    <x v="0"/>
    <x v="1"/>
    <s v="Jaipur"/>
    <x v="2"/>
    <x v="1"/>
    <n v="8"/>
    <x v="0"/>
    <n v="5"/>
    <s v="Cancelled"/>
  </r>
  <r>
    <s v="ORD00104"/>
    <x v="87"/>
    <s v="CUST785"/>
    <s v="Anjali"/>
    <x v="0"/>
    <n v="23"/>
    <x v="6"/>
    <x v="0"/>
    <x v="6"/>
    <x v="5"/>
    <n v="4"/>
    <n v="19141"/>
    <n v="20"/>
    <n v="15312.8"/>
    <n v="11025.22"/>
    <n v="482"/>
    <n v="72758.42"/>
    <x v="3"/>
    <x v="0"/>
    <s v="Delhi"/>
    <x v="5"/>
    <x v="1"/>
    <n v="5"/>
    <x v="1"/>
    <n v="4"/>
    <s v="Returned"/>
  </r>
  <r>
    <s v="ORD00105"/>
    <x v="49"/>
    <s v="CUST968"/>
    <s v="Arjun"/>
    <x v="1"/>
    <n v="22"/>
    <x v="3"/>
    <x v="2"/>
    <x v="3"/>
    <x v="4"/>
    <n v="4"/>
    <n v="19962"/>
    <n v="5"/>
    <n v="3992.4"/>
    <n v="13654.01"/>
    <n v="104"/>
    <n v="89613.61"/>
    <x v="1"/>
    <x v="0"/>
    <s v="Pune"/>
    <x v="0"/>
    <x v="0"/>
    <n v="7"/>
    <x v="1"/>
    <n v="5"/>
    <s v="Returned"/>
  </r>
  <r>
    <s v="ORD00106"/>
    <x v="88"/>
    <s v="CUST430"/>
    <s v="Sneha"/>
    <x v="0"/>
    <n v="46"/>
    <x v="3"/>
    <x v="2"/>
    <x v="3"/>
    <x v="2"/>
    <n v="5"/>
    <n v="30045"/>
    <n v="0"/>
    <n v="0"/>
    <n v="27040.5"/>
    <n v="295"/>
    <n v="177560.5"/>
    <x v="1"/>
    <x v="1"/>
    <s v="Patiala"/>
    <x v="1"/>
    <x v="1"/>
    <n v="9"/>
    <x v="0"/>
    <n v="2"/>
    <s v="Shipped"/>
  </r>
  <r>
    <s v="ORD00107"/>
    <x v="42"/>
    <s v="CUST756"/>
    <s v="Karan"/>
    <x v="0"/>
    <n v="33"/>
    <x v="0"/>
    <x v="0"/>
    <x v="0"/>
    <x v="8"/>
    <n v="1"/>
    <n v="30617"/>
    <n v="0"/>
    <n v="0"/>
    <n v="5511.06"/>
    <n v="291"/>
    <n v="36419.06"/>
    <x v="0"/>
    <x v="0"/>
    <s v="Mumbai"/>
    <x v="0"/>
    <x v="0"/>
    <n v="9"/>
    <x v="1"/>
    <n v="5"/>
    <s v="Cancelled"/>
  </r>
  <r>
    <s v="ORD00108"/>
    <x v="89"/>
    <s v="CUST755"/>
    <s v="Sneha"/>
    <x v="1"/>
    <n v="29"/>
    <x v="8"/>
    <x v="0"/>
    <x v="8"/>
    <x v="1"/>
    <n v="1"/>
    <n v="36884"/>
    <n v="5"/>
    <n v="1844.2"/>
    <n v="6307.16"/>
    <n v="88"/>
    <n v="41434.959999999999"/>
    <x v="1"/>
    <x v="1"/>
    <s v="Patiala"/>
    <x v="1"/>
    <x v="1"/>
    <n v="2"/>
    <x v="1"/>
    <n v="2"/>
    <s v="Shipped"/>
  </r>
  <r>
    <s v="ORD00109"/>
    <x v="90"/>
    <s v="CUST588"/>
    <s v="Anjali"/>
    <x v="1"/>
    <n v="35"/>
    <x v="7"/>
    <x v="1"/>
    <x v="7"/>
    <x v="7"/>
    <n v="2"/>
    <n v="44392"/>
    <n v="10"/>
    <n v="8878.4"/>
    <n v="14383.01"/>
    <n v="36"/>
    <n v="94324.61"/>
    <x v="3"/>
    <x v="0"/>
    <s v="Mumbai"/>
    <x v="0"/>
    <x v="0"/>
    <n v="4"/>
    <x v="1"/>
    <n v="3"/>
    <s v="Returned"/>
  </r>
  <r>
    <s v="ORD00110"/>
    <x v="91"/>
    <s v="CUST680"/>
    <s v="Riya"/>
    <x v="0"/>
    <n v="49"/>
    <x v="3"/>
    <x v="2"/>
    <x v="3"/>
    <x v="1"/>
    <n v="2"/>
    <n v="45616"/>
    <n v="15"/>
    <n v="13684.8"/>
    <n v="13958.5"/>
    <n v="173"/>
    <n v="91678.7"/>
    <x v="0"/>
    <x v="1"/>
    <s v="Bangalore"/>
    <x v="3"/>
    <x v="2"/>
    <n v="4"/>
    <x v="1"/>
    <n v="5"/>
    <s v="Cancelled"/>
  </r>
  <r>
    <s v="ORD00111"/>
    <x v="92"/>
    <s v="CUST923"/>
    <s v="Arjun"/>
    <x v="1"/>
    <n v="25"/>
    <x v="6"/>
    <x v="0"/>
    <x v="6"/>
    <x v="5"/>
    <n v="4"/>
    <n v="13466"/>
    <n v="15"/>
    <n v="8079.6"/>
    <n v="8241.19"/>
    <n v="298"/>
    <n v="54323.59"/>
    <x v="3"/>
    <x v="1"/>
    <s v="Lucknow"/>
    <x v="4"/>
    <x v="1"/>
    <n v="6"/>
    <x v="0"/>
    <n v="5"/>
    <s v="Cancelled"/>
  </r>
  <r>
    <s v="ORD00112"/>
    <x v="93"/>
    <s v="CUST454"/>
    <s v="Arjun"/>
    <x v="0"/>
    <n v="53"/>
    <x v="1"/>
    <x v="0"/>
    <x v="1"/>
    <x v="0"/>
    <n v="3"/>
    <n v="10297"/>
    <n v="5"/>
    <n v="1544.55"/>
    <n v="5282.36"/>
    <n v="382"/>
    <n v="35010.81"/>
    <x v="2"/>
    <x v="1"/>
    <s v="Jaipur"/>
    <x v="2"/>
    <x v="1"/>
    <n v="4"/>
    <x v="0"/>
    <n v="1"/>
    <s v="Returned"/>
  </r>
  <r>
    <s v="ORD00113"/>
    <x v="94"/>
    <s v="CUST221"/>
    <s v="Neha"/>
    <x v="0"/>
    <n v="38"/>
    <x v="9"/>
    <x v="0"/>
    <x v="9"/>
    <x v="5"/>
    <n v="2"/>
    <n v="20743"/>
    <n v="20"/>
    <n v="8297.2000000000007"/>
    <n v="5973.98"/>
    <n v="397"/>
    <n v="39559.78"/>
    <x v="2"/>
    <x v="0"/>
    <s v="Mumbai"/>
    <x v="0"/>
    <x v="0"/>
    <n v="8"/>
    <x v="0"/>
    <n v="1"/>
    <s v="Delivered"/>
  </r>
  <r>
    <s v="ORD00114"/>
    <x v="95"/>
    <s v="CUST299"/>
    <s v="Neha"/>
    <x v="1"/>
    <n v="56"/>
    <x v="9"/>
    <x v="0"/>
    <x v="9"/>
    <x v="7"/>
    <n v="3"/>
    <n v="45793"/>
    <n v="0"/>
    <n v="0"/>
    <n v="24728.22"/>
    <n v="20"/>
    <n v="162127.22"/>
    <x v="2"/>
    <x v="0"/>
    <s v="Pune"/>
    <x v="0"/>
    <x v="0"/>
    <n v="5"/>
    <x v="0"/>
    <n v="5"/>
    <s v="Delivered"/>
  </r>
  <r>
    <s v="ORD00115"/>
    <x v="96"/>
    <s v="CUST447"/>
    <s v="Karan"/>
    <x v="0"/>
    <n v="24"/>
    <x v="3"/>
    <x v="2"/>
    <x v="3"/>
    <x v="2"/>
    <n v="5"/>
    <n v="39903"/>
    <n v="20"/>
    <n v="39903"/>
    <n v="28730.16"/>
    <n v="492"/>
    <n v="188834.16"/>
    <x v="3"/>
    <x v="1"/>
    <s v="Patiala"/>
    <x v="1"/>
    <x v="1"/>
    <n v="2"/>
    <x v="1"/>
    <n v="5"/>
    <s v="Returned"/>
  </r>
  <r>
    <s v="ORD00116"/>
    <x v="97"/>
    <s v="CUST732"/>
    <s v="Arjun"/>
    <x v="1"/>
    <n v="58"/>
    <x v="0"/>
    <x v="0"/>
    <x v="0"/>
    <x v="1"/>
    <n v="3"/>
    <n v="22776"/>
    <n v="0"/>
    <n v="0"/>
    <n v="12299.04"/>
    <n v="94"/>
    <n v="80721.039999999994"/>
    <x v="2"/>
    <x v="1"/>
    <s v="Jaipur"/>
    <x v="2"/>
    <x v="1"/>
    <n v="6"/>
    <x v="0"/>
    <n v="1"/>
    <s v="Delivered"/>
  </r>
  <r>
    <s v="ORD00117"/>
    <x v="75"/>
    <s v="CUST185"/>
    <s v="Riya"/>
    <x v="1"/>
    <n v="30"/>
    <x v="8"/>
    <x v="0"/>
    <x v="8"/>
    <x v="7"/>
    <n v="5"/>
    <n v="18787"/>
    <n v="20"/>
    <n v="18787"/>
    <n v="13526.64"/>
    <n v="101"/>
    <n v="88775.64"/>
    <x v="3"/>
    <x v="1"/>
    <s v="Pune"/>
    <x v="0"/>
    <x v="0"/>
    <n v="4"/>
    <x v="1"/>
    <n v="5"/>
    <s v="Delivered"/>
  </r>
  <r>
    <s v="ORD00118"/>
    <x v="98"/>
    <s v="CUST728"/>
    <s v="Neha"/>
    <x v="0"/>
    <n v="28"/>
    <x v="0"/>
    <x v="0"/>
    <x v="0"/>
    <x v="0"/>
    <n v="1"/>
    <n v="956"/>
    <n v="20"/>
    <n v="191.2"/>
    <n v="137.66"/>
    <n v="446"/>
    <n v="1348.46"/>
    <x v="1"/>
    <x v="1"/>
    <s v="Pune"/>
    <x v="0"/>
    <x v="0"/>
    <n v="3"/>
    <x v="1"/>
    <n v="2"/>
    <s v="Returned"/>
  </r>
  <r>
    <s v="ORD00119"/>
    <x v="99"/>
    <s v="CUST221"/>
    <s v="Anjali"/>
    <x v="1"/>
    <n v="20"/>
    <x v="6"/>
    <x v="0"/>
    <x v="6"/>
    <x v="4"/>
    <n v="5"/>
    <n v="28102"/>
    <n v="5"/>
    <n v="7025.5"/>
    <n v="24027.21"/>
    <n v="281"/>
    <n v="157792.71"/>
    <x v="3"/>
    <x v="0"/>
    <s v="Patiala"/>
    <x v="1"/>
    <x v="1"/>
    <n v="5"/>
    <x v="0"/>
    <n v="3"/>
    <s v="Delivered"/>
  </r>
  <r>
    <s v="ORD00120"/>
    <x v="100"/>
    <s v="CUST201"/>
    <s v="Amit"/>
    <x v="0"/>
    <n v="29"/>
    <x v="8"/>
    <x v="0"/>
    <x v="8"/>
    <x v="8"/>
    <n v="4"/>
    <n v="2455"/>
    <n v="5"/>
    <n v="491"/>
    <n v="1679.22"/>
    <n v="255"/>
    <n v="11263.22"/>
    <x v="2"/>
    <x v="1"/>
    <s v="Patiala"/>
    <x v="1"/>
    <x v="1"/>
    <n v="4"/>
    <x v="0"/>
    <n v="4"/>
    <s v="Delivered"/>
  </r>
  <r>
    <s v="ORD00121"/>
    <x v="101"/>
    <s v="CUST978"/>
    <s v="Amit"/>
    <x v="0"/>
    <n v="39"/>
    <x v="3"/>
    <x v="2"/>
    <x v="3"/>
    <x v="7"/>
    <n v="2"/>
    <n v="14902"/>
    <n v="20"/>
    <n v="5960.8"/>
    <n v="4291.78"/>
    <n v="348"/>
    <n v="28482.98"/>
    <x v="3"/>
    <x v="1"/>
    <s v="Jaipur"/>
    <x v="2"/>
    <x v="1"/>
    <n v="8"/>
    <x v="0"/>
    <n v="1"/>
    <s v="Cancelled"/>
  </r>
  <r>
    <s v="ORD00122"/>
    <x v="102"/>
    <s v="CUST939"/>
    <s v="Karan"/>
    <x v="0"/>
    <n v="30"/>
    <x v="2"/>
    <x v="1"/>
    <x v="2"/>
    <x v="8"/>
    <n v="2"/>
    <n v="13003"/>
    <n v="5"/>
    <n v="1300.3"/>
    <n v="4447.03"/>
    <n v="199"/>
    <n v="29351.73"/>
    <x v="0"/>
    <x v="1"/>
    <s v="Pune"/>
    <x v="0"/>
    <x v="0"/>
    <n v="1"/>
    <x v="1"/>
    <n v="5"/>
    <s v="Delivered"/>
  </r>
  <r>
    <s v="ORD00123"/>
    <x v="103"/>
    <s v="CUST385"/>
    <s v="Arjun"/>
    <x v="1"/>
    <n v="44"/>
    <x v="4"/>
    <x v="0"/>
    <x v="4"/>
    <x v="4"/>
    <n v="5"/>
    <n v="7255"/>
    <n v="5"/>
    <n v="1813.75"/>
    <n v="6203.02"/>
    <n v="388"/>
    <n v="41052.28"/>
    <x v="1"/>
    <x v="0"/>
    <s v="Chandigarh"/>
    <x v="1"/>
    <x v="1"/>
    <n v="10"/>
    <x v="1"/>
    <n v="2"/>
    <s v="Cancelled"/>
  </r>
  <r>
    <s v="ORD00124"/>
    <x v="2"/>
    <s v="CUST978"/>
    <s v="Riya"/>
    <x v="0"/>
    <n v="39"/>
    <x v="7"/>
    <x v="1"/>
    <x v="7"/>
    <x v="6"/>
    <n v="1"/>
    <n v="31663"/>
    <n v="5"/>
    <n v="1583.15"/>
    <n v="5414.37"/>
    <n v="166"/>
    <n v="35660.22"/>
    <x v="3"/>
    <x v="0"/>
    <s v="Chandigarh"/>
    <x v="1"/>
    <x v="1"/>
    <n v="1"/>
    <x v="1"/>
    <n v="2"/>
    <s v="Returned"/>
  </r>
  <r>
    <s v="ORD00125"/>
    <x v="104"/>
    <s v="CUST323"/>
    <s v="Vikas"/>
    <x v="0"/>
    <n v="40"/>
    <x v="7"/>
    <x v="1"/>
    <x v="7"/>
    <x v="1"/>
    <n v="2"/>
    <n v="48930"/>
    <n v="10"/>
    <n v="9786"/>
    <n v="15853.32"/>
    <n v="400"/>
    <n v="104327.32"/>
    <x v="3"/>
    <x v="1"/>
    <s v="Jaipur"/>
    <x v="2"/>
    <x v="1"/>
    <n v="10"/>
    <x v="0"/>
    <n v="1"/>
    <s v="Cancelled"/>
  </r>
  <r>
    <s v="ORD00126"/>
    <x v="22"/>
    <s v="CUST813"/>
    <s v="Arjun"/>
    <x v="1"/>
    <n v="42"/>
    <x v="9"/>
    <x v="0"/>
    <x v="9"/>
    <x v="7"/>
    <n v="4"/>
    <n v="11876"/>
    <n v="20"/>
    <n v="9500.7999999999993"/>
    <n v="6840.58"/>
    <n v="31"/>
    <n v="44874.78"/>
    <x v="3"/>
    <x v="0"/>
    <s v="Mumbai"/>
    <x v="0"/>
    <x v="0"/>
    <n v="3"/>
    <x v="0"/>
    <n v="3"/>
    <s v="Returned"/>
  </r>
  <r>
    <s v="ORD00127"/>
    <x v="105"/>
    <s v="CUST709"/>
    <s v="Vikas"/>
    <x v="0"/>
    <n v="18"/>
    <x v="2"/>
    <x v="1"/>
    <x v="2"/>
    <x v="5"/>
    <n v="3"/>
    <n v="6898"/>
    <n v="10"/>
    <n v="2069.4"/>
    <n v="3352.43"/>
    <n v="417"/>
    <n v="22394.03"/>
    <x v="3"/>
    <x v="0"/>
    <s v="Jaipur"/>
    <x v="2"/>
    <x v="1"/>
    <n v="4"/>
    <x v="0"/>
    <n v="2"/>
    <s v="Delivered"/>
  </r>
  <r>
    <s v="ORD00128"/>
    <x v="73"/>
    <s v="CUST865"/>
    <s v="Arjun"/>
    <x v="1"/>
    <n v="33"/>
    <x v="6"/>
    <x v="0"/>
    <x v="6"/>
    <x v="3"/>
    <n v="5"/>
    <n v="27664"/>
    <n v="0"/>
    <n v="0"/>
    <n v="24897.599999999999"/>
    <n v="18"/>
    <n v="163235.6"/>
    <x v="0"/>
    <x v="1"/>
    <s v="Delhi"/>
    <x v="5"/>
    <x v="1"/>
    <n v="10"/>
    <x v="1"/>
    <n v="3"/>
    <s v="Returned"/>
  </r>
  <r>
    <s v="ORD00129"/>
    <x v="106"/>
    <s v="CUST339"/>
    <s v="Rahul"/>
    <x v="1"/>
    <n v="25"/>
    <x v="4"/>
    <x v="0"/>
    <x v="4"/>
    <x v="7"/>
    <n v="5"/>
    <n v="31878"/>
    <n v="5"/>
    <n v="7969.5"/>
    <n v="27255.69"/>
    <n v="288"/>
    <n v="178964.19"/>
    <x v="1"/>
    <x v="1"/>
    <s v="Lucknow"/>
    <x v="4"/>
    <x v="1"/>
    <n v="7"/>
    <x v="0"/>
    <n v="4"/>
    <s v="Returned"/>
  </r>
  <r>
    <s v="ORD00130"/>
    <x v="20"/>
    <s v="CUST389"/>
    <s v="Karan"/>
    <x v="0"/>
    <n v="40"/>
    <x v="9"/>
    <x v="0"/>
    <x v="9"/>
    <x v="6"/>
    <n v="2"/>
    <n v="33074"/>
    <n v="10"/>
    <n v="6614.8"/>
    <n v="10715.98"/>
    <n v="377"/>
    <n v="70626.179999999993"/>
    <x v="0"/>
    <x v="0"/>
    <s v="Delhi"/>
    <x v="5"/>
    <x v="1"/>
    <n v="4"/>
    <x v="1"/>
    <n v="3"/>
    <s v="Delivered"/>
  </r>
  <r>
    <s v="ORD00131"/>
    <x v="107"/>
    <s v="CUST455"/>
    <s v="Anjali"/>
    <x v="0"/>
    <n v="29"/>
    <x v="8"/>
    <x v="0"/>
    <x v="8"/>
    <x v="5"/>
    <n v="1"/>
    <n v="24321"/>
    <n v="10"/>
    <n v="2432.1"/>
    <n v="3940"/>
    <n v="350"/>
    <n v="26178.9"/>
    <x v="1"/>
    <x v="1"/>
    <s v="Delhi"/>
    <x v="5"/>
    <x v="1"/>
    <n v="3"/>
    <x v="1"/>
    <n v="5"/>
    <s v="Delivered"/>
  </r>
  <r>
    <s v="ORD00132"/>
    <x v="108"/>
    <s v="CUST831"/>
    <s v="Anjali"/>
    <x v="0"/>
    <n v="45"/>
    <x v="4"/>
    <x v="0"/>
    <x v="4"/>
    <x v="8"/>
    <n v="4"/>
    <n v="42895"/>
    <n v="15"/>
    <n v="25737"/>
    <n v="26251.74"/>
    <n v="98"/>
    <n v="172192.74"/>
    <x v="3"/>
    <x v="0"/>
    <s v="Lucknow"/>
    <x v="4"/>
    <x v="1"/>
    <n v="9"/>
    <x v="1"/>
    <n v="1"/>
    <s v="Shipped"/>
  </r>
  <r>
    <s v="ORD00133"/>
    <x v="5"/>
    <s v="CUST726"/>
    <s v="Rahul"/>
    <x v="0"/>
    <n v="58"/>
    <x v="1"/>
    <x v="0"/>
    <x v="1"/>
    <x v="7"/>
    <n v="5"/>
    <n v="48980"/>
    <n v="0"/>
    <n v="0"/>
    <n v="44082"/>
    <n v="96"/>
    <n v="289078"/>
    <x v="3"/>
    <x v="0"/>
    <s v="Jaipur"/>
    <x v="2"/>
    <x v="1"/>
    <n v="5"/>
    <x v="1"/>
    <n v="2"/>
    <s v="Returned"/>
  </r>
  <r>
    <s v="ORD00134"/>
    <x v="109"/>
    <s v="CUST979"/>
    <s v="Arjun"/>
    <x v="1"/>
    <n v="33"/>
    <x v="8"/>
    <x v="0"/>
    <x v="8"/>
    <x v="8"/>
    <n v="1"/>
    <n v="49527"/>
    <n v="0"/>
    <n v="0"/>
    <n v="8914.86"/>
    <n v="456"/>
    <n v="58897.86"/>
    <x v="2"/>
    <x v="0"/>
    <s v="Pune"/>
    <x v="0"/>
    <x v="0"/>
    <n v="5"/>
    <x v="1"/>
    <n v="5"/>
    <s v="Returned"/>
  </r>
  <r>
    <s v="ORD00135"/>
    <x v="110"/>
    <s v="CUST262"/>
    <s v="Sneha"/>
    <x v="0"/>
    <n v="55"/>
    <x v="8"/>
    <x v="0"/>
    <x v="8"/>
    <x v="5"/>
    <n v="4"/>
    <n v="24297"/>
    <n v="5"/>
    <n v="4859.3999999999996"/>
    <n v="16619.150000000001"/>
    <n v="167"/>
    <n v="109114.75"/>
    <x v="1"/>
    <x v="0"/>
    <s v="Lucknow"/>
    <x v="4"/>
    <x v="1"/>
    <n v="5"/>
    <x v="0"/>
    <n v="1"/>
    <s v="Delivered"/>
  </r>
  <r>
    <s v="ORD00136"/>
    <x v="86"/>
    <s v="CUST905"/>
    <s v="Amit"/>
    <x v="1"/>
    <n v="57"/>
    <x v="4"/>
    <x v="0"/>
    <x v="4"/>
    <x v="6"/>
    <n v="5"/>
    <n v="47683"/>
    <n v="5"/>
    <n v="11920.75"/>
    <n v="40768.959999999999"/>
    <n v="420"/>
    <n v="267683.21000000002"/>
    <x v="0"/>
    <x v="0"/>
    <s v="Delhi"/>
    <x v="5"/>
    <x v="1"/>
    <n v="4"/>
    <x v="1"/>
    <n v="4"/>
    <s v="Delivered"/>
  </r>
  <r>
    <s v="ORD00137"/>
    <x v="111"/>
    <s v="CUST630"/>
    <s v="Priya"/>
    <x v="1"/>
    <n v="59"/>
    <x v="1"/>
    <x v="0"/>
    <x v="1"/>
    <x v="9"/>
    <n v="3"/>
    <n v="48486"/>
    <n v="0"/>
    <n v="0"/>
    <n v="26182.44"/>
    <n v="460"/>
    <n v="172100.44"/>
    <x v="2"/>
    <x v="0"/>
    <s v="Bangalore"/>
    <x v="3"/>
    <x v="2"/>
    <n v="6"/>
    <x v="0"/>
    <n v="2"/>
    <s v="Cancelled"/>
  </r>
  <r>
    <s v="ORD00138"/>
    <x v="112"/>
    <s v="CUST336"/>
    <s v="Amit"/>
    <x v="1"/>
    <n v="18"/>
    <x v="4"/>
    <x v="0"/>
    <x v="4"/>
    <x v="2"/>
    <n v="4"/>
    <n v="35587"/>
    <n v="10"/>
    <n v="14234.8"/>
    <n v="23060.38"/>
    <n v="243"/>
    <n v="151416.57999999999"/>
    <x v="3"/>
    <x v="0"/>
    <s v="Patiala"/>
    <x v="1"/>
    <x v="1"/>
    <n v="3"/>
    <x v="0"/>
    <n v="4"/>
    <s v="Shipped"/>
  </r>
  <r>
    <s v="ORD00139"/>
    <x v="104"/>
    <s v="CUST813"/>
    <s v="Rahul"/>
    <x v="1"/>
    <n v="47"/>
    <x v="5"/>
    <x v="0"/>
    <x v="5"/>
    <x v="8"/>
    <n v="5"/>
    <n v="38537"/>
    <n v="20"/>
    <n v="38537"/>
    <n v="27746.639999999999"/>
    <n v="428"/>
    <n v="182322.64"/>
    <x v="2"/>
    <x v="1"/>
    <s v="Bangalore"/>
    <x v="3"/>
    <x v="2"/>
    <n v="8"/>
    <x v="0"/>
    <n v="1"/>
    <s v="Shipped"/>
  </r>
  <r>
    <s v="ORD00140"/>
    <x v="113"/>
    <s v="CUST631"/>
    <s v="Neha"/>
    <x v="0"/>
    <n v="18"/>
    <x v="5"/>
    <x v="0"/>
    <x v="5"/>
    <x v="7"/>
    <n v="5"/>
    <n v="2675"/>
    <n v="15"/>
    <n v="2006.25"/>
    <n v="2046.38"/>
    <n v="318"/>
    <n v="13733.12"/>
    <x v="0"/>
    <x v="0"/>
    <s v="Pune"/>
    <x v="0"/>
    <x v="0"/>
    <n v="3"/>
    <x v="1"/>
    <n v="1"/>
    <s v="Cancelled"/>
  </r>
  <r>
    <s v="ORD00141"/>
    <x v="40"/>
    <s v="CUST688"/>
    <s v="Amit"/>
    <x v="1"/>
    <n v="43"/>
    <x v="3"/>
    <x v="2"/>
    <x v="3"/>
    <x v="8"/>
    <n v="3"/>
    <n v="31905"/>
    <n v="5"/>
    <n v="4785.75"/>
    <n v="16367.26"/>
    <n v="396"/>
    <n v="107692.51"/>
    <x v="3"/>
    <x v="1"/>
    <s v="Patiala"/>
    <x v="1"/>
    <x v="1"/>
    <n v="2"/>
    <x v="1"/>
    <n v="5"/>
    <s v="Cancelled"/>
  </r>
  <r>
    <s v="ORD00142"/>
    <x v="114"/>
    <s v="CUST100"/>
    <s v="Rahul"/>
    <x v="1"/>
    <n v="60"/>
    <x v="5"/>
    <x v="0"/>
    <x v="5"/>
    <x v="9"/>
    <n v="1"/>
    <n v="37253"/>
    <n v="5"/>
    <n v="1862.65"/>
    <n v="6370.26"/>
    <n v="234"/>
    <n v="41994.61"/>
    <x v="1"/>
    <x v="0"/>
    <s v="Jaipur"/>
    <x v="2"/>
    <x v="1"/>
    <n v="4"/>
    <x v="0"/>
    <n v="1"/>
    <s v="Delivered"/>
  </r>
  <r>
    <s v="ORD00143"/>
    <x v="115"/>
    <s v="CUST905"/>
    <s v="Amit"/>
    <x v="0"/>
    <n v="24"/>
    <x v="4"/>
    <x v="0"/>
    <x v="4"/>
    <x v="6"/>
    <n v="1"/>
    <n v="7447"/>
    <n v="20"/>
    <n v="1489.4"/>
    <n v="1072.3699999999999"/>
    <n v="383"/>
    <n v="7412.97"/>
    <x v="0"/>
    <x v="0"/>
    <s v="Delhi"/>
    <x v="5"/>
    <x v="1"/>
    <n v="6"/>
    <x v="0"/>
    <n v="5"/>
    <s v="Shipped"/>
  </r>
  <r>
    <s v="ORD00144"/>
    <x v="116"/>
    <s v="CUST345"/>
    <s v="Rahul"/>
    <x v="0"/>
    <n v="27"/>
    <x v="6"/>
    <x v="0"/>
    <x v="6"/>
    <x v="6"/>
    <n v="3"/>
    <n v="2465"/>
    <n v="5"/>
    <n v="369.75"/>
    <n v="1264.54"/>
    <n v="407"/>
    <n v="8696.7999999999993"/>
    <x v="0"/>
    <x v="1"/>
    <s v="Patiala"/>
    <x v="1"/>
    <x v="1"/>
    <n v="5"/>
    <x v="1"/>
    <n v="5"/>
    <s v="Returned"/>
  </r>
  <r>
    <s v="ORD00145"/>
    <x v="72"/>
    <s v="CUST280"/>
    <s v="Amit"/>
    <x v="1"/>
    <n v="52"/>
    <x v="6"/>
    <x v="0"/>
    <x v="6"/>
    <x v="4"/>
    <n v="2"/>
    <n v="43125"/>
    <n v="10"/>
    <n v="8625"/>
    <n v="13972.5"/>
    <n v="153"/>
    <n v="91750.5"/>
    <x v="0"/>
    <x v="1"/>
    <s v="Lucknow"/>
    <x v="4"/>
    <x v="1"/>
    <n v="5"/>
    <x v="1"/>
    <n v="2"/>
    <s v="Returned"/>
  </r>
  <r>
    <s v="ORD00146"/>
    <x v="117"/>
    <s v="CUST463"/>
    <s v="Sneha"/>
    <x v="1"/>
    <n v="48"/>
    <x v="5"/>
    <x v="0"/>
    <x v="5"/>
    <x v="7"/>
    <n v="2"/>
    <n v="25854"/>
    <n v="15"/>
    <n v="7756.2"/>
    <n v="7911.32"/>
    <n v="26"/>
    <n v="51889.120000000003"/>
    <x v="2"/>
    <x v="1"/>
    <s v="Patiala"/>
    <x v="1"/>
    <x v="1"/>
    <n v="1"/>
    <x v="1"/>
    <n v="5"/>
    <s v="Cancelled"/>
  </r>
  <r>
    <s v="ORD00147"/>
    <x v="118"/>
    <s v="CUST400"/>
    <s v="Amit"/>
    <x v="1"/>
    <n v="24"/>
    <x v="1"/>
    <x v="0"/>
    <x v="1"/>
    <x v="1"/>
    <n v="4"/>
    <n v="24413"/>
    <n v="0"/>
    <n v="0"/>
    <n v="17577.36"/>
    <n v="0"/>
    <n v="115229.36"/>
    <x v="2"/>
    <x v="1"/>
    <s v="Mumbai"/>
    <x v="0"/>
    <x v="0"/>
    <n v="2"/>
    <x v="0"/>
    <n v="1"/>
    <s v="Shipped"/>
  </r>
  <r>
    <s v="ORD00148"/>
    <x v="119"/>
    <s v="CUST204"/>
    <s v="Riya"/>
    <x v="1"/>
    <n v="59"/>
    <x v="9"/>
    <x v="0"/>
    <x v="9"/>
    <x v="3"/>
    <n v="2"/>
    <n v="8194"/>
    <n v="5"/>
    <n v="819.4"/>
    <n v="2802.35"/>
    <n v="178"/>
    <n v="18548.95"/>
    <x v="0"/>
    <x v="1"/>
    <s v="Delhi"/>
    <x v="5"/>
    <x v="1"/>
    <n v="2"/>
    <x v="1"/>
    <n v="3"/>
    <s v="Cancelled"/>
  </r>
  <r>
    <s v="ORD00149"/>
    <x v="120"/>
    <s v="CUST237"/>
    <s v="Neha"/>
    <x v="1"/>
    <n v="31"/>
    <x v="6"/>
    <x v="0"/>
    <x v="6"/>
    <x v="4"/>
    <n v="2"/>
    <n v="23798"/>
    <n v="5"/>
    <n v="2379.8000000000002"/>
    <n v="8138.92"/>
    <n v="62"/>
    <n v="53417.120000000003"/>
    <x v="1"/>
    <x v="1"/>
    <s v="Pune"/>
    <x v="0"/>
    <x v="0"/>
    <n v="2"/>
    <x v="1"/>
    <n v="5"/>
    <s v="Cancelled"/>
  </r>
  <r>
    <s v="ORD00150"/>
    <x v="121"/>
    <s v="CUST635"/>
    <s v="Priya"/>
    <x v="0"/>
    <n v="50"/>
    <x v="2"/>
    <x v="1"/>
    <x v="2"/>
    <x v="2"/>
    <n v="1"/>
    <n v="26351"/>
    <n v="5"/>
    <n v="1317.55"/>
    <n v="4506.0200000000004"/>
    <n v="205"/>
    <n v="29744.47"/>
    <x v="1"/>
    <x v="1"/>
    <s v="Delhi"/>
    <x v="5"/>
    <x v="1"/>
    <n v="9"/>
    <x v="1"/>
    <n v="1"/>
    <s v="Delivered"/>
  </r>
  <r>
    <s v="ORD00151"/>
    <x v="122"/>
    <s v="CUST742"/>
    <s v="Neha"/>
    <x v="0"/>
    <n v="40"/>
    <x v="8"/>
    <x v="0"/>
    <x v="8"/>
    <x v="4"/>
    <n v="2"/>
    <n v="32644"/>
    <n v="0"/>
    <n v="0"/>
    <n v="11751.84"/>
    <n v="413"/>
    <n v="77452.84"/>
    <x v="3"/>
    <x v="0"/>
    <s v="Pune"/>
    <x v="0"/>
    <x v="0"/>
    <n v="7"/>
    <x v="0"/>
    <n v="4"/>
    <s v="Cancelled"/>
  </r>
  <r>
    <s v="ORD00152"/>
    <x v="123"/>
    <s v="CUST493"/>
    <s v="Vikas"/>
    <x v="0"/>
    <n v="34"/>
    <x v="8"/>
    <x v="0"/>
    <x v="8"/>
    <x v="0"/>
    <n v="5"/>
    <n v="13792"/>
    <n v="0"/>
    <n v="0"/>
    <n v="12412.8"/>
    <n v="437"/>
    <n v="81809.8"/>
    <x v="2"/>
    <x v="1"/>
    <s v="Lucknow"/>
    <x v="4"/>
    <x v="1"/>
    <n v="1"/>
    <x v="0"/>
    <n v="4"/>
    <s v="Delivered"/>
  </r>
  <r>
    <s v="ORD00153"/>
    <x v="124"/>
    <s v="CUST596"/>
    <s v="Karan"/>
    <x v="1"/>
    <n v="31"/>
    <x v="4"/>
    <x v="0"/>
    <x v="4"/>
    <x v="7"/>
    <n v="5"/>
    <n v="12497"/>
    <n v="15"/>
    <n v="9372.75"/>
    <n v="9560.2000000000007"/>
    <n v="71"/>
    <n v="62743.46"/>
    <x v="0"/>
    <x v="1"/>
    <s v="Lucknow"/>
    <x v="4"/>
    <x v="1"/>
    <n v="10"/>
    <x v="1"/>
    <n v="5"/>
    <s v="Delivered"/>
  </r>
  <r>
    <s v="ORD00154"/>
    <x v="118"/>
    <s v="CUST437"/>
    <s v="Anjali"/>
    <x v="0"/>
    <n v="51"/>
    <x v="2"/>
    <x v="1"/>
    <x v="2"/>
    <x v="1"/>
    <n v="5"/>
    <n v="46090"/>
    <n v="5"/>
    <n v="11522.5"/>
    <n v="39406.949999999997"/>
    <n v="212"/>
    <n v="258546.45"/>
    <x v="2"/>
    <x v="1"/>
    <s v="Bangalore"/>
    <x v="3"/>
    <x v="2"/>
    <n v="6"/>
    <x v="0"/>
    <n v="2"/>
    <s v="Cancelled"/>
  </r>
  <r>
    <s v="ORD00155"/>
    <x v="125"/>
    <s v="CUST774"/>
    <s v="Neha"/>
    <x v="0"/>
    <n v="34"/>
    <x v="6"/>
    <x v="0"/>
    <x v="6"/>
    <x v="9"/>
    <n v="5"/>
    <n v="5689"/>
    <n v="10"/>
    <n v="2844.5"/>
    <n v="4608.09"/>
    <n v="96"/>
    <n v="30304.59"/>
    <x v="2"/>
    <x v="0"/>
    <s v="Patiala"/>
    <x v="1"/>
    <x v="1"/>
    <n v="6"/>
    <x v="1"/>
    <n v="1"/>
    <s v="Cancelled"/>
  </r>
  <r>
    <s v="ORD00156"/>
    <x v="39"/>
    <s v="CUST652"/>
    <s v="Sneha"/>
    <x v="0"/>
    <n v="39"/>
    <x v="2"/>
    <x v="1"/>
    <x v="2"/>
    <x v="4"/>
    <n v="1"/>
    <n v="37843"/>
    <n v="0"/>
    <n v="0"/>
    <n v="6811.74"/>
    <n v="134"/>
    <n v="44788.74"/>
    <x v="1"/>
    <x v="0"/>
    <s v="Bangalore"/>
    <x v="3"/>
    <x v="2"/>
    <n v="8"/>
    <x v="0"/>
    <n v="3"/>
    <s v="Shipped"/>
  </r>
  <r>
    <s v="ORD00157"/>
    <x v="126"/>
    <s v="CUST395"/>
    <s v="Neha"/>
    <x v="1"/>
    <n v="26"/>
    <x v="9"/>
    <x v="0"/>
    <x v="9"/>
    <x v="1"/>
    <n v="2"/>
    <n v="11265"/>
    <n v="20"/>
    <n v="4506"/>
    <n v="3244.32"/>
    <n v="220"/>
    <n v="21488.32"/>
    <x v="2"/>
    <x v="1"/>
    <s v="Bangalore"/>
    <x v="3"/>
    <x v="2"/>
    <n v="4"/>
    <x v="1"/>
    <n v="2"/>
    <s v="Cancelled"/>
  </r>
  <r>
    <s v="ORD00158"/>
    <x v="127"/>
    <s v="CUST116"/>
    <s v="Neha"/>
    <x v="0"/>
    <n v="28"/>
    <x v="4"/>
    <x v="0"/>
    <x v="4"/>
    <x v="4"/>
    <n v="2"/>
    <n v="3628"/>
    <n v="20"/>
    <n v="1451.2"/>
    <n v="1044.8599999999999"/>
    <n v="45"/>
    <n v="6894.66"/>
    <x v="3"/>
    <x v="0"/>
    <s v="Delhi"/>
    <x v="5"/>
    <x v="1"/>
    <n v="2"/>
    <x v="1"/>
    <n v="1"/>
    <s v="Delivered"/>
  </r>
  <r>
    <s v="ORD00159"/>
    <x v="128"/>
    <s v="CUST707"/>
    <s v="Amit"/>
    <x v="1"/>
    <n v="35"/>
    <x v="4"/>
    <x v="0"/>
    <x v="4"/>
    <x v="2"/>
    <n v="2"/>
    <n v="7118"/>
    <n v="10"/>
    <n v="1423.6"/>
    <n v="2306.23"/>
    <n v="140"/>
    <n v="15258.63"/>
    <x v="3"/>
    <x v="1"/>
    <s v="Pune"/>
    <x v="0"/>
    <x v="0"/>
    <n v="10"/>
    <x v="0"/>
    <n v="3"/>
    <s v="Shipped"/>
  </r>
  <r>
    <s v="ORD00160"/>
    <x v="83"/>
    <s v="CUST330"/>
    <s v="Anjali"/>
    <x v="1"/>
    <n v="48"/>
    <x v="6"/>
    <x v="0"/>
    <x v="6"/>
    <x v="2"/>
    <n v="2"/>
    <n v="31726"/>
    <n v="15"/>
    <n v="9517.7999999999993"/>
    <n v="9708.16"/>
    <n v="13"/>
    <n v="63655.360000000001"/>
    <x v="3"/>
    <x v="1"/>
    <s v="Mumbai"/>
    <x v="0"/>
    <x v="0"/>
    <n v="1"/>
    <x v="0"/>
    <n v="5"/>
    <s v="Cancelled"/>
  </r>
  <r>
    <s v="ORD00161"/>
    <x v="92"/>
    <s v="CUST275"/>
    <s v="Karan"/>
    <x v="0"/>
    <n v="24"/>
    <x v="9"/>
    <x v="0"/>
    <x v="9"/>
    <x v="3"/>
    <n v="4"/>
    <n v="42298"/>
    <n v="20"/>
    <n v="33838.400000000001"/>
    <n v="24363.65"/>
    <n v="262"/>
    <n v="159979.25"/>
    <x v="1"/>
    <x v="1"/>
    <s v="Patiala"/>
    <x v="1"/>
    <x v="1"/>
    <n v="8"/>
    <x v="0"/>
    <n v="5"/>
    <s v="Delivered"/>
  </r>
  <r>
    <s v="ORD00162"/>
    <x v="129"/>
    <s v="CUST133"/>
    <s v="Priya"/>
    <x v="1"/>
    <n v="30"/>
    <x v="1"/>
    <x v="0"/>
    <x v="1"/>
    <x v="6"/>
    <n v="4"/>
    <n v="43897"/>
    <n v="15"/>
    <n v="26338.2"/>
    <n v="26864.959999999999"/>
    <n v="108"/>
    <n v="176222.76"/>
    <x v="1"/>
    <x v="1"/>
    <s v="Patiala"/>
    <x v="1"/>
    <x v="1"/>
    <n v="8"/>
    <x v="0"/>
    <n v="3"/>
    <s v="Cancelled"/>
  </r>
  <r>
    <s v="ORD00163"/>
    <x v="130"/>
    <s v="CUST905"/>
    <s v="Rahul"/>
    <x v="0"/>
    <n v="19"/>
    <x v="7"/>
    <x v="1"/>
    <x v="7"/>
    <x v="6"/>
    <n v="2"/>
    <n v="48486"/>
    <n v="0"/>
    <n v="0"/>
    <n v="17454.96"/>
    <n v="267"/>
    <n v="114693.96"/>
    <x v="1"/>
    <x v="0"/>
    <s v="Bangalore"/>
    <x v="3"/>
    <x v="2"/>
    <n v="1"/>
    <x v="0"/>
    <n v="5"/>
    <s v="Delivered"/>
  </r>
  <r>
    <s v="ORD00164"/>
    <x v="51"/>
    <s v="CUST196"/>
    <s v="Amit"/>
    <x v="0"/>
    <n v="37"/>
    <x v="7"/>
    <x v="1"/>
    <x v="7"/>
    <x v="4"/>
    <n v="3"/>
    <n v="11761"/>
    <n v="15"/>
    <n v="5292.45"/>
    <n v="5398.3"/>
    <n v="14"/>
    <n v="35402.85"/>
    <x v="0"/>
    <x v="1"/>
    <s v="Chandigarh"/>
    <x v="1"/>
    <x v="1"/>
    <n v="5"/>
    <x v="0"/>
    <n v="1"/>
    <s v="Delivered"/>
  </r>
  <r>
    <s v="ORD00165"/>
    <x v="15"/>
    <s v="CUST169"/>
    <s v="Sneha"/>
    <x v="1"/>
    <n v="19"/>
    <x v="5"/>
    <x v="0"/>
    <x v="5"/>
    <x v="5"/>
    <n v="1"/>
    <n v="34466"/>
    <n v="5"/>
    <n v="1723.3"/>
    <n v="5893.69"/>
    <n v="50"/>
    <n v="38686.39"/>
    <x v="3"/>
    <x v="0"/>
    <s v="Lucknow"/>
    <x v="4"/>
    <x v="1"/>
    <n v="1"/>
    <x v="0"/>
    <n v="3"/>
    <s v="Delivered"/>
  </r>
  <r>
    <s v="ORD00166"/>
    <x v="119"/>
    <s v="CUST774"/>
    <s v="Vikas"/>
    <x v="0"/>
    <n v="57"/>
    <x v="7"/>
    <x v="1"/>
    <x v="7"/>
    <x v="0"/>
    <n v="3"/>
    <n v="42623"/>
    <n v="20"/>
    <n v="25573.8"/>
    <n v="18413.14"/>
    <n v="20"/>
    <n v="120728.34"/>
    <x v="1"/>
    <x v="1"/>
    <s v="Lucknow"/>
    <x v="4"/>
    <x v="1"/>
    <n v="1"/>
    <x v="1"/>
    <n v="1"/>
    <s v="Shipped"/>
  </r>
  <r>
    <s v="ORD00167"/>
    <x v="131"/>
    <s v="CUST715"/>
    <s v="Karan"/>
    <x v="0"/>
    <n v="45"/>
    <x v="2"/>
    <x v="1"/>
    <x v="2"/>
    <x v="8"/>
    <n v="2"/>
    <n v="35830"/>
    <n v="10"/>
    <n v="7166"/>
    <n v="11608.92"/>
    <n v="133"/>
    <n v="76235.92"/>
    <x v="2"/>
    <x v="0"/>
    <s v="Chandigarh"/>
    <x v="1"/>
    <x v="1"/>
    <n v="8"/>
    <x v="1"/>
    <n v="1"/>
    <s v="Delivered"/>
  </r>
  <r>
    <s v="ORD00168"/>
    <x v="132"/>
    <s v="CUST634"/>
    <s v="Anjali"/>
    <x v="0"/>
    <n v="37"/>
    <x v="7"/>
    <x v="1"/>
    <x v="7"/>
    <x v="0"/>
    <n v="1"/>
    <n v="40523"/>
    <n v="0"/>
    <n v="0"/>
    <n v="7294.14"/>
    <n v="302"/>
    <n v="48119.14"/>
    <x v="3"/>
    <x v="1"/>
    <s v="Patiala"/>
    <x v="1"/>
    <x v="1"/>
    <n v="9"/>
    <x v="0"/>
    <n v="5"/>
    <s v="Returned"/>
  </r>
  <r>
    <s v="ORD00169"/>
    <x v="133"/>
    <s v="CUST198"/>
    <s v="Amit"/>
    <x v="1"/>
    <n v="24"/>
    <x v="1"/>
    <x v="0"/>
    <x v="1"/>
    <x v="9"/>
    <n v="4"/>
    <n v="11352"/>
    <n v="0"/>
    <n v="0"/>
    <n v="8173.44"/>
    <n v="161"/>
    <n v="53742.44"/>
    <x v="1"/>
    <x v="0"/>
    <s v="Mumbai"/>
    <x v="0"/>
    <x v="0"/>
    <n v="6"/>
    <x v="0"/>
    <n v="1"/>
    <s v="Cancelled"/>
  </r>
  <r>
    <s v="ORD00170"/>
    <x v="134"/>
    <s v="CUST119"/>
    <s v="Rahul"/>
    <x v="1"/>
    <n v="18"/>
    <x v="3"/>
    <x v="2"/>
    <x v="3"/>
    <x v="0"/>
    <n v="4"/>
    <n v="42955"/>
    <n v="0"/>
    <n v="0"/>
    <n v="30927.599999999999"/>
    <n v="41"/>
    <n v="202788.6"/>
    <x v="1"/>
    <x v="1"/>
    <s v="Pune"/>
    <x v="0"/>
    <x v="0"/>
    <n v="9"/>
    <x v="0"/>
    <n v="3"/>
    <s v="Returned"/>
  </r>
  <r>
    <s v="ORD00171"/>
    <x v="135"/>
    <s v="CUST117"/>
    <s v="Anjali"/>
    <x v="0"/>
    <n v="59"/>
    <x v="2"/>
    <x v="1"/>
    <x v="2"/>
    <x v="6"/>
    <n v="3"/>
    <n v="40789"/>
    <n v="10"/>
    <n v="12236.7"/>
    <n v="19823.45"/>
    <n v="488"/>
    <n v="130441.75"/>
    <x v="3"/>
    <x v="0"/>
    <s v="Chandigarh"/>
    <x v="1"/>
    <x v="1"/>
    <n v="3"/>
    <x v="0"/>
    <n v="1"/>
    <s v="Returned"/>
  </r>
  <r>
    <s v="ORD00172"/>
    <x v="80"/>
    <s v="CUST260"/>
    <s v="Vikas"/>
    <x v="0"/>
    <n v="56"/>
    <x v="0"/>
    <x v="0"/>
    <x v="0"/>
    <x v="0"/>
    <n v="5"/>
    <n v="39991"/>
    <n v="5"/>
    <n v="9997.75"/>
    <n v="34192.31"/>
    <n v="328"/>
    <n v="224477.55"/>
    <x v="0"/>
    <x v="1"/>
    <s v="Delhi"/>
    <x v="5"/>
    <x v="1"/>
    <n v="10"/>
    <x v="1"/>
    <n v="4"/>
    <s v="Cancelled"/>
  </r>
  <r>
    <s v="ORD00173"/>
    <x v="6"/>
    <s v="CUST689"/>
    <s v="Karan"/>
    <x v="1"/>
    <n v="41"/>
    <x v="1"/>
    <x v="0"/>
    <x v="1"/>
    <x v="9"/>
    <n v="3"/>
    <n v="22410"/>
    <n v="10"/>
    <n v="6723"/>
    <n v="10891.26"/>
    <n v="365"/>
    <n v="71763.259999999995"/>
    <x v="1"/>
    <x v="1"/>
    <s v="Delhi"/>
    <x v="5"/>
    <x v="1"/>
    <n v="1"/>
    <x v="1"/>
    <n v="1"/>
    <s v="Returned"/>
  </r>
  <r>
    <s v="ORD00174"/>
    <x v="136"/>
    <s v="CUST343"/>
    <s v="Amit"/>
    <x v="0"/>
    <n v="18"/>
    <x v="6"/>
    <x v="0"/>
    <x v="6"/>
    <x v="1"/>
    <n v="4"/>
    <n v="3086"/>
    <n v="10"/>
    <n v="1234.4000000000001"/>
    <n v="1999.73"/>
    <n v="247"/>
    <n v="13356.33"/>
    <x v="0"/>
    <x v="1"/>
    <s v="Mumbai"/>
    <x v="0"/>
    <x v="0"/>
    <n v="4"/>
    <x v="1"/>
    <n v="5"/>
    <s v="Cancelled"/>
  </r>
  <r>
    <s v="ORD00175"/>
    <x v="137"/>
    <s v="CUST273"/>
    <s v="Arjun"/>
    <x v="1"/>
    <n v="53"/>
    <x v="0"/>
    <x v="0"/>
    <x v="0"/>
    <x v="2"/>
    <n v="3"/>
    <n v="39476"/>
    <n v="20"/>
    <n v="23685.599999999999"/>
    <n v="17053.63"/>
    <n v="78"/>
    <n v="111874.03"/>
    <x v="3"/>
    <x v="1"/>
    <s v="Delhi"/>
    <x v="5"/>
    <x v="1"/>
    <n v="5"/>
    <x v="1"/>
    <n v="2"/>
    <s v="Returned"/>
  </r>
  <r>
    <s v="ORD00176"/>
    <x v="138"/>
    <s v="CUST899"/>
    <s v="Arjun"/>
    <x v="0"/>
    <n v="31"/>
    <x v="1"/>
    <x v="0"/>
    <x v="1"/>
    <x v="1"/>
    <n v="1"/>
    <n v="31021"/>
    <n v="15"/>
    <n v="4653.1499999999996"/>
    <n v="4746.21"/>
    <n v="39"/>
    <n v="31153.06"/>
    <x v="3"/>
    <x v="0"/>
    <s v="Patiala"/>
    <x v="1"/>
    <x v="1"/>
    <n v="8"/>
    <x v="1"/>
    <n v="4"/>
    <s v="Delivered"/>
  </r>
  <r>
    <s v="ORD00177"/>
    <x v="139"/>
    <s v="CUST737"/>
    <s v="Sneha"/>
    <x v="1"/>
    <n v="46"/>
    <x v="4"/>
    <x v="0"/>
    <x v="4"/>
    <x v="9"/>
    <n v="1"/>
    <n v="581"/>
    <n v="0"/>
    <n v="0"/>
    <n v="104.58"/>
    <n v="19"/>
    <n v="704.58"/>
    <x v="3"/>
    <x v="0"/>
    <s v="Delhi"/>
    <x v="5"/>
    <x v="1"/>
    <n v="4"/>
    <x v="1"/>
    <n v="2"/>
    <s v="Shipped"/>
  </r>
  <r>
    <s v="ORD00178"/>
    <x v="5"/>
    <s v="CUST387"/>
    <s v="Riya"/>
    <x v="0"/>
    <n v="23"/>
    <x v="8"/>
    <x v="0"/>
    <x v="8"/>
    <x v="5"/>
    <n v="3"/>
    <n v="36753"/>
    <n v="10"/>
    <n v="11025.9"/>
    <n v="17861.96"/>
    <n v="200"/>
    <n v="117295.06"/>
    <x v="2"/>
    <x v="0"/>
    <s v="Lucknow"/>
    <x v="4"/>
    <x v="1"/>
    <n v="9"/>
    <x v="0"/>
    <n v="3"/>
    <s v="Cancelled"/>
  </r>
  <r>
    <s v="ORD00179"/>
    <x v="140"/>
    <s v="CUST825"/>
    <s v="Rahul"/>
    <x v="1"/>
    <n v="30"/>
    <x v="9"/>
    <x v="0"/>
    <x v="9"/>
    <x v="4"/>
    <n v="3"/>
    <n v="34859"/>
    <n v="5"/>
    <n v="5228.8500000000004"/>
    <n v="17882.669999999998"/>
    <n v="482"/>
    <n v="117712.82"/>
    <x v="2"/>
    <x v="0"/>
    <s v="Patiala"/>
    <x v="1"/>
    <x v="1"/>
    <n v="6"/>
    <x v="1"/>
    <n v="1"/>
    <s v="Returned"/>
  </r>
  <r>
    <s v="ORD00180"/>
    <x v="141"/>
    <s v="CUST930"/>
    <s v="Anjali"/>
    <x v="1"/>
    <n v="38"/>
    <x v="3"/>
    <x v="2"/>
    <x v="3"/>
    <x v="8"/>
    <n v="3"/>
    <n v="27908"/>
    <n v="15"/>
    <n v="12558.6"/>
    <n v="12809.77"/>
    <n v="250"/>
    <n v="84225.17"/>
    <x v="1"/>
    <x v="0"/>
    <s v="Patiala"/>
    <x v="1"/>
    <x v="1"/>
    <n v="9"/>
    <x v="1"/>
    <n v="5"/>
    <s v="Delivered"/>
  </r>
  <r>
    <s v="ORD00181"/>
    <x v="142"/>
    <s v="CUST588"/>
    <s v="Anjali"/>
    <x v="1"/>
    <n v="29"/>
    <x v="9"/>
    <x v="0"/>
    <x v="9"/>
    <x v="3"/>
    <n v="3"/>
    <n v="47658"/>
    <n v="0"/>
    <n v="0"/>
    <n v="25735.32"/>
    <n v="240"/>
    <n v="168949.32"/>
    <x v="1"/>
    <x v="0"/>
    <s v="Patiala"/>
    <x v="1"/>
    <x v="1"/>
    <n v="4"/>
    <x v="0"/>
    <n v="2"/>
    <s v="Cancelled"/>
  </r>
  <r>
    <s v="ORD00182"/>
    <x v="143"/>
    <s v="CUST374"/>
    <s v="Karan"/>
    <x v="1"/>
    <n v="56"/>
    <x v="0"/>
    <x v="0"/>
    <x v="0"/>
    <x v="2"/>
    <n v="4"/>
    <n v="2329"/>
    <n v="0"/>
    <n v="0"/>
    <n v="1676.88"/>
    <n v="348"/>
    <n v="11340.88"/>
    <x v="2"/>
    <x v="0"/>
    <s v="Chandigarh"/>
    <x v="1"/>
    <x v="1"/>
    <n v="1"/>
    <x v="0"/>
    <n v="2"/>
    <s v="Delivered"/>
  </r>
  <r>
    <s v="ORD00183"/>
    <x v="63"/>
    <s v="CUST172"/>
    <s v="Karan"/>
    <x v="1"/>
    <n v="42"/>
    <x v="0"/>
    <x v="0"/>
    <x v="0"/>
    <x v="9"/>
    <n v="2"/>
    <n v="10674"/>
    <n v="20"/>
    <n v="4269.6000000000004"/>
    <n v="3074.11"/>
    <n v="316"/>
    <n v="20468.509999999998"/>
    <x v="0"/>
    <x v="0"/>
    <s v="Pune"/>
    <x v="0"/>
    <x v="0"/>
    <n v="5"/>
    <x v="0"/>
    <n v="1"/>
    <s v="Shipped"/>
  </r>
  <r>
    <s v="ORD00184"/>
    <x v="111"/>
    <s v="CUST922"/>
    <s v="Anjali"/>
    <x v="0"/>
    <n v="37"/>
    <x v="9"/>
    <x v="0"/>
    <x v="9"/>
    <x v="2"/>
    <n v="4"/>
    <n v="9797"/>
    <n v="15"/>
    <n v="5878.2"/>
    <n v="5995.76"/>
    <n v="457"/>
    <n v="39762.559999999998"/>
    <x v="3"/>
    <x v="0"/>
    <s v="Chandigarh"/>
    <x v="1"/>
    <x v="1"/>
    <n v="3"/>
    <x v="1"/>
    <n v="5"/>
    <s v="Shipped"/>
  </r>
  <r>
    <s v="ORD00185"/>
    <x v="144"/>
    <s v="CUST755"/>
    <s v="Amit"/>
    <x v="1"/>
    <n v="46"/>
    <x v="4"/>
    <x v="0"/>
    <x v="4"/>
    <x v="0"/>
    <n v="3"/>
    <n v="44724"/>
    <n v="5"/>
    <n v="6708.6"/>
    <n v="22943.41"/>
    <n v="76"/>
    <n v="150482.81"/>
    <x v="3"/>
    <x v="0"/>
    <s v="Delhi"/>
    <x v="5"/>
    <x v="1"/>
    <n v="7"/>
    <x v="1"/>
    <n v="2"/>
    <s v="Shipped"/>
  </r>
  <r>
    <s v="ORD00186"/>
    <x v="145"/>
    <s v="CUST130"/>
    <s v="Amit"/>
    <x v="0"/>
    <n v="33"/>
    <x v="1"/>
    <x v="0"/>
    <x v="1"/>
    <x v="8"/>
    <n v="2"/>
    <n v="41199"/>
    <n v="20"/>
    <n v="16479.599999999999"/>
    <n v="11865.31"/>
    <n v="317"/>
    <n v="78100.710000000006"/>
    <x v="2"/>
    <x v="1"/>
    <s v="Pune"/>
    <x v="0"/>
    <x v="0"/>
    <n v="2"/>
    <x v="0"/>
    <n v="3"/>
    <s v="Delivered"/>
  </r>
  <r>
    <s v="ORD00187"/>
    <x v="146"/>
    <s v="CUST635"/>
    <s v="Sneha"/>
    <x v="1"/>
    <n v="37"/>
    <x v="6"/>
    <x v="0"/>
    <x v="6"/>
    <x v="4"/>
    <n v="5"/>
    <n v="41589"/>
    <n v="0"/>
    <n v="0"/>
    <n v="37430.1"/>
    <n v="194"/>
    <n v="245569.1"/>
    <x v="0"/>
    <x v="1"/>
    <s v="Patiala"/>
    <x v="1"/>
    <x v="1"/>
    <n v="10"/>
    <x v="0"/>
    <n v="1"/>
    <s v="Delivered"/>
  </r>
  <r>
    <s v="ORD00188"/>
    <x v="31"/>
    <s v="CUST542"/>
    <s v="Neha"/>
    <x v="1"/>
    <n v="50"/>
    <x v="9"/>
    <x v="0"/>
    <x v="9"/>
    <x v="8"/>
    <n v="3"/>
    <n v="38807"/>
    <n v="5"/>
    <n v="5821.05"/>
    <n v="19907.990000000002"/>
    <n v="361"/>
    <n v="130868.94"/>
    <x v="1"/>
    <x v="0"/>
    <s v="Pune"/>
    <x v="0"/>
    <x v="0"/>
    <n v="10"/>
    <x v="1"/>
    <n v="5"/>
    <s v="Returned"/>
  </r>
  <r>
    <s v="ORD00189"/>
    <x v="147"/>
    <s v="CUST301"/>
    <s v="Priya"/>
    <x v="1"/>
    <n v="32"/>
    <x v="0"/>
    <x v="0"/>
    <x v="0"/>
    <x v="3"/>
    <n v="1"/>
    <n v="6099"/>
    <n v="0"/>
    <n v="0"/>
    <n v="1097.82"/>
    <n v="238"/>
    <n v="7434.82"/>
    <x v="1"/>
    <x v="1"/>
    <s v="Lucknow"/>
    <x v="4"/>
    <x v="1"/>
    <n v="10"/>
    <x v="0"/>
    <n v="2"/>
    <s v="Delivered"/>
  </r>
  <r>
    <s v="ORD00190"/>
    <x v="4"/>
    <s v="CUST210"/>
    <s v="Anjali"/>
    <x v="0"/>
    <n v="25"/>
    <x v="2"/>
    <x v="1"/>
    <x v="2"/>
    <x v="9"/>
    <n v="1"/>
    <n v="22901"/>
    <n v="0"/>
    <n v="0"/>
    <n v="4122.18"/>
    <n v="141"/>
    <n v="27164.18"/>
    <x v="2"/>
    <x v="0"/>
    <s v="Lucknow"/>
    <x v="4"/>
    <x v="1"/>
    <n v="4"/>
    <x v="1"/>
    <n v="3"/>
    <s v="Delivered"/>
  </r>
  <r>
    <s v="ORD00191"/>
    <x v="148"/>
    <s v="CUST908"/>
    <s v="Priya"/>
    <x v="0"/>
    <n v="58"/>
    <x v="1"/>
    <x v="0"/>
    <x v="1"/>
    <x v="1"/>
    <n v="2"/>
    <n v="15512"/>
    <n v="20"/>
    <n v="6204.8"/>
    <n v="4467.46"/>
    <n v="484"/>
    <n v="29770.66"/>
    <x v="3"/>
    <x v="1"/>
    <s v="Mumbai"/>
    <x v="0"/>
    <x v="0"/>
    <n v="8"/>
    <x v="1"/>
    <n v="1"/>
    <s v="Returned"/>
  </r>
  <r>
    <s v="ORD00192"/>
    <x v="8"/>
    <s v="CUST584"/>
    <s v="Rahul"/>
    <x v="1"/>
    <n v="58"/>
    <x v="6"/>
    <x v="0"/>
    <x v="6"/>
    <x v="2"/>
    <n v="3"/>
    <n v="15329"/>
    <n v="15"/>
    <n v="6898.05"/>
    <n v="7036.01"/>
    <n v="288"/>
    <n v="46412.959999999999"/>
    <x v="1"/>
    <x v="1"/>
    <s v="Jaipur"/>
    <x v="2"/>
    <x v="1"/>
    <n v="4"/>
    <x v="0"/>
    <n v="5"/>
    <s v="Shipped"/>
  </r>
  <r>
    <s v="ORD00193"/>
    <x v="149"/>
    <s v="CUST912"/>
    <s v="Rahul"/>
    <x v="1"/>
    <n v="57"/>
    <x v="2"/>
    <x v="1"/>
    <x v="2"/>
    <x v="0"/>
    <n v="1"/>
    <n v="10386"/>
    <n v="10"/>
    <n v="1038.5999999999999"/>
    <n v="1682.53"/>
    <n v="35"/>
    <n v="11064.93"/>
    <x v="3"/>
    <x v="1"/>
    <s v="Patiala"/>
    <x v="1"/>
    <x v="1"/>
    <n v="10"/>
    <x v="1"/>
    <n v="4"/>
    <s v="Delivered"/>
  </r>
  <r>
    <s v="ORD00194"/>
    <x v="150"/>
    <s v="CUST248"/>
    <s v="Riya"/>
    <x v="1"/>
    <n v="24"/>
    <x v="5"/>
    <x v="0"/>
    <x v="5"/>
    <x v="7"/>
    <n v="1"/>
    <n v="35438"/>
    <n v="20"/>
    <n v="7087.6"/>
    <n v="5103.07"/>
    <n v="457"/>
    <n v="33910.47"/>
    <x v="0"/>
    <x v="0"/>
    <s v="Chandigarh"/>
    <x v="1"/>
    <x v="1"/>
    <n v="10"/>
    <x v="0"/>
    <n v="1"/>
    <s v="Returned"/>
  </r>
  <r>
    <s v="ORD00195"/>
    <x v="151"/>
    <s v="CUST509"/>
    <s v="Rahul"/>
    <x v="0"/>
    <n v="56"/>
    <x v="2"/>
    <x v="1"/>
    <x v="2"/>
    <x v="2"/>
    <n v="2"/>
    <n v="44534"/>
    <n v="15"/>
    <n v="13360.2"/>
    <n v="13627.4"/>
    <n v="3"/>
    <n v="89338.2"/>
    <x v="1"/>
    <x v="0"/>
    <s v="Delhi"/>
    <x v="5"/>
    <x v="1"/>
    <n v="5"/>
    <x v="0"/>
    <n v="2"/>
    <s v="Returned"/>
  </r>
  <r>
    <s v="ORD00196"/>
    <x v="152"/>
    <s v="CUST642"/>
    <s v="Riya"/>
    <x v="0"/>
    <n v="50"/>
    <x v="9"/>
    <x v="0"/>
    <x v="9"/>
    <x v="2"/>
    <n v="3"/>
    <n v="34485"/>
    <n v="20"/>
    <n v="20691"/>
    <n v="14897.52"/>
    <n v="283"/>
    <n v="97944.52"/>
    <x v="1"/>
    <x v="1"/>
    <s v="Jaipur"/>
    <x v="2"/>
    <x v="1"/>
    <n v="6"/>
    <x v="0"/>
    <n v="5"/>
    <s v="Cancelled"/>
  </r>
  <r>
    <s v="ORD00197"/>
    <x v="153"/>
    <s v="CUST315"/>
    <s v="Rahul"/>
    <x v="0"/>
    <n v="29"/>
    <x v="8"/>
    <x v="0"/>
    <x v="8"/>
    <x v="6"/>
    <n v="5"/>
    <n v="2512"/>
    <n v="5"/>
    <n v="628"/>
    <n v="2147.7600000000002"/>
    <n v="234"/>
    <n v="14313.76"/>
    <x v="2"/>
    <x v="0"/>
    <s v="Mumbai"/>
    <x v="0"/>
    <x v="0"/>
    <n v="5"/>
    <x v="0"/>
    <n v="2"/>
    <s v="Delivered"/>
  </r>
  <r>
    <s v="ORD00198"/>
    <x v="75"/>
    <s v="CUST105"/>
    <s v="Sneha"/>
    <x v="1"/>
    <n v="33"/>
    <x v="4"/>
    <x v="0"/>
    <x v="4"/>
    <x v="5"/>
    <n v="5"/>
    <n v="17388"/>
    <n v="0"/>
    <n v="0"/>
    <n v="15649.2"/>
    <n v="308"/>
    <n v="102897.2"/>
    <x v="2"/>
    <x v="1"/>
    <s v="Bangalore"/>
    <x v="3"/>
    <x v="2"/>
    <n v="7"/>
    <x v="1"/>
    <n v="5"/>
    <s v="Delivered"/>
  </r>
  <r>
    <s v="ORD00199"/>
    <x v="90"/>
    <s v="CUST273"/>
    <s v="Arjun"/>
    <x v="1"/>
    <n v="57"/>
    <x v="9"/>
    <x v="0"/>
    <x v="9"/>
    <x v="1"/>
    <n v="2"/>
    <n v="2519"/>
    <n v="0"/>
    <n v="0"/>
    <n v="906.84"/>
    <n v="204"/>
    <n v="6148.84"/>
    <x v="3"/>
    <x v="0"/>
    <s v="Bangalore"/>
    <x v="3"/>
    <x v="2"/>
    <n v="8"/>
    <x v="0"/>
    <n v="3"/>
    <s v="Shipped"/>
  </r>
  <r>
    <s v="ORD00200"/>
    <x v="66"/>
    <s v="CUST651"/>
    <s v="Rahul"/>
    <x v="1"/>
    <n v="51"/>
    <x v="0"/>
    <x v="0"/>
    <x v="0"/>
    <x v="9"/>
    <n v="3"/>
    <n v="16183"/>
    <n v="10"/>
    <n v="4854.8999999999996"/>
    <n v="7864.94"/>
    <n v="2"/>
    <n v="51561.04"/>
    <x v="0"/>
    <x v="1"/>
    <s v="Mumbai"/>
    <x v="0"/>
    <x v="0"/>
    <n v="6"/>
    <x v="1"/>
    <n v="2"/>
    <s v="Returned"/>
  </r>
  <r>
    <s v="ORD00201"/>
    <x v="154"/>
    <s v="CUST584"/>
    <s v="Neha"/>
    <x v="0"/>
    <n v="18"/>
    <x v="9"/>
    <x v="0"/>
    <x v="9"/>
    <x v="1"/>
    <n v="1"/>
    <n v="10602"/>
    <n v="5"/>
    <n v="530.1"/>
    <n v="1812.94"/>
    <n v="367"/>
    <n v="12251.84"/>
    <x v="0"/>
    <x v="0"/>
    <s v="Lucknow"/>
    <x v="4"/>
    <x v="1"/>
    <n v="2"/>
    <x v="0"/>
    <n v="1"/>
    <s v="Cancelled"/>
  </r>
  <r>
    <s v="ORD00202"/>
    <x v="37"/>
    <s v="CUST499"/>
    <s v="Vikas"/>
    <x v="0"/>
    <n v="21"/>
    <x v="9"/>
    <x v="0"/>
    <x v="9"/>
    <x v="7"/>
    <n v="4"/>
    <n v="7961"/>
    <n v="10"/>
    <n v="3184.4"/>
    <n v="5158.7299999999996"/>
    <n v="317"/>
    <n v="34135.33"/>
    <x v="0"/>
    <x v="0"/>
    <s v="Pune"/>
    <x v="0"/>
    <x v="0"/>
    <n v="4"/>
    <x v="1"/>
    <n v="5"/>
    <s v="Shipped"/>
  </r>
  <r>
    <s v="ORD00203"/>
    <x v="155"/>
    <s v="CUST550"/>
    <s v="Vikas"/>
    <x v="0"/>
    <n v="19"/>
    <x v="2"/>
    <x v="1"/>
    <x v="2"/>
    <x v="0"/>
    <n v="1"/>
    <n v="12794"/>
    <n v="0"/>
    <n v="0"/>
    <n v="2302.92"/>
    <n v="244"/>
    <n v="15340.92"/>
    <x v="0"/>
    <x v="1"/>
    <s v="Mumbai"/>
    <x v="0"/>
    <x v="0"/>
    <n v="6"/>
    <x v="0"/>
    <n v="3"/>
    <s v="Shipped"/>
  </r>
  <r>
    <s v="ORD00204"/>
    <x v="156"/>
    <s v="CUST480"/>
    <s v="Riya"/>
    <x v="0"/>
    <n v="35"/>
    <x v="5"/>
    <x v="0"/>
    <x v="5"/>
    <x v="7"/>
    <n v="4"/>
    <n v="22668"/>
    <n v="5"/>
    <n v="4533.6000000000004"/>
    <n v="15504.91"/>
    <n v="15"/>
    <n v="101658.31"/>
    <x v="3"/>
    <x v="1"/>
    <s v="Delhi"/>
    <x v="5"/>
    <x v="1"/>
    <n v="8"/>
    <x v="0"/>
    <n v="5"/>
    <s v="Returned"/>
  </r>
  <r>
    <s v="ORD00205"/>
    <x v="81"/>
    <s v="CUST402"/>
    <s v="Priya"/>
    <x v="0"/>
    <n v="41"/>
    <x v="0"/>
    <x v="0"/>
    <x v="0"/>
    <x v="6"/>
    <n v="3"/>
    <n v="5734"/>
    <n v="20"/>
    <n v="3440.4"/>
    <n v="2477.09"/>
    <n v="0"/>
    <n v="16238.69"/>
    <x v="3"/>
    <x v="1"/>
    <s v="Patiala"/>
    <x v="1"/>
    <x v="1"/>
    <n v="5"/>
    <x v="1"/>
    <n v="3"/>
    <s v="Cancelled"/>
  </r>
  <r>
    <s v="ORD00206"/>
    <x v="157"/>
    <s v="CUST684"/>
    <s v="Arjun"/>
    <x v="0"/>
    <n v="59"/>
    <x v="9"/>
    <x v="0"/>
    <x v="9"/>
    <x v="5"/>
    <n v="4"/>
    <n v="30869"/>
    <n v="0"/>
    <n v="0"/>
    <n v="22225.68"/>
    <n v="282"/>
    <n v="145983.67999999999"/>
    <x v="3"/>
    <x v="0"/>
    <s v="Bangalore"/>
    <x v="3"/>
    <x v="2"/>
    <n v="7"/>
    <x v="0"/>
    <n v="4"/>
    <s v="Shipped"/>
  </r>
  <r>
    <s v="ORD00207"/>
    <x v="158"/>
    <s v="CUST510"/>
    <s v="Vikas"/>
    <x v="0"/>
    <n v="49"/>
    <x v="3"/>
    <x v="2"/>
    <x v="3"/>
    <x v="0"/>
    <n v="1"/>
    <n v="7798"/>
    <n v="10"/>
    <n v="779.8"/>
    <n v="1263.28"/>
    <n v="371"/>
    <n v="8652.48"/>
    <x v="3"/>
    <x v="1"/>
    <s v="Patiala"/>
    <x v="1"/>
    <x v="1"/>
    <n v="6"/>
    <x v="0"/>
    <n v="3"/>
    <s v="Cancelled"/>
  </r>
  <r>
    <s v="ORD00208"/>
    <x v="159"/>
    <s v="CUST801"/>
    <s v="Amit"/>
    <x v="1"/>
    <n v="49"/>
    <x v="9"/>
    <x v="0"/>
    <x v="9"/>
    <x v="5"/>
    <n v="2"/>
    <n v="41986"/>
    <n v="5"/>
    <n v="4198.6000000000004"/>
    <n v="14359.21"/>
    <n v="169"/>
    <n v="94301.61"/>
    <x v="3"/>
    <x v="1"/>
    <s v="Patiala"/>
    <x v="1"/>
    <x v="1"/>
    <n v="6"/>
    <x v="1"/>
    <n v="5"/>
    <s v="Shipped"/>
  </r>
  <r>
    <s v="ORD00209"/>
    <x v="160"/>
    <s v="CUST132"/>
    <s v="Vikas"/>
    <x v="0"/>
    <n v="26"/>
    <x v="8"/>
    <x v="0"/>
    <x v="8"/>
    <x v="7"/>
    <n v="1"/>
    <n v="31155"/>
    <n v="5"/>
    <n v="1557.75"/>
    <n v="5327.51"/>
    <n v="11"/>
    <n v="34935.75"/>
    <x v="2"/>
    <x v="0"/>
    <s v="Lucknow"/>
    <x v="4"/>
    <x v="1"/>
    <n v="1"/>
    <x v="1"/>
    <n v="5"/>
    <s v="Delivered"/>
  </r>
  <r>
    <s v="ORD00210"/>
    <x v="161"/>
    <s v="CUST861"/>
    <s v="Vikas"/>
    <x v="1"/>
    <n v="53"/>
    <x v="5"/>
    <x v="0"/>
    <x v="5"/>
    <x v="8"/>
    <n v="4"/>
    <n v="41074"/>
    <n v="20"/>
    <n v="32859.199999999997"/>
    <n v="23658.62"/>
    <n v="115"/>
    <n v="155210.42000000001"/>
    <x v="1"/>
    <x v="0"/>
    <s v="Delhi"/>
    <x v="5"/>
    <x v="1"/>
    <n v="1"/>
    <x v="0"/>
    <n v="1"/>
    <s v="Returned"/>
  </r>
  <r>
    <s v="ORD00211"/>
    <x v="162"/>
    <s v="CUST485"/>
    <s v="Sneha"/>
    <x v="0"/>
    <n v="50"/>
    <x v="5"/>
    <x v="0"/>
    <x v="5"/>
    <x v="8"/>
    <n v="1"/>
    <n v="47164"/>
    <n v="20"/>
    <n v="9432.7999999999993"/>
    <n v="6791.62"/>
    <n v="27"/>
    <n v="44549.82"/>
    <x v="0"/>
    <x v="1"/>
    <s v="Mumbai"/>
    <x v="0"/>
    <x v="0"/>
    <n v="3"/>
    <x v="1"/>
    <n v="3"/>
    <s v="Shipped"/>
  </r>
  <r>
    <s v="ORD00212"/>
    <x v="15"/>
    <s v="CUST845"/>
    <s v="Sneha"/>
    <x v="0"/>
    <n v="35"/>
    <x v="2"/>
    <x v="1"/>
    <x v="2"/>
    <x v="4"/>
    <n v="4"/>
    <n v="12596"/>
    <n v="15"/>
    <n v="7557.6"/>
    <n v="7708.75"/>
    <n v="445"/>
    <n v="50980.15"/>
    <x v="1"/>
    <x v="0"/>
    <s v="Chandigarh"/>
    <x v="1"/>
    <x v="1"/>
    <n v="8"/>
    <x v="0"/>
    <n v="3"/>
    <s v="Cancelled"/>
  </r>
  <r>
    <s v="ORD00213"/>
    <x v="163"/>
    <s v="CUST164"/>
    <s v="Neha"/>
    <x v="1"/>
    <n v="35"/>
    <x v="8"/>
    <x v="0"/>
    <x v="8"/>
    <x v="2"/>
    <n v="3"/>
    <n v="17489"/>
    <n v="20"/>
    <n v="10493.4"/>
    <n v="7555.25"/>
    <n v="241"/>
    <n v="49769.85"/>
    <x v="3"/>
    <x v="0"/>
    <s v="Bangalore"/>
    <x v="3"/>
    <x v="2"/>
    <n v="8"/>
    <x v="1"/>
    <n v="4"/>
    <s v="Shipped"/>
  </r>
  <r>
    <s v="ORD00214"/>
    <x v="164"/>
    <s v="CUST737"/>
    <s v="Arjun"/>
    <x v="1"/>
    <n v="54"/>
    <x v="1"/>
    <x v="0"/>
    <x v="1"/>
    <x v="7"/>
    <n v="2"/>
    <n v="8534"/>
    <n v="0"/>
    <n v="0"/>
    <n v="3072.24"/>
    <n v="230"/>
    <n v="20370.240000000002"/>
    <x v="0"/>
    <x v="1"/>
    <s v="Mumbai"/>
    <x v="0"/>
    <x v="0"/>
    <n v="6"/>
    <x v="0"/>
    <n v="3"/>
    <s v="Cancelled"/>
  </r>
  <r>
    <s v="ORD00215"/>
    <x v="165"/>
    <s v="CUST155"/>
    <s v="Anjali"/>
    <x v="0"/>
    <n v="48"/>
    <x v="7"/>
    <x v="1"/>
    <x v="7"/>
    <x v="7"/>
    <n v="4"/>
    <n v="22679"/>
    <n v="0"/>
    <n v="0"/>
    <n v="16328.88"/>
    <n v="412"/>
    <n v="107456.88"/>
    <x v="2"/>
    <x v="1"/>
    <s v="Jaipur"/>
    <x v="2"/>
    <x v="1"/>
    <n v="4"/>
    <x v="0"/>
    <n v="5"/>
    <s v="Returned"/>
  </r>
  <r>
    <s v="ORD00216"/>
    <x v="98"/>
    <s v="CUST786"/>
    <s v="Karan"/>
    <x v="1"/>
    <n v="29"/>
    <x v="6"/>
    <x v="0"/>
    <x v="6"/>
    <x v="3"/>
    <n v="3"/>
    <n v="10780"/>
    <n v="15"/>
    <n v="4851"/>
    <n v="4948.0200000000004"/>
    <n v="12"/>
    <n v="32449.02"/>
    <x v="3"/>
    <x v="1"/>
    <s v="Bangalore"/>
    <x v="3"/>
    <x v="2"/>
    <n v="6"/>
    <x v="0"/>
    <n v="2"/>
    <s v="Delivered"/>
  </r>
  <r>
    <s v="ORD00217"/>
    <x v="166"/>
    <s v="CUST870"/>
    <s v="Arjun"/>
    <x v="0"/>
    <n v="22"/>
    <x v="7"/>
    <x v="1"/>
    <x v="7"/>
    <x v="9"/>
    <n v="1"/>
    <n v="41995"/>
    <n v="15"/>
    <n v="6299.25"/>
    <n v="6425.23"/>
    <n v="363"/>
    <n v="42483.99"/>
    <x v="0"/>
    <x v="0"/>
    <s v="Mumbai"/>
    <x v="0"/>
    <x v="0"/>
    <n v="10"/>
    <x v="0"/>
    <n v="3"/>
    <s v="Shipped"/>
  </r>
  <r>
    <s v="ORD00218"/>
    <x v="108"/>
    <s v="CUST984"/>
    <s v="Vikas"/>
    <x v="0"/>
    <n v="51"/>
    <x v="1"/>
    <x v="0"/>
    <x v="1"/>
    <x v="5"/>
    <n v="1"/>
    <n v="2778"/>
    <n v="15"/>
    <n v="416.7"/>
    <n v="425.03"/>
    <n v="387"/>
    <n v="3173.33"/>
    <x v="3"/>
    <x v="1"/>
    <s v="Bangalore"/>
    <x v="3"/>
    <x v="2"/>
    <n v="9"/>
    <x v="0"/>
    <n v="5"/>
    <s v="Delivered"/>
  </r>
  <r>
    <s v="ORD00219"/>
    <x v="161"/>
    <s v="CUST500"/>
    <s v="Amit"/>
    <x v="1"/>
    <n v="27"/>
    <x v="3"/>
    <x v="2"/>
    <x v="3"/>
    <x v="3"/>
    <n v="3"/>
    <n v="35468"/>
    <n v="5"/>
    <n v="5320.2"/>
    <n v="18195.080000000002"/>
    <n v="238"/>
    <n v="119516.88"/>
    <x v="2"/>
    <x v="1"/>
    <s v="Lucknow"/>
    <x v="4"/>
    <x v="1"/>
    <n v="4"/>
    <x v="1"/>
    <n v="1"/>
    <s v="Shipped"/>
  </r>
  <r>
    <s v="ORD00220"/>
    <x v="144"/>
    <s v="CUST188"/>
    <s v="Karan"/>
    <x v="0"/>
    <n v="50"/>
    <x v="5"/>
    <x v="0"/>
    <x v="5"/>
    <x v="3"/>
    <n v="2"/>
    <n v="32959"/>
    <n v="20"/>
    <n v="13183.6"/>
    <n v="9492.19"/>
    <n v="266"/>
    <n v="62492.59"/>
    <x v="2"/>
    <x v="1"/>
    <s v="Delhi"/>
    <x v="5"/>
    <x v="1"/>
    <n v="8"/>
    <x v="1"/>
    <n v="5"/>
    <s v="Cancelled"/>
  </r>
  <r>
    <s v="ORD00221"/>
    <x v="96"/>
    <s v="CUST969"/>
    <s v="Sneha"/>
    <x v="0"/>
    <n v="53"/>
    <x v="6"/>
    <x v="0"/>
    <x v="6"/>
    <x v="3"/>
    <n v="4"/>
    <n v="31028"/>
    <n v="15"/>
    <n v="18616.8"/>
    <n v="18989.14"/>
    <n v="443"/>
    <n v="124927.34"/>
    <x v="3"/>
    <x v="1"/>
    <s v="Pune"/>
    <x v="0"/>
    <x v="0"/>
    <n v="1"/>
    <x v="1"/>
    <n v="3"/>
    <s v="Shipped"/>
  </r>
  <r>
    <s v="ORD00222"/>
    <x v="167"/>
    <s v="CUST348"/>
    <s v="Neha"/>
    <x v="1"/>
    <n v="54"/>
    <x v="8"/>
    <x v="0"/>
    <x v="8"/>
    <x v="2"/>
    <n v="4"/>
    <n v="19158"/>
    <n v="15"/>
    <n v="11494.8"/>
    <n v="11724.7"/>
    <n v="319"/>
    <n v="77180.899999999994"/>
    <x v="2"/>
    <x v="0"/>
    <s v="Bangalore"/>
    <x v="3"/>
    <x v="2"/>
    <n v="4"/>
    <x v="1"/>
    <n v="2"/>
    <s v="Shipped"/>
  </r>
  <r>
    <s v="ORD00223"/>
    <x v="1"/>
    <s v="CUST897"/>
    <s v="Anjali"/>
    <x v="1"/>
    <n v="57"/>
    <x v="6"/>
    <x v="0"/>
    <x v="6"/>
    <x v="0"/>
    <n v="1"/>
    <n v="25847"/>
    <n v="10"/>
    <n v="2584.6999999999998"/>
    <n v="4187.21"/>
    <n v="496"/>
    <n v="27945.51"/>
    <x v="2"/>
    <x v="0"/>
    <s v="Bangalore"/>
    <x v="3"/>
    <x v="2"/>
    <n v="9"/>
    <x v="1"/>
    <n v="1"/>
    <s v="Cancelled"/>
  </r>
  <r>
    <s v="ORD00224"/>
    <x v="168"/>
    <s v="CUST382"/>
    <s v="Amit"/>
    <x v="1"/>
    <n v="44"/>
    <x v="3"/>
    <x v="2"/>
    <x v="3"/>
    <x v="9"/>
    <n v="2"/>
    <n v="27899"/>
    <n v="5"/>
    <n v="2789.9"/>
    <n v="9541.4599999999991"/>
    <n v="245"/>
    <n v="62794.559999999998"/>
    <x v="2"/>
    <x v="0"/>
    <s v="Chandigarh"/>
    <x v="1"/>
    <x v="1"/>
    <n v="6"/>
    <x v="1"/>
    <n v="2"/>
    <s v="Delivered"/>
  </r>
  <r>
    <s v="ORD00225"/>
    <x v="63"/>
    <s v="CUST507"/>
    <s v="Priya"/>
    <x v="1"/>
    <n v="32"/>
    <x v="0"/>
    <x v="0"/>
    <x v="0"/>
    <x v="8"/>
    <n v="5"/>
    <n v="4763"/>
    <n v="20"/>
    <n v="4763"/>
    <n v="3429.36"/>
    <n v="197"/>
    <n v="22678.36"/>
    <x v="3"/>
    <x v="0"/>
    <s v="Jaipur"/>
    <x v="2"/>
    <x v="1"/>
    <n v="6"/>
    <x v="1"/>
    <n v="1"/>
    <s v="Cancelled"/>
  </r>
  <r>
    <s v="ORD00226"/>
    <x v="169"/>
    <s v="CUST531"/>
    <s v="Priya"/>
    <x v="1"/>
    <n v="18"/>
    <x v="0"/>
    <x v="0"/>
    <x v="0"/>
    <x v="7"/>
    <n v="2"/>
    <n v="26643"/>
    <n v="0"/>
    <n v="0"/>
    <n v="9591.48"/>
    <n v="210"/>
    <n v="63087.48"/>
    <x v="1"/>
    <x v="0"/>
    <s v="Mumbai"/>
    <x v="0"/>
    <x v="0"/>
    <n v="3"/>
    <x v="0"/>
    <n v="2"/>
    <s v="Shipped"/>
  </r>
  <r>
    <s v="ORD00227"/>
    <x v="103"/>
    <s v="CUST528"/>
    <s v="Anjali"/>
    <x v="1"/>
    <n v="41"/>
    <x v="6"/>
    <x v="0"/>
    <x v="6"/>
    <x v="2"/>
    <n v="2"/>
    <n v="15860"/>
    <n v="20"/>
    <n v="6344"/>
    <n v="4567.68"/>
    <n v="237"/>
    <n v="30180.68"/>
    <x v="0"/>
    <x v="1"/>
    <s v="Pune"/>
    <x v="0"/>
    <x v="0"/>
    <n v="9"/>
    <x v="1"/>
    <n v="4"/>
    <s v="Delivered"/>
  </r>
  <r>
    <s v="ORD00228"/>
    <x v="5"/>
    <s v="CUST799"/>
    <s v="Rahul"/>
    <x v="1"/>
    <n v="56"/>
    <x v="5"/>
    <x v="0"/>
    <x v="5"/>
    <x v="6"/>
    <n v="5"/>
    <n v="7974"/>
    <n v="5"/>
    <n v="1993.5"/>
    <n v="6817.77"/>
    <n v="291"/>
    <n v="44985.27"/>
    <x v="3"/>
    <x v="1"/>
    <s v="Pune"/>
    <x v="0"/>
    <x v="0"/>
    <n v="4"/>
    <x v="0"/>
    <n v="2"/>
    <s v="Delivered"/>
  </r>
  <r>
    <s v="ORD00229"/>
    <x v="31"/>
    <s v="CUST311"/>
    <s v="Sneha"/>
    <x v="0"/>
    <n v="35"/>
    <x v="3"/>
    <x v="2"/>
    <x v="3"/>
    <x v="9"/>
    <n v="3"/>
    <n v="41035"/>
    <n v="20"/>
    <n v="24621"/>
    <n v="17727.12"/>
    <n v="486"/>
    <n v="116697.12"/>
    <x v="0"/>
    <x v="1"/>
    <s v="Delhi"/>
    <x v="5"/>
    <x v="1"/>
    <n v="9"/>
    <x v="1"/>
    <n v="1"/>
    <s v="Shipped"/>
  </r>
  <r>
    <s v="ORD00230"/>
    <x v="150"/>
    <s v="CUST907"/>
    <s v="Rahul"/>
    <x v="0"/>
    <n v="23"/>
    <x v="0"/>
    <x v="0"/>
    <x v="0"/>
    <x v="9"/>
    <n v="5"/>
    <n v="13190"/>
    <n v="0"/>
    <n v="0"/>
    <n v="11871"/>
    <n v="493"/>
    <n v="78314"/>
    <x v="1"/>
    <x v="0"/>
    <s v="Pune"/>
    <x v="0"/>
    <x v="0"/>
    <n v="10"/>
    <x v="1"/>
    <n v="3"/>
    <s v="Shipped"/>
  </r>
  <r>
    <s v="ORD00231"/>
    <x v="170"/>
    <s v="CUST934"/>
    <s v="Arjun"/>
    <x v="1"/>
    <n v="19"/>
    <x v="8"/>
    <x v="0"/>
    <x v="8"/>
    <x v="1"/>
    <n v="3"/>
    <n v="35079"/>
    <n v="20"/>
    <n v="21047.4"/>
    <n v="15154.13"/>
    <n v="50"/>
    <n v="99393.73"/>
    <x v="2"/>
    <x v="1"/>
    <s v="Patiala"/>
    <x v="1"/>
    <x v="1"/>
    <n v="8"/>
    <x v="0"/>
    <n v="3"/>
    <s v="Cancelled"/>
  </r>
  <r>
    <s v="ORD00232"/>
    <x v="2"/>
    <s v="CUST922"/>
    <s v="Priya"/>
    <x v="0"/>
    <n v="43"/>
    <x v="4"/>
    <x v="0"/>
    <x v="4"/>
    <x v="2"/>
    <n v="4"/>
    <n v="19650"/>
    <n v="0"/>
    <n v="0"/>
    <n v="14148"/>
    <n v="372"/>
    <n v="93120"/>
    <x v="3"/>
    <x v="1"/>
    <s v="Delhi"/>
    <x v="5"/>
    <x v="1"/>
    <n v="3"/>
    <x v="0"/>
    <n v="4"/>
    <s v="Cancelled"/>
  </r>
  <r>
    <s v="ORD00233"/>
    <x v="171"/>
    <s v="CUST860"/>
    <s v="Amit"/>
    <x v="1"/>
    <n v="23"/>
    <x v="3"/>
    <x v="2"/>
    <x v="3"/>
    <x v="3"/>
    <n v="3"/>
    <n v="7283"/>
    <n v="0"/>
    <n v="0"/>
    <n v="3932.82"/>
    <n v="89"/>
    <n v="25870.82"/>
    <x v="3"/>
    <x v="0"/>
    <s v="Jaipur"/>
    <x v="2"/>
    <x v="1"/>
    <n v="5"/>
    <x v="0"/>
    <n v="4"/>
    <s v="Returned"/>
  </r>
  <r>
    <s v="ORD00234"/>
    <x v="62"/>
    <s v="CUST265"/>
    <s v="Amit"/>
    <x v="0"/>
    <n v="47"/>
    <x v="8"/>
    <x v="0"/>
    <x v="8"/>
    <x v="6"/>
    <n v="2"/>
    <n v="18597"/>
    <n v="0"/>
    <n v="0"/>
    <n v="6694.92"/>
    <n v="194"/>
    <n v="44082.92"/>
    <x v="0"/>
    <x v="0"/>
    <s v="Pune"/>
    <x v="0"/>
    <x v="0"/>
    <n v="6"/>
    <x v="1"/>
    <n v="1"/>
    <s v="Delivered"/>
  </r>
  <r>
    <s v="ORD00235"/>
    <x v="83"/>
    <s v="CUST201"/>
    <s v="Amit"/>
    <x v="1"/>
    <n v="41"/>
    <x v="7"/>
    <x v="1"/>
    <x v="7"/>
    <x v="7"/>
    <n v="1"/>
    <n v="17820"/>
    <n v="20"/>
    <n v="3564"/>
    <n v="2566.08"/>
    <n v="383"/>
    <n v="17205.080000000002"/>
    <x v="3"/>
    <x v="1"/>
    <s v="Pune"/>
    <x v="0"/>
    <x v="0"/>
    <n v="8"/>
    <x v="0"/>
    <n v="5"/>
    <s v="Cancelled"/>
  </r>
  <r>
    <s v="ORD00236"/>
    <x v="23"/>
    <s v="CUST313"/>
    <s v="Priya"/>
    <x v="0"/>
    <n v="58"/>
    <x v="7"/>
    <x v="1"/>
    <x v="7"/>
    <x v="0"/>
    <n v="5"/>
    <n v="29380"/>
    <n v="10"/>
    <n v="14690"/>
    <n v="23797.8"/>
    <n v="177"/>
    <n v="156184.79999999999"/>
    <x v="3"/>
    <x v="1"/>
    <s v="Pune"/>
    <x v="0"/>
    <x v="0"/>
    <n v="10"/>
    <x v="1"/>
    <n v="1"/>
    <s v="Delivered"/>
  </r>
  <r>
    <s v="ORD00237"/>
    <x v="13"/>
    <s v="CUST218"/>
    <s v="Karan"/>
    <x v="1"/>
    <n v="55"/>
    <x v="0"/>
    <x v="0"/>
    <x v="0"/>
    <x v="6"/>
    <n v="5"/>
    <n v="48636"/>
    <n v="20"/>
    <n v="48636"/>
    <n v="35017.919999999998"/>
    <n v="254"/>
    <n v="229815.92"/>
    <x v="1"/>
    <x v="0"/>
    <s v="Chandigarh"/>
    <x v="1"/>
    <x v="1"/>
    <n v="3"/>
    <x v="0"/>
    <n v="2"/>
    <s v="Delivered"/>
  </r>
  <r>
    <s v="ORD00238"/>
    <x v="172"/>
    <s v="CUST385"/>
    <s v="Arjun"/>
    <x v="0"/>
    <n v="40"/>
    <x v="0"/>
    <x v="0"/>
    <x v="0"/>
    <x v="5"/>
    <n v="3"/>
    <n v="4058"/>
    <n v="0"/>
    <n v="0"/>
    <n v="2191.3200000000002"/>
    <n v="130"/>
    <n v="14495.32"/>
    <x v="0"/>
    <x v="1"/>
    <s v="Chandigarh"/>
    <x v="1"/>
    <x v="1"/>
    <n v="4"/>
    <x v="0"/>
    <n v="5"/>
    <s v="Shipped"/>
  </r>
  <r>
    <s v="ORD00239"/>
    <x v="173"/>
    <s v="CUST260"/>
    <s v="Sneha"/>
    <x v="1"/>
    <n v="50"/>
    <x v="5"/>
    <x v="0"/>
    <x v="5"/>
    <x v="9"/>
    <n v="2"/>
    <n v="16518"/>
    <n v="15"/>
    <n v="4955.3999999999996"/>
    <n v="5054.51"/>
    <n v="326"/>
    <n v="33461.11"/>
    <x v="0"/>
    <x v="0"/>
    <s v="Pune"/>
    <x v="0"/>
    <x v="0"/>
    <n v="1"/>
    <x v="1"/>
    <n v="1"/>
    <s v="Returned"/>
  </r>
  <r>
    <s v="ORD00240"/>
    <x v="32"/>
    <s v="CUST652"/>
    <s v="Sneha"/>
    <x v="1"/>
    <n v="42"/>
    <x v="7"/>
    <x v="1"/>
    <x v="7"/>
    <x v="3"/>
    <n v="2"/>
    <n v="42034"/>
    <n v="20"/>
    <n v="16813.599999999999"/>
    <n v="12105.79"/>
    <n v="55"/>
    <n v="79415.19"/>
    <x v="0"/>
    <x v="1"/>
    <s v="Jaipur"/>
    <x v="2"/>
    <x v="1"/>
    <n v="6"/>
    <x v="1"/>
    <n v="1"/>
    <s v="Cancelled"/>
  </r>
  <r>
    <s v="ORD00241"/>
    <x v="167"/>
    <s v="CUST997"/>
    <s v="Amit"/>
    <x v="0"/>
    <n v="43"/>
    <x v="2"/>
    <x v="1"/>
    <x v="2"/>
    <x v="6"/>
    <n v="2"/>
    <n v="40255"/>
    <n v="0"/>
    <n v="0"/>
    <n v="14491.8"/>
    <n v="415"/>
    <n v="95416.8"/>
    <x v="3"/>
    <x v="0"/>
    <s v="Patiala"/>
    <x v="1"/>
    <x v="1"/>
    <n v="6"/>
    <x v="0"/>
    <n v="3"/>
    <s v="Shipped"/>
  </r>
  <r>
    <s v="ORD00242"/>
    <x v="150"/>
    <s v="CUST611"/>
    <s v="Priya"/>
    <x v="1"/>
    <n v="41"/>
    <x v="0"/>
    <x v="0"/>
    <x v="0"/>
    <x v="8"/>
    <n v="2"/>
    <n v="16819"/>
    <n v="10"/>
    <n v="3363.8"/>
    <n v="5449.36"/>
    <n v="185"/>
    <n v="35908.559999999998"/>
    <x v="0"/>
    <x v="1"/>
    <s v="Pune"/>
    <x v="0"/>
    <x v="0"/>
    <n v="9"/>
    <x v="1"/>
    <n v="1"/>
    <s v="Shipped"/>
  </r>
  <r>
    <s v="ORD00243"/>
    <x v="65"/>
    <s v="CUST885"/>
    <s v="Arjun"/>
    <x v="1"/>
    <n v="36"/>
    <x v="0"/>
    <x v="0"/>
    <x v="0"/>
    <x v="5"/>
    <n v="5"/>
    <n v="17749"/>
    <n v="0"/>
    <n v="0"/>
    <n v="15974.1"/>
    <n v="215"/>
    <n v="104934.1"/>
    <x v="1"/>
    <x v="0"/>
    <s v="Jaipur"/>
    <x v="2"/>
    <x v="1"/>
    <n v="9"/>
    <x v="0"/>
    <n v="1"/>
    <s v="Cancelled"/>
  </r>
  <r>
    <s v="ORD00244"/>
    <x v="3"/>
    <s v="CUST146"/>
    <s v="Sneha"/>
    <x v="0"/>
    <n v="59"/>
    <x v="7"/>
    <x v="1"/>
    <x v="7"/>
    <x v="1"/>
    <n v="1"/>
    <n v="17819"/>
    <n v="15"/>
    <n v="2672.85"/>
    <n v="2726.31"/>
    <n v="350"/>
    <n v="18222.46"/>
    <x v="3"/>
    <x v="1"/>
    <s v="Lucknow"/>
    <x v="4"/>
    <x v="1"/>
    <n v="4"/>
    <x v="1"/>
    <n v="3"/>
    <s v="Shipped"/>
  </r>
  <r>
    <s v="ORD00245"/>
    <x v="66"/>
    <s v="CUST955"/>
    <s v="Vikas"/>
    <x v="1"/>
    <n v="30"/>
    <x v="1"/>
    <x v="0"/>
    <x v="1"/>
    <x v="9"/>
    <n v="3"/>
    <n v="34354"/>
    <n v="5"/>
    <n v="5153.1000000000004"/>
    <n v="17623.599999999999"/>
    <n v="57"/>
    <n v="115589.5"/>
    <x v="3"/>
    <x v="1"/>
    <s v="Delhi"/>
    <x v="5"/>
    <x v="1"/>
    <n v="3"/>
    <x v="1"/>
    <n v="3"/>
    <s v="Cancelled"/>
  </r>
  <r>
    <s v="ORD00246"/>
    <x v="174"/>
    <s v="CUST541"/>
    <s v="Sneha"/>
    <x v="0"/>
    <n v="52"/>
    <x v="0"/>
    <x v="0"/>
    <x v="0"/>
    <x v="9"/>
    <n v="3"/>
    <n v="20946"/>
    <n v="20"/>
    <n v="12567.6"/>
    <n v="9048.67"/>
    <n v="113"/>
    <n v="59432.07"/>
    <x v="0"/>
    <x v="0"/>
    <s v="Chandigarh"/>
    <x v="1"/>
    <x v="1"/>
    <n v="10"/>
    <x v="1"/>
    <n v="3"/>
    <s v="Shipped"/>
  </r>
  <r>
    <s v="ORD00247"/>
    <x v="50"/>
    <s v="CUST161"/>
    <s v="Riya"/>
    <x v="1"/>
    <n v="22"/>
    <x v="4"/>
    <x v="0"/>
    <x v="4"/>
    <x v="3"/>
    <n v="5"/>
    <n v="46655"/>
    <n v="20"/>
    <n v="46655"/>
    <n v="33591.599999999999"/>
    <n v="138"/>
    <n v="220349.6"/>
    <x v="2"/>
    <x v="0"/>
    <s v="Chandigarh"/>
    <x v="1"/>
    <x v="1"/>
    <n v="9"/>
    <x v="0"/>
    <n v="3"/>
    <s v="Shipped"/>
  </r>
  <r>
    <s v="ORD00248"/>
    <x v="168"/>
    <s v="CUST982"/>
    <s v="Riya"/>
    <x v="1"/>
    <n v="36"/>
    <x v="7"/>
    <x v="1"/>
    <x v="7"/>
    <x v="7"/>
    <n v="4"/>
    <n v="3168"/>
    <n v="20"/>
    <n v="2534.4"/>
    <n v="1824.77"/>
    <n v="447"/>
    <n v="12409.37"/>
    <x v="2"/>
    <x v="1"/>
    <s v="Pune"/>
    <x v="0"/>
    <x v="0"/>
    <n v="9"/>
    <x v="1"/>
    <n v="3"/>
    <s v="Shipped"/>
  </r>
  <r>
    <s v="ORD00249"/>
    <x v="114"/>
    <s v="CUST564"/>
    <s v="Sneha"/>
    <x v="0"/>
    <n v="38"/>
    <x v="6"/>
    <x v="0"/>
    <x v="6"/>
    <x v="7"/>
    <n v="3"/>
    <n v="13647"/>
    <n v="20"/>
    <n v="8188.2"/>
    <n v="5895.5"/>
    <n v="193"/>
    <n v="38841.300000000003"/>
    <x v="1"/>
    <x v="1"/>
    <s v="Pune"/>
    <x v="0"/>
    <x v="0"/>
    <n v="9"/>
    <x v="0"/>
    <n v="5"/>
    <s v="Shipped"/>
  </r>
  <r>
    <s v="ORD00250"/>
    <x v="135"/>
    <s v="CUST433"/>
    <s v="Arjun"/>
    <x v="0"/>
    <n v="49"/>
    <x v="6"/>
    <x v="0"/>
    <x v="6"/>
    <x v="4"/>
    <n v="3"/>
    <n v="10903"/>
    <n v="0"/>
    <n v="0"/>
    <n v="5887.62"/>
    <n v="412"/>
    <n v="39008.620000000003"/>
    <x v="3"/>
    <x v="0"/>
    <s v="Lucknow"/>
    <x v="4"/>
    <x v="1"/>
    <n v="8"/>
    <x v="0"/>
    <n v="5"/>
    <s v="Shipped"/>
  </r>
  <r>
    <s v="ORD00251"/>
    <x v="61"/>
    <s v="CUST671"/>
    <s v="Karan"/>
    <x v="1"/>
    <n v="21"/>
    <x v="6"/>
    <x v="0"/>
    <x v="6"/>
    <x v="8"/>
    <n v="4"/>
    <n v="12320"/>
    <n v="15"/>
    <n v="7392"/>
    <n v="7539.84"/>
    <n v="154"/>
    <n v="49581.84"/>
    <x v="0"/>
    <x v="1"/>
    <s v="Lucknow"/>
    <x v="4"/>
    <x v="1"/>
    <n v="5"/>
    <x v="1"/>
    <n v="5"/>
    <s v="Shipped"/>
  </r>
  <r>
    <s v="ORD00252"/>
    <x v="175"/>
    <s v="CUST768"/>
    <s v="Rahul"/>
    <x v="1"/>
    <n v="37"/>
    <x v="7"/>
    <x v="1"/>
    <x v="7"/>
    <x v="8"/>
    <n v="1"/>
    <n v="14063"/>
    <n v="10"/>
    <n v="1406.3"/>
    <n v="2278.21"/>
    <n v="103"/>
    <n v="15037.91"/>
    <x v="1"/>
    <x v="1"/>
    <s v="Jaipur"/>
    <x v="2"/>
    <x v="1"/>
    <n v="2"/>
    <x v="1"/>
    <n v="1"/>
    <s v="Shipped"/>
  </r>
  <r>
    <s v="ORD00253"/>
    <x v="176"/>
    <s v="CUST865"/>
    <s v="Anjali"/>
    <x v="1"/>
    <n v="45"/>
    <x v="8"/>
    <x v="0"/>
    <x v="8"/>
    <x v="7"/>
    <n v="3"/>
    <n v="38458"/>
    <n v="0"/>
    <n v="0"/>
    <n v="20767.32"/>
    <n v="484"/>
    <n v="136625.32"/>
    <x v="3"/>
    <x v="1"/>
    <s v="Pune"/>
    <x v="0"/>
    <x v="0"/>
    <n v="4"/>
    <x v="0"/>
    <n v="1"/>
    <s v="Shipped"/>
  </r>
  <r>
    <s v="ORD00254"/>
    <x v="177"/>
    <s v="CUST629"/>
    <s v="Amit"/>
    <x v="1"/>
    <n v="40"/>
    <x v="9"/>
    <x v="0"/>
    <x v="9"/>
    <x v="4"/>
    <n v="3"/>
    <n v="2136"/>
    <n v="0"/>
    <n v="0"/>
    <n v="1153.44"/>
    <n v="388"/>
    <n v="7949.44"/>
    <x v="2"/>
    <x v="1"/>
    <s v="Bangalore"/>
    <x v="3"/>
    <x v="2"/>
    <n v="9"/>
    <x v="0"/>
    <n v="5"/>
    <s v="Returned"/>
  </r>
  <r>
    <s v="ORD00255"/>
    <x v="68"/>
    <s v="CUST717"/>
    <s v="Sneha"/>
    <x v="1"/>
    <n v="50"/>
    <x v="2"/>
    <x v="1"/>
    <x v="2"/>
    <x v="0"/>
    <n v="4"/>
    <n v="6313"/>
    <n v="20"/>
    <n v="5050.3999999999996"/>
    <n v="3636.29"/>
    <n v="1"/>
    <n v="23838.89"/>
    <x v="2"/>
    <x v="0"/>
    <s v="Lucknow"/>
    <x v="4"/>
    <x v="1"/>
    <n v="2"/>
    <x v="0"/>
    <n v="1"/>
    <s v="Cancelled"/>
  </r>
  <r>
    <s v="ORD00256"/>
    <x v="178"/>
    <s v="CUST102"/>
    <s v="Priya"/>
    <x v="1"/>
    <n v="46"/>
    <x v="8"/>
    <x v="0"/>
    <x v="8"/>
    <x v="4"/>
    <n v="4"/>
    <n v="26827"/>
    <n v="5"/>
    <n v="5365.4"/>
    <n v="18349.669999999998"/>
    <n v="70"/>
    <n v="120362.27"/>
    <x v="2"/>
    <x v="0"/>
    <s v="Bangalore"/>
    <x v="3"/>
    <x v="2"/>
    <n v="5"/>
    <x v="0"/>
    <n v="2"/>
    <s v="Shipped"/>
  </r>
  <r>
    <s v="ORD00257"/>
    <x v="179"/>
    <s v="CUST579"/>
    <s v="Karan"/>
    <x v="0"/>
    <n v="44"/>
    <x v="7"/>
    <x v="1"/>
    <x v="7"/>
    <x v="4"/>
    <n v="4"/>
    <n v="20044"/>
    <n v="10"/>
    <n v="8017.6"/>
    <n v="12988.51"/>
    <n v="449"/>
    <n v="85595.91"/>
    <x v="1"/>
    <x v="1"/>
    <s v="Delhi"/>
    <x v="5"/>
    <x v="1"/>
    <n v="4"/>
    <x v="1"/>
    <n v="5"/>
    <s v="Cancelled"/>
  </r>
  <r>
    <s v="ORD00258"/>
    <x v="180"/>
    <s v="CUST505"/>
    <s v="Anjali"/>
    <x v="0"/>
    <n v="60"/>
    <x v="9"/>
    <x v="0"/>
    <x v="9"/>
    <x v="9"/>
    <n v="5"/>
    <n v="2751"/>
    <n v="20"/>
    <n v="2751"/>
    <n v="1980.72"/>
    <n v="347"/>
    <n v="13331.72"/>
    <x v="0"/>
    <x v="0"/>
    <s v="Bangalore"/>
    <x v="3"/>
    <x v="2"/>
    <n v="5"/>
    <x v="0"/>
    <n v="5"/>
    <s v="Delivered"/>
  </r>
  <r>
    <s v="ORD00259"/>
    <x v="15"/>
    <s v="CUST841"/>
    <s v="Arjun"/>
    <x v="0"/>
    <n v="28"/>
    <x v="0"/>
    <x v="0"/>
    <x v="0"/>
    <x v="8"/>
    <n v="4"/>
    <n v="5599"/>
    <n v="20"/>
    <n v="4479.2"/>
    <n v="3225.02"/>
    <n v="479"/>
    <n v="21620.82"/>
    <x v="0"/>
    <x v="0"/>
    <s v="Bangalore"/>
    <x v="3"/>
    <x v="2"/>
    <n v="4"/>
    <x v="1"/>
    <n v="5"/>
    <s v="Shipped"/>
  </r>
  <r>
    <s v="ORD00260"/>
    <x v="181"/>
    <s v="CUST247"/>
    <s v="Priya"/>
    <x v="1"/>
    <n v="42"/>
    <x v="2"/>
    <x v="1"/>
    <x v="2"/>
    <x v="9"/>
    <n v="1"/>
    <n v="13659"/>
    <n v="20"/>
    <n v="2731.8"/>
    <n v="1966.9"/>
    <n v="370"/>
    <n v="13264.1"/>
    <x v="2"/>
    <x v="1"/>
    <s v="Pune"/>
    <x v="0"/>
    <x v="0"/>
    <n v="2"/>
    <x v="0"/>
    <n v="1"/>
    <s v="Shipped"/>
  </r>
  <r>
    <s v="ORD00261"/>
    <x v="65"/>
    <s v="CUST916"/>
    <s v="Anjali"/>
    <x v="0"/>
    <n v="41"/>
    <x v="6"/>
    <x v="0"/>
    <x v="6"/>
    <x v="7"/>
    <n v="3"/>
    <n v="35927"/>
    <n v="15"/>
    <n v="16167.15"/>
    <n v="16490.490000000002"/>
    <n v="110"/>
    <n v="108214.34"/>
    <x v="1"/>
    <x v="0"/>
    <s v="Chandigarh"/>
    <x v="1"/>
    <x v="1"/>
    <n v="1"/>
    <x v="0"/>
    <n v="2"/>
    <s v="Delivered"/>
  </r>
  <r>
    <s v="ORD00262"/>
    <x v="104"/>
    <s v="CUST137"/>
    <s v="Rahul"/>
    <x v="0"/>
    <n v="51"/>
    <x v="2"/>
    <x v="1"/>
    <x v="2"/>
    <x v="7"/>
    <n v="2"/>
    <n v="8718"/>
    <n v="5"/>
    <n v="871.8"/>
    <n v="2981.56"/>
    <n v="320"/>
    <n v="19865.759999999998"/>
    <x v="2"/>
    <x v="0"/>
    <s v="Chandigarh"/>
    <x v="1"/>
    <x v="1"/>
    <n v="9"/>
    <x v="0"/>
    <n v="3"/>
    <s v="Cancelled"/>
  </r>
  <r>
    <s v="ORD00263"/>
    <x v="67"/>
    <s v="CUST655"/>
    <s v="Karan"/>
    <x v="0"/>
    <n v="50"/>
    <x v="6"/>
    <x v="0"/>
    <x v="6"/>
    <x v="8"/>
    <n v="4"/>
    <n v="10032"/>
    <n v="5"/>
    <n v="2006.4"/>
    <n v="6861.89"/>
    <n v="42"/>
    <n v="45025.49"/>
    <x v="0"/>
    <x v="0"/>
    <s v="Patiala"/>
    <x v="1"/>
    <x v="1"/>
    <n v="3"/>
    <x v="0"/>
    <n v="3"/>
    <s v="Returned"/>
  </r>
  <r>
    <s v="ORD00264"/>
    <x v="11"/>
    <s v="CUST566"/>
    <s v="Neha"/>
    <x v="1"/>
    <n v="59"/>
    <x v="5"/>
    <x v="0"/>
    <x v="5"/>
    <x v="0"/>
    <n v="4"/>
    <n v="9542"/>
    <n v="20"/>
    <n v="7633.6"/>
    <n v="5496.19"/>
    <n v="372"/>
    <n v="36402.589999999997"/>
    <x v="1"/>
    <x v="1"/>
    <s v="Lucknow"/>
    <x v="4"/>
    <x v="1"/>
    <n v="10"/>
    <x v="1"/>
    <n v="3"/>
    <s v="Shipped"/>
  </r>
  <r>
    <s v="ORD00265"/>
    <x v="6"/>
    <s v="CUST813"/>
    <s v="Riya"/>
    <x v="0"/>
    <n v="41"/>
    <x v="4"/>
    <x v="0"/>
    <x v="4"/>
    <x v="8"/>
    <n v="1"/>
    <n v="9992"/>
    <n v="10"/>
    <n v="999.2"/>
    <n v="1618.7"/>
    <n v="323"/>
    <n v="10934.5"/>
    <x v="0"/>
    <x v="1"/>
    <s v="Delhi"/>
    <x v="5"/>
    <x v="1"/>
    <n v="10"/>
    <x v="1"/>
    <n v="4"/>
    <s v="Cancelled"/>
  </r>
  <r>
    <s v="ORD00266"/>
    <x v="30"/>
    <s v="CUST111"/>
    <s v="Anjali"/>
    <x v="1"/>
    <n v="25"/>
    <x v="3"/>
    <x v="2"/>
    <x v="3"/>
    <x v="6"/>
    <n v="2"/>
    <n v="2594"/>
    <n v="5"/>
    <n v="259.39999999999998"/>
    <n v="887.15"/>
    <n v="259"/>
    <n v="6074.75"/>
    <x v="3"/>
    <x v="0"/>
    <s v="Jaipur"/>
    <x v="2"/>
    <x v="1"/>
    <n v="10"/>
    <x v="1"/>
    <n v="5"/>
    <s v="Returned"/>
  </r>
  <r>
    <s v="ORD00267"/>
    <x v="178"/>
    <s v="CUST919"/>
    <s v="Amit"/>
    <x v="1"/>
    <n v="27"/>
    <x v="2"/>
    <x v="1"/>
    <x v="2"/>
    <x v="4"/>
    <n v="3"/>
    <n v="33711"/>
    <n v="15"/>
    <n v="15169.95"/>
    <n v="15473.35"/>
    <n v="84"/>
    <n v="101520.4"/>
    <x v="0"/>
    <x v="0"/>
    <s v="Bangalore"/>
    <x v="3"/>
    <x v="2"/>
    <n v="6"/>
    <x v="1"/>
    <n v="5"/>
    <s v="Delivered"/>
  </r>
  <r>
    <s v="ORD00268"/>
    <x v="36"/>
    <s v="CUST583"/>
    <s v="Vikas"/>
    <x v="0"/>
    <n v="41"/>
    <x v="6"/>
    <x v="0"/>
    <x v="6"/>
    <x v="2"/>
    <n v="5"/>
    <n v="28384"/>
    <n v="20"/>
    <n v="28384"/>
    <n v="20436.48"/>
    <n v="302"/>
    <n v="134274.48000000001"/>
    <x v="0"/>
    <x v="1"/>
    <s v="Jaipur"/>
    <x v="2"/>
    <x v="1"/>
    <n v="7"/>
    <x v="0"/>
    <n v="3"/>
    <s v="Returned"/>
  </r>
  <r>
    <s v="ORD00269"/>
    <x v="172"/>
    <s v="CUST708"/>
    <s v="Karan"/>
    <x v="1"/>
    <n v="29"/>
    <x v="2"/>
    <x v="1"/>
    <x v="2"/>
    <x v="3"/>
    <n v="3"/>
    <n v="35019"/>
    <n v="15"/>
    <n v="15758.55"/>
    <n v="16073.72"/>
    <n v="151"/>
    <n v="105523.17"/>
    <x v="3"/>
    <x v="1"/>
    <s v="Delhi"/>
    <x v="5"/>
    <x v="1"/>
    <n v="3"/>
    <x v="0"/>
    <n v="5"/>
    <s v="Cancelled"/>
  </r>
  <r>
    <s v="ORD00270"/>
    <x v="108"/>
    <s v="CUST178"/>
    <s v="Anjali"/>
    <x v="1"/>
    <n v="59"/>
    <x v="0"/>
    <x v="0"/>
    <x v="0"/>
    <x v="0"/>
    <n v="3"/>
    <n v="19289"/>
    <n v="10"/>
    <n v="5786.7"/>
    <n v="9374.4500000000007"/>
    <n v="261"/>
    <n v="61715.75"/>
    <x v="0"/>
    <x v="0"/>
    <s v="Pune"/>
    <x v="0"/>
    <x v="0"/>
    <n v="4"/>
    <x v="0"/>
    <n v="3"/>
    <s v="Delivered"/>
  </r>
  <r>
    <s v="ORD00271"/>
    <x v="182"/>
    <s v="CUST737"/>
    <s v="Vikas"/>
    <x v="0"/>
    <n v="44"/>
    <x v="7"/>
    <x v="1"/>
    <x v="7"/>
    <x v="2"/>
    <n v="4"/>
    <n v="47723"/>
    <n v="10"/>
    <n v="19089.2"/>
    <n v="30924.5"/>
    <n v="497"/>
    <n v="203224.3"/>
    <x v="3"/>
    <x v="1"/>
    <s v="Mumbai"/>
    <x v="0"/>
    <x v="0"/>
    <n v="8"/>
    <x v="0"/>
    <n v="1"/>
    <s v="Delivered"/>
  </r>
  <r>
    <s v="ORD00272"/>
    <x v="15"/>
    <s v="CUST343"/>
    <s v="Arjun"/>
    <x v="0"/>
    <n v="44"/>
    <x v="1"/>
    <x v="0"/>
    <x v="1"/>
    <x v="1"/>
    <n v="5"/>
    <n v="36579"/>
    <n v="5"/>
    <n v="9144.75"/>
    <n v="31275.040000000001"/>
    <n v="326"/>
    <n v="205351.29"/>
    <x v="3"/>
    <x v="1"/>
    <s v="Lucknow"/>
    <x v="4"/>
    <x v="1"/>
    <n v="4"/>
    <x v="0"/>
    <n v="4"/>
    <s v="Cancelled"/>
  </r>
  <r>
    <s v="ORD00273"/>
    <x v="133"/>
    <s v="CUST187"/>
    <s v="Priya"/>
    <x v="1"/>
    <n v="28"/>
    <x v="0"/>
    <x v="0"/>
    <x v="0"/>
    <x v="8"/>
    <n v="2"/>
    <n v="30501"/>
    <n v="10"/>
    <n v="6100.2"/>
    <n v="9882.32"/>
    <n v="215"/>
    <n v="64999.12"/>
    <x v="2"/>
    <x v="1"/>
    <s v="Lucknow"/>
    <x v="4"/>
    <x v="1"/>
    <n v="8"/>
    <x v="0"/>
    <n v="2"/>
    <s v="Returned"/>
  </r>
  <r>
    <s v="ORD00274"/>
    <x v="74"/>
    <s v="CUST626"/>
    <s v="Neha"/>
    <x v="0"/>
    <n v="19"/>
    <x v="1"/>
    <x v="0"/>
    <x v="1"/>
    <x v="4"/>
    <n v="3"/>
    <n v="35905"/>
    <n v="20"/>
    <n v="21543"/>
    <n v="15510.96"/>
    <n v="69"/>
    <n v="101751.96"/>
    <x v="3"/>
    <x v="1"/>
    <s v="Bangalore"/>
    <x v="3"/>
    <x v="2"/>
    <n v="6"/>
    <x v="0"/>
    <n v="4"/>
    <s v="Returned"/>
  </r>
  <r>
    <s v="ORD00275"/>
    <x v="183"/>
    <s v="CUST776"/>
    <s v="Riya"/>
    <x v="1"/>
    <n v="38"/>
    <x v="9"/>
    <x v="0"/>
    <x v="9"/>
    <x v="1"/>
    <n v="3"/>
    <n v="16019"/>
    <n v="10"/>
    <n v="4805.7"/>
    <n v="7785.23"/>
    <n v="9"/>
    <n v="51045.53"/>
    <x v="3"/>
    <x v="1"/>
    <s v="Bangalore"/>
    <x v="3"/>
    <x v="2"/>
    <n v="4"/>
    <x v="0"/>
    <n v="4"/>
    <s v="Cancelled"/>
  </r>
  <r>
    <s v="ORD00276"/>
    <x v="184"/>
    <s v="CUST981"/>
    <s v="Karan"/>
    <x v="0"/>
    <n v="22"/>
    <x v="6"/>
    <x v="0"/>
    <x v="6"/>
    <x v="1"/>
    <n v="4"/>
    <n v="19232"/>
    <n v="10"/>
    <n v="7692.8"/>
    <n v="12462.34"/>
    <n v="295"/>
    <n v="81992.539999999994"/>
    <x v="2"/>
    <x v="1"/>
    <s v="Mumbai"/>
    <x v="0"/>
    <x v="0"/>
    <n v="6"/>
    <x v="0"/>
    <n v="5"/>
    <s v="Cancelled"/>
  </r>
  <r>
    <s v="ORD00277"/>
    <x v="185"/>
    <s v="CUST425"/>
    <s v="Arjun"/>
    <x v="0"/>
    <n v="57"/>
    <x v="4"/>
    <x v="0"/>
    <x v="4"/>
    <x v="5"/>
    <n v="3"/>
    <n v="26220"/>
    <n v="5"/>
    <n v="3933"/>
    <n v="13450.86"/>
    <n v="337"/>
    <n v="88514.86"/>
    <x v="3"/>
    <x v="0"/>
    <s v="Pune"/>
    <x v="0"/>
    <x v="0"/>
    <n v="9"/>
    <x v="1"/>
    <n v="5"/>
    <s v="Returned"/>
  </r>
  <r>
    <s v="ORD00278"/>
    <x v="186"/>
    <s v="CUST196"/>
    <s v="Sneha"/>
    <x v="1"/>
    <n v="60"/>
    <x v="0"/>
    <x v="0"/>
    <x v="0"/>
    <x v="8"/>
    <n v="2"/>
    <n v="8816"/>
    <n v="20"/>
    <n v="3526.4"/>
    <n v="2539.0100000000002"/>
    <n v="394"/>
    <n v="17038.61"/>
    <x v="1"/>
    <x v="0"/>
    <s v="Pune"/>
    <x v="0"/>
    <x v="0"/>
    <n v="5"/>
    <x v="0"/>
    <n v="4"/>
    <s v="Returned"/>
  </r>
  <r>
    <s v="ORD00279"/>
    <x v="187"/>
    <s v="CUST741"/>
    <s v="Amit"/>
    <x v="1"/>
    <n v="32"/>
    <x v="9"/>
    <x v="0"/>
    <x v="9"/>
    <x v="3"/>
    <n v="1"/>
    <n v="21091"/>
    <n v="10"/>
    <n v="2109.1"/>
    <n v="3416.74"/>
    <n v="177"/>
    <n v="22575.64"/>
    <x v="2"/>
    <x v="1"/>
    <s v="Lucknow"/>
    <x v="4"/>
    <x v="1"/>
    <n v="1"/>
    <x v="1"/>
    <n v="1"/>
    <s v="Delivered"/>
  </r>
  <r>
    <s v="ORD00280"/>
    <x v="54"/>
    <s v="CUST997"/>
    <s v="Arjun"/>
    <x v="0"/>
    <n v="19"/>
    <x v="6"/>
    <x v="0"/>
    <x v="6"/>
    <x v="3"/>
    <n v="2"/>
    <n v="46647"/>
    <n v="0"/>
    <n v="0"/>
    <n v="16792.919999999998"/>
    <n v="477"/>
    <n v="110563.92"/>
    <x v="0"/>
    <x v="0"/>
    <s v="Delhi"/>
    <x v="5"/>
    <x v="1"/>
    <n v="6"/>
    <x v="0"/>
    <n v="2"/>
    <s v="Cancelled"/>
  </r>
  <r>
    <s v="ORD00281"/>
    <x v="188"/>
    <s v="CUST112"/>
    <s v="Amit"/>
    <x v="1"/>
    <n v="57"/>
    <x v="0"/>
    <x v="0"/>
    <x v="0"/>
    <x v="1"/>
    <n v="1"/>
    <n v="46084"/>
    <n v="10"/>
    <n v="4608.3999999999996"/>
    <n v="7465.61"/>
    <n v="166"/>
    <n v="49107.21"/>
    <x v="0"/>
    <x v="1"/>
    <s v="Lucknow"/>
    <x v="4"/>
    <x v="1"/>
    <n v="4"/>
    <x v="1"/>
    <n v="3"/>
    <s v="Cancelled"/>
  </r>
  <r>
    <s v="ORD00282"/>
    <x v="189"/>
    <s v="CUST422"/>
    <s v="Riya"/>
    <x v="0"/>
    <n v="27"/>
    <x v="5"/>
    <x v="0"/>
    <x v="5"/>
    <x v="1"/>
    <n v="2"/>
    <n v="13526"/>
    <n v="0"/>
    <n v="0"/>
    <n v="4869.3599999999997"/>
    <n v="286"/>
    <n v="32207.360000000001"/>
    <x v="1"/>
    <x v="1"/>
    <s v="Lucknow"/>
    <x v="4"/>
    <x v="1"/>
    <n v="8"/>
    <x v="0"/>
    <n v="5"/>
    <s v="Delivered"/>
  </r>
  <r>
    <s v="ORD00283"/>
    <x v="74"/>
    <s v="CUST228"/>
    <s v="Sneha"/>
    <x v="0"/>
    <n v="23"/>
    <x v="6"/>
    <x v="0"/>
    <x v="6"/>
    <x v="8"/>
    <n v="2"/>
    <n v="24594"/>
    <n v="15"/>
    <n v="7378.2"/>
    <n v="7525.76"/>
    <n v="423"/>
    <n v="49758.559999999998"/>
    <x v="0"/>
    <x v="0"/>
    <s v="Lucknow"/>
    <x v="4"/>
    <x v="1"/>
    <n v="5"/>
    <x v="1"/>
    <n v="3"/>
    <s v="Cancelled"/>
  </r>
  <r>
    <s v="ORD00284"/>
    <x v="190"/>
    <s v="CUST243"/>
    <s v="Vikas"/>
    <x v="1"/>
    <n v="48"/>
    <x v="4"/>
    <x v="0"/>
    <x v="4"/>
    <x v="1"/>
    <n v="1"/>
    <n v="8792"/>
    <n v="20"/>
    <n v="1758.4"/>
    <n v="1266.05"/>
    <n v="83"/>
    <n v="8382.65"/>
    <x v="0"/>
    <x v="0"/>
    <s v="Pune"/>
    <x v="0"/>
    <x v="0"/>
    <n v="3"/>
    <x v="1"/>
    <n v="2"/>
    <s v="Cancelled"/>
  </r>
  <r>
    <s v="ORD00285"/>
    <x v="46"/>
    <s v="CUST455"/>
    <s v="Amit"/>
    <x v="0"/>
    <n v="44"/>
    <x v="6"/>
    <x v="0"/>
    <x v="6"/>
    <x v="4"/>
    <n v="2"/>
    <n v="39070"/>
    <n v="0"/>
    <n v="0"/>
    <n v="14065.2"/>
    <n v="255"/>
    <n v="92460.2"/>
    <x v="0"/>
    <x v="1"/>
    <s v="Mumbai"/>
    <x v="0"/>
    <x v="0"/>
    <n v="9"/>
    <x v="1"/>
    <n v="5"/>
    <s v="Cancelled"/>
  </r>
  <r>
    <s v="ORD00286"/>
    <x v="191"/>
    <s v="CUST360"/>
    <s v="Neha"/>
    <x v="1"/>
    <n v="29"/>
    <x v="4"/>
    <x v="0"/>
    <x v="4"/>
    <x v="0"/>
    <n v="2"/>
    <n v="4186"/>
    <n v="15"/>
    <n v="1255.8"/>
    <n v="1280.92"/>
    <n v="320"/>
    <n v="8717.1200000000008"/>
    <x v="3"/>
    <x v="1"/>
    <s v="Delhi"/>
    <x v="5"/>
    <x v="1"/>
    <n v="2"/>
    <x v="1"/>
    <n v="4"/>
    <s v="Delivered"/>
  </r>
  <r>
    <s v="ORD00287"/>
    <x v="109"/>
    <s v="CUST789"/>
    <s v="Amit"/>
    <x v="1"/>
    <n v="39"/>
    <x v="8"/>
    <x v="0"/>
    <x v="8"/>
    <x v="7"/>
    <n v="3"/>
    <n v="27724"/>
    <n v="0"/>
    <n v="0"/>
    <n v="14970.96"/>
    <n v="412"/>
    <n v="98554.96"/>
    <x v="1"/>
    <x v="1"/>
    <s v="Delhi"/>
    <x v="5"/>
    <x v="1"/>
    <n v="7"/>
    <x v="0"/>
    <n v="4"/>
    <s v="Cancelled"/>
  </r>
  <r>
    <s v="ORD00288"/>
    <x v="192"/>
    <s v="CUST460"/>
    <s v="Arjun"/>
    <x v="1"/>
    <n v="22"/>
    <x v="2"/>
    <x v="1"/>
    <x v="2"/>
    <x v="2"/>
    <n v="2"/>
    <n v="25863"/>
    <n v="15"/>
    <n v="7758.9"/>
    <n v="7914.08"/>
    <n v="282"/>
    <n v="52163.18"/>
    <x v="1"/>
    <x v="0"/>
    <s v="Patiala"/>
    <x v="1"/>
    <x v="1"/>
    <n v="7"/>
    <x v="0"/>
    <n v="4"/>
    <s v="Returned"/>
  </r>
  <r>
    <s v="ORD00289"/>
    <x v="193"/>
    <s v="CUST266"/>
    <s v="Arjun"/>
    <x v="1"/>
    <n v="45"/>
    <x v="4"/>
    <x v="0"/>
    <x v="4"/>
    <x v="4"/>
    <n v="3"/>
    <n v="5942"/>
    <n v="5"/>
    <n v="891.3"/>
    <n v="3048.25"/>
    <n v="248"/>
    <n v="20230.95"/>
    <x v="3"/>
    <x v="0"/>
    <s v="Patiala"/>
    <x v="1"/>
    <x v="1"/>
    <n v="8"/>
    <x v="1"/>
    <n v="2"/>
    <s v="Cancelled"/>
  </r>
  <r>
    <s v="ORD00290"/>
    <x v="194"/>
    <s v="CUST795"/>
    <s v="Anjali"/>
    <x v="1"/>
    <n v="54"/>
    <x v="1"/>
    <x v="0"/>
    <x v="1"/>
    <x v="1"/>
    <n v="2"/>
    <n v="5637"/>
    <n v="20"/>
    <n v="2254.8000000000002"/>
    <n v="1623.46"/>
    <n v="105"/>
    <n v="10747.66"/>
    <x v="1"/>
    <x v="0"/>
    <s v="Delhi"/>
    <x v="5"/>
    <x v="1"/>
    <n v="7"/>
    <x v="0"/>
    <n v="5"/>
    <s v="Shipped"/>
  </r>
  <r>
    <s v="ORD00291"/>
    <x v="195"/>
    <s v="CUST337"/>
    <s v="Neha"/>
    <x v="1"/>
    <n v="48"/>
    <x v="5"/>
    <x v="0"/>
    <x v="5"/>
    <x v="7"/>
    <n v="3"/>
    <n v="11265"/>
    <n v="15"/>
    <n v="5069.25"/>
    <n v="5170.6400000000003"/>
    <n v="234"/>
    <n v="34130.39"/>
    <x v="2"/>
    <x v="1"/>
    <s v="Pune"/>
    <x v="0"/>
    <x v="0"/>
    <n v="6"/>
    <x v="0"/>
    <n v="1"/>
    <s v="Shipped"/>
  </r>
  <r>
    <s v="ORD00292"/>
    <x v="146"/>
    <s v="CUST874"/>
    <s v="Priya"/>
    <x v="1"/>
    <n v="31"/>
    <x v="1"/>
    <x v="0"/>
    <x v="1"/>
    <x v="5"/>
    <n v="3"/>
    <n v="1419"/>
    <n v="10"/>
    <n v="425.7"/>
    <n v="689.63"/>
    <n v="407"/>
    <n v="4927.93"/>
    <x v="2"/>
    <x v="1"/>
    <s v="Jaipur"/>
    <x v="2"/>
    <x v="1"/>
    <n v="8"/>
    <x v="0"/>
    <n v="5"/>
    <s v="Cancelled"/>
  </r>
  <r>
    <s v="ORD00293"/>
    <x v="196"/>
    <s v="CUST936"/>
    <s v="Arjun"/>
    <x v="1"/>
    <n v="48"/>
    <x v="2"/>
    <x v="1"/>
    <x v="2"/>
    <x v="0"/>
    <n v="4"/>
    <n v="14676"/>
    <n v="5"/>
    <n v="2935.2"/>
    <n v="10038.379999999999"/>
    <n v="318"/>
    <n v="66125.179999999993"/>
    <x v="2"/>
    <x v="1"/>
    <s v="Lucknow"/>
    <x v="4"/>
    <x v="1"/>
    <n v="10"/>
    <x v="0"/>
    <n v="4"/>
    <s v="Delivered"/>
  </r>
  <r>
    <s v="ORD00294"/>
    <x v="151"/>
    <s v="CUST341"/>
    <s v="Arjun"/>
    <x v="0"/>
    <n v="48"/>
    <x v="2"/>
    <x v="1"/>
    <x v="2"/>
    <x v="9"/>
    <n v="1"/>
    <n v="31678"/>
    <n v="10"/>
    <n v="3167.8"/>
    <n v="5131.84"/>
    <n v="175"/>
    <n v="33817.040000000001"/>
    <x v="2"/>
    <x v="0"/>
    <s v="Patiala"/>
    <x v="1"/>
    <x v="1"/>
    <n v="2"/>
    <x v="1"/>
    <n v="5"/>
    <s v="Shipped"/>
  </r>
  <r>
    <s v="ORD00295"/>
    <x v="197"/>
    <s v="CUST947"/>
    <s v="Karan"/>
    <x v="1"/>
    <n v="32"/>
    <x v="2"/>
    <x v="1"/>
    <x v="2"/>
    <x v="8"/>
    <n v="4"/>
    <n v="11363"/>
    <n v="10"/>
    <n v="4545.2"/>
    <n v="7363.22"/>
    <n v="249"/>
    <n v="48519.02"/>
    <x v="0"/>
    <x v="1"/>
    <s v="Lucknow"/>
    <x v="4"/>
    <x v="1"/>
    <n v="9"/>
    <x v="0"/>
    <n v="2"/>
    <s v="Returned"/>
  </r>
  <r>
    <s v="ORD00296"/>
    <x v="106"/>
    <s v="CUST793"/>
    <s v="Vikas"/>
    <x v="1"/>
    <n v="40"/>
    <x v="2"/>
    <x v="1"/>
    <x v="2"/>
    <x v="8"/>
    <n v="5"/>
    <n v="27019"/>
    <n v="0"/>
    <n v="0"/>
    <n v="24317.1"/>
    <n v="462"/>
    <n v="159874.1"/>
    <x v="1"/>
    <x v="0"/>
    <s v="Delhi"/>
    <x v="5"/>
    <x v="1"/>
    <n v="6"/>
    <x v="1"/>
    <n v="4"/>
    <s v="Returned"/>
  </r>
  <r>
    <s v="ORD00297"/>
    <x v="198"/>
    <s v="CUST890"/>
    <s v="Vikas"/>
    <x v="1"/>
    <n v="22"/>
    <x v="1"/>
    <x v="0"/>
    <x v="1"/>
    <x v="2"/>
    <n v="3"/>
    <n v="20219"/>
    <n v="15"/>
    <n v="9098.5499999999993"/>
    <n v="9280.52"/>
    <n v="212"/>
    <n v="61050.97"/>
    <x v="3"/>
    <x v="1"/>
    <s v="Bangalore"/>
    <x v="3"/>
    <x v="2"/>
    <n v="6"/>
    <x v="0"/>
    <n v="4"/>
    <s v="Shipped"/>
  </r>
  <r>
    <s v="ORD00298"/>
    <x v="110"/>
    <s v="CUST308"/>
    <s v="Anjali"/>
    <x v="1"/>
    <n v="49"/>
    <x v="9"/>
    <x v="0"/>
    <x v="9"/>
    <x v="4"/>
    <n v="4"/>
    <n v="17648"/>
    <n v="20"/>
    <n v="14118.4"/>
    <n v="10165.25"/>
    <n v="6"/>
    <n v="66644.850000000006"/>
    <x v="2"/>
    <x v="1"/>
    <s v="Jaipur"/>
    <x v="2"/>
    <x v="1"/>
    <n v="3"/>
    <x v="1"/>
    <n v="3"/>
    <s v="Shipped"/>
  </r>
  <r>
    <s v="ORD00299"/>
    <x v="35"/>
    <s v="CUST899"/>
    <s v="Amit"/>
    <x v="0"/>
    <n v="54"/>
    <x v="8"/>
    <x v="0"/>
    <x v="8"/>
    <x v="7"/>
    <n v="5"/>
    <n v="2574"/>
    <n v="10"/>
    <n v="1287"/>
    <n v="2084.94"/>
    <n v="263"/>
    <n v="13930.94"/>
    <x v="3"/>
    <x v="1"/>
    <s v="Jaipur"/>
    <x v="2"/>
    <x v="1"/>
    <n v="9"/>
    <x v="0"/>
    <n v="5"/>
    <s v="Shipped"/>
  </r>
  <r>
    <s v="ORD00300"/>
    <x v="199"/>
    <s v="CUST637"/>
    <s v="Riya"/>
    <x v="1"/>
    <n v="51"/>
    <x v="7"/>
    <x v="1"/>
    <x v="7"/>
    <x v="8"/>
    <n v="1"/>
    <n v="41491"/>
    <n v="5"/>
    <n v="2074.5500000000002"/>
    <n v="7094.96"/>
    <n v="267"/>
    <n v="46778.41"/>
    <x v="3"/>
    <x v="0"/>
    <s v="Bangalore"/>
    <x v="3"/>
    <x v="2"/>
    <n v="9"/>
    <x v="1"/>
    <n v="1"/>
    <s v="Shipped"/>
  </r>
  <r>
    <s v="ORD00301"/>
    <x v="25"/>
    <s v="CUST353"/>
    <s v="Vikas"/>
    <x v="0"/>
    <n v="50"/>
    <x v="1"/>
    <x v="0"/>
    <x v="1"/>
    <x v="0"/>
    <n v="1"/>
    <n v="34811"/>
    <n v="0"/>
    <n v="0"/>
    <n v="6265.98"/>
    <n v="256"/>
    <n v="41332.980000000003"/>
    <x v="1"/>
    <x v="0"/>
    <s v="Patiala"/>
    <x v="1"/>
    <x v="1"/>
    <n v="2"/>
    <x v="1"/>
    <n v="2"/>
    <s v="Returned"/>
  </r>
  <r>
    <s v="ORD00302"/>
    <x v="200"/>
    <s v="CUST453"/>
    <s v="Arjun"/>
    <x v="1"/>
    <n v="46"/>
    <x v="0"/>
    <x v="0"/>
    <x v="0"/>
    <x v="5"/>
    <n v="2"/>
    <n v="42244"/>
    <n v="10"/>
    <n v="8448.7999999999993"/>
    <n v="13687.06"/>
    <n v="25"/>
    <n v="89751.26"/>
    <x v="2"/>
    <x v="0"/>
    <s v="Delhi"/>
    <x v="5"/>
    <x v="1"/>
    <n v="8"/>
    <x v="1"/>
    <n v="1"/>
    <s v="Returned"/>
  </r>
  <r>
    <s v="ORD00303"/>
    <x v="186"/>
    <s v="CUST119"/>
    <s v="Anjali"/>
    <x v="1"/>
    <n v="34"/>
    <x v="4"/>
    <x v="0"/>
    <x v="4"/>
    <x v="5"/>
    <n v="3"/>
    <n v="27252"/>
    <n v="20"/>
    <n v="16351.2"/>
    <n v="11772.86"/>
    <n v="470"/>
    <n v="77647.66"/>
    <x v="1"/>
    <x v="0"/>
    <s v="Mumbai"/>
    <x v="0"/>
    <x v="0"/>
    <n v="4"/>
    <x v="1"/>
    <n v="4"/>
    <s v="Cancelled"/>
  </r>
  <r>
    <s v="ORD00304"/>
    <x v="33"/>
    <s v="CUST144"/>
    <s v="Vikas"/>
    <x v="1"/>
    <n v="42"/>
    <x v="6"/>
    <x v="0"/>
    <x v="6"/>
    <x v="5"/>
    <n v="5"/>
    <n v="33762"/>
    <n v="0"/>
    <n v="0"/>
    <n v="30385.8"/>
    <n v="363"/>
    <n v="199558.8"/>
    <x v="0"/>
    <x v="1"/>
    <s v="Mumbai"/>
    <x v="0"/>
    <x v="0"/>
    <n v="9"/>
    <x v="0"/>
    <n v="1"/>
    <s v="Cancelled"/>
  </r>
  <r>
    <s v="ORD00305"/>
    <x v="201"/>
    <s v="CUST457"/>
    <s v="Anjali"/>
    <x v="1"/>
    <n v="42"/>
    <x v="5"/>
    <x v="0"/>
    <x v="5"/>
    <x v="7"/>
    <n v="2"/>
    <n v="22031"/>
    <n v="0"/>
    <n v="0"/>
    <n v="7931.16"/>
    <n v="84"/>
    <n v="52077.16"/>
    <x v="0"/>
    <x v="0"/>
    <s v="Bangalore"/>
    <x v="3"/>
    <x v="2"/>
    <n v="1"/>
    <x v="0"/>
    <n v="4"/>
    <s v="Returned"/>
  </r>
  <r>
    <s v="ORD00306"/>
    <x v="202"/>
    <s v="CUST753"/>
    <s v="Arjun"/>
    <x v="1"/>
    <n v="50"/>
    <x v="2"/>
    <x v="1"/>
    <x v="2"/>
    <x v="7"/>
    <n v="2"/>
    <n v="19288"/>
    <n v="5"/>
    <n v="1928.8"/>
    <n v="6596.5"/>
    <n v="389"/>
    <n v="43632.7"/>
    <x v="1"/>
    <x v="1"/>
    <s v="Lucknow"/>
    <x v="4"/>
    <x v="1"/>
    <n v="1"/>
    <x v="0"/>
    <n v="2"/>
    <s v="Cancelled"/>
  </r>
  <r>
    <s v="ORD00307"/>
    <x v="203"/>
    <s v="CUST705"/>
    <s v="Anjali"/>
    <x v="1"/>
    <n v="41"/>
    <x v="4"/>
    <x v="0"/>
    <x v="4"/>
    <x v="1"/>
    <n v="3"/>
    <n v="4554"/>
    <n v="0"/>
    <n v="0"/>
    <n v="2459.16"/>
    <n v="402"/>
    <n v="16523.16"/>
    <x v="2"/>
    <x v="0"/>
    <s v="Jaipur"/>
    <x v="2"/>
    <x v="1"/>
    <n v="3"/>
    <x v="0"/>
    <n v="3"/>
    <s v="Shipped"/>
  </r>
  <r>
    <s v="ORD00308"/>
    <x v="174"/>
    <s v="CUST989"/>
    <s v="Sneha"/>
    <x v="0"/>
    <n v="40"/>
    <x v="9"/>
    <x v="0"/>
    <x v="9"/>
    <x v="9"/>
    <n v="1"/>
    <n v="15911"/>
    <n v="0"/>
    <n v="0"/>
    <n v="2863.98"/>
    <n v="246"/>
    <n v="19020.98"/>
    <x v="3"/>
    <x v="0"/>
    <s v="Delhi"/>
    <x v="5"/>
    <x v="1"/>
    <n v="7"/>
    <x v="1"/>
    <n v="3"/>
    <s v="Delivered"/>
  </r>
  <r>
    <s v="ORD00309"/>
    <x v="24"/>
    <s v="CUST565"/>
    <s v="Neha"/>
    <x v="0"/>
    <n v="48"/>
    <x v="0"/>
    <x v="0"/>
    <x v="0"/>
    <x v="2"/>
    <n v="4"/>
    <n v="43550"/>
    <n v="10"/>
    <n v="17420"/>
    <n v="28220.400000000001"/>
    <n v="291"/>
    <n v="185291.4"/>
    <x v="2"/>
    <x v="1"/>
    <s v="Delhi"/>
    <x v="5"/>
    <x v="1"/>
    <n v="5"/>
    <x v="0"/>
    <n v="2"/>
    <s v="Delivered"/>
  </r>
  <r>
    <s v="ORD00310"/>
    <x v="143"/>
    <s v="CUST325"/>
    <s v="Priya"/>
    <x v="1"/>
    <n v="60"/>
    <x v="8"/>
    <x v="0"/>
    <x v="8"/>
    <x v="4"/>
    <n v="3"/>
    <n v="22416"/>
    <n v="0"/>
    <n v="0"/>
    <n v="12104.64"/>
    <n v="410"/>
    <n v="79762.64"/>
    <x v="2"/>
    <x v="0"/>
    <s v="Chandigarh"/>
    <x v="1"/>
    <x v="1"/>
    <n v="9"/>
    <x v="1"/>
    <n v="3"/>
    <s v="Returned"/>
  </r>
  <r>
    <s v="ORD00311"/>
    <x v="7"/>
    <s v="CUST742"/>
    <s v="Rahul"/>
    <x v="0"/>
    <n v="23"/>
    <x v="2"/>
    <x v="1"/>
    <x v="2"/>
    <x v="9"/>
    <n v="4"/>
    <n v="29172"/>
    <n v="15"/>
    <n v="17503.2"/>
    <n v="17853.259999999998"/>
    <n v="97"/>
    <n v="117135.06"/>
    <x v="2"/>
    <x v="1"/>
    <s v="Pune"/>
    <x v="0"/>
    <x v="0"/>
    <n v="4"/>
    <x v="1"/>
    <n v="2"/>
    <s v="Shipped"/>
  </r>
  <r>
    <s v="ORD00312"/>
    <x v="9"/>
    <s v="CUST795"/>
    <s v="Amit"/>
    <x v="0"/>
    <n v="35"/>
    <x v="8"/>
    <x v="0"/>
    <x v="8"/>
    <x v="0"/>
    <n v="5"/>
    <n v="44748"/>
    <n v="15"/>
    <n v="33561"/>
    <n v="34232.22"/>
    <n v="34"/>
    <n v="224445.22"/>
    <x v="1"/>
    <x v="1"/>
    <s v="Mumbai"/>
    <x v="0"/>
    <x v="0"/>
    <n v="1"/>
    <x v="0"/>
    <n v="2"/>
    <s v="Shipped"/>
  </r>
  <r>
    <s v="ORD00313"/>
    <x v="204"/>
    <s v="CUST970"/>
    <s v="Anjali"/>
    <x v="1"/>
    <n v="42"/>
    <x v="7"/>
    <x v="1"/>
    <x v="7"/>
    <x v="2"/>
    <n v="5"/>
    <n v="23381"/>
    <n v="5"/>
    <n v="5845.25"/>
    <n v="19990.759999999998"/>
    <n v="214"/>
    <n v="131264.51"/>
    <x v="2"/>
    <x v="0"/>
    <s v="Jaipur"/>
    <x v="2"/>
    <x v="1"/>
    <n v="3"/>
    <x v="1"/>
    <n v="4"/>
    <s v="Cancelled"/>
  </r>
  <r>
    <s v="ORD00314"/>
    <x v="137"/>
    <s v="CUST184"/>
    <s v="Amit"/>
    <x v="0"/>
    <n v="44"/>
    <x v="2"/>
    <x v="1"/>
    <x v="2"/>
    <x v="5"/>
    <n v="3"/>
    <n v="21630"/>
    <n v="15"/>
    <n v="9733.5"/>
    <n v="9928.17"/>
    <n v="379"/>
    <n v="65463.67"/>
    <x v="2"/>
    <x v="1"/>
    <s v="Pune"/>
    <x v="0"/>
    <x v="0"/>
    <n v="3"/>
    <x v="1"/>
    <n v="2"/>
    <s v="Shipped"/>
  </r>
  <r>
    <s v="ORD00315"/>
    <x v="23"/>
    <s v="CUST894"/>
    <s v="Arjun"/>
    <x v="1"/>
    <n v="40"/>
    <x v="5"/>
    <x v="0"/>
    <x v="5"/>
    <x v="9"/>
    <n v="2"/>
    <n v="41791"/>
    <n v="20"/>
    <n v="16716.400000000001"/>
    <n v="12035.81"/>
    <n v="371"/>
    <n v="79272.41"/>
    <x v="1"/>
    <x v="0"/>
    <s v="Chandigarh"/>
    <x v="1"/>
    <x v="1"/>
    <n v="7"/>
    <x v="1"/>
    <n v="2"/>
    <s v="Returned"/>
  </r>
  <r>
    <s v="ORD00316"/>
    <x v="205"/>
    <s v="CUST663"/>
    <s v="Anjali"/>
    <x v="1"/>
    <n v="40"/>
    <x v="5"/>
    <x v="0"/>
    <x v="5"/>
    <x v="8"/>
    <n v="2"/>
    <n v="5799"/>
    <n v="5"/>
    <n v="579.9"/>
    <n v="1983.26"/>
    <n v="221"/>
    <n v="13222.36"/>
    <x v="2"/>
    <x v="0"/>
    <s v="Chandigarh"/>
    <x v="1"/>
    <x v="1"/>
    <n v="5"/>
    <x v="0"/>
    <n v="1"/>
    <s v="Returned"/>
  </r>
  <r>
    <s v="ORD00317"/>
    <x v="47"/>
    <s v="CUST510"/>
    <s v="Priya"/>
    <x v="0"/>
    <n v="26"/>
    <x v="2"/>
    <x v="1"/>
    <x v="2"/>
    <x v="8"/>
    <n v="2"/>
    <n v="23634"/>
    <n v="5"/>
    <n v="2363.4"/>
    <n v="8082.83"/>
    <n v="450"/>
    <n v="53437.43"/>
    <x v="2"/>
    <x v="1"/>
    <s v="Bangalore"/>
    <x v="3"/>
    <x v="2"/>
    <n v="9"/>
    <x v="1"/>
    <n v="2"/>
    <s v="Returned"/>
  </r>
  <r>
    <s v="ORD00318"/>
    <x v="204"/>
    <s v="CUST358"/>
    <s v="Amit"/>
    <x v="1"/>
    <n v="51"/>
    <x v="9"/>
    <x v="0"/>
    <x v="9"/>
    <x v="5"/>
    <n v="3"/>
    <n v="21565"/>
    <n v="15"/>
    <n v="9704.25"/>
    <n v="9898.33"/>
    <n v="46"/>
    <n v="64935.08"/>
    <x v="3"/>
    <x v="0"/>
    <s v="Bangalore"/>
    <x v="3"/>
    <x v="2"/>
    <n v="10"/>
    <x v="0"/>
    <n v="2"/>
    <s v="Delivered"/>
  </r>
  <r>
    <s v="ORD00319"/>
    <x v="104"/>
    <s v="CUST603"/>
    <s v="Anjali"/>
    <x v="0"/>
    <n v="49"/>
    <x v="0"/>
    <x v="0"/>
    <x v="0"/>
    <x v="0"/>
    <n v="5"/>
    <n v="41024"/>
    <n v="20"/>
    <n v="41024"/>
    <n v="29537.279999999999"/>
    <n v="262"/>
    <n v="193895.28"/>
    <x v="0"/>
    <x v="1"/>
    <s v="Bangalore"/>
    <x v="3"/>
    <x v="2"/>
    <n v="5"/>
    <x v="1"/>
    <n v="4"/>
    <s v="Shipped"/>
  </r>
  <r>
    <s v="ORD00320"/>
    <x v="27"/>
    <s v="CUST234"/>
    <s v="Arjun"/>
    <x v="1"/>
    <n v="37"/>
    <x v="8"/>
    <x v="0"/>
    <x v="8"/>
    <x v="0"/>
    <n v="2"/>
    <n v="49704"/>
    <n v="20"/>
    <n v="19881.599999999999"/>
    <n v="14314.75"/>
    <n v="174"/>
    <n v="94015.15"/>
    <x v="1"/>
    <x v="0"/>
    <s v="Bangalore"/>
    <x v="3"/>
    <x v="2"/>
    <n v="8"/>
    <x v="1"/>
    <n v="3"/>
    <s v="Shipped"/>
  </r>
  <r>
    <s v="ORD00321"/>
    <x v="206"/>
    <s v="CUST370"/>
    <s v="Anjali"/>
    <x v="0"/>
    <n v="38"/>
    <x v="4"/>
    <x v="0"/>
    <x v="4"/>
    <x v="7"/>
    <n v="1"/>
    <n v="7179"/>
    <n v="15"/>
    <n v="1076.8499999999999"/>
    <n v="1098.3900000000001"/>
    <n v="459"/>
    <n v="7659.54"/>
    <x v="0"/>
    <x v="0"/>
    <s v="Mumbai"/>
    <x v="0"/>
    <x v="0"/>
    <n v="7"/>
    <x v="0"/>
    <n v="5"/>
    <s v="Shipped"/>
  </r>
  <r>
    <s v="ORD00322"/>
    <x v="207"/>
    <s v="CUST720"/>
    <s v="Priya"/>
    <x v="1"/>
    <n v="55"/>
    <x v="5"/>
    <x v="0"/>
    <x v="5"/>
    <x v="1"/>
    <n v="1"/>
    <n v="48043"/>
    <n v="5"/>
    <n v="2402.15"/>
    <n v="8215.35"/>
    <n v="151"/>
    <n v="54007.199999999997"/>
    <x v="2"/>
    <x v="1"/>
    <s v="Lucknow"/>
    <x v="4"/>
    <x v="1"/>
    <n v="3"/>
    <x v="0"/>
    <n v="3"/>
    <s v="Shipped"/>
  </r>
  <r>
    <s v="ORD00323"/>
    <x v="48"/>
    <s v="CUST508"/>
    <s v="Arjun"/>
    <x v="1"/>
    <n v="49"/>
    <x v="2"/>
    <x v="1"/>
    <x v="2"/>
    <x v="8"/>
    <n v="5"/>
    <n v="49415"/>
    <n v="0"/>
    <n v="0"/>
    <n v="44473.5"/>
    <n v="97"/>
    <n v="291645.5"/>
    <x v="3"/>
    <x v="0"/>
    <s v="Patiala"/>
    <x v="1"/>
    <x v="1"/>
    <n v="3"/>
    <x v="1"/>
    <n v="2"/>
    <s v="Cancelled"/>
  </r>
  <r>
    <s v="ORD00324"/>
    <x v="208"/>
    <s v="CUST943"/>
    <s v="Vikas"/>
    <x v="1"/>
    <n v="34"/>
    <x v="6"/>
    <x v="0"/>
    <x v="6"/>
    <x v="9"/>
    <n v="3"/>
    <n v="19786"/>
    <n v="10"/>
    <n v="5935.8"/>
    <n v="9616"/>
    <n v="78"/>
    <n v="63116.2"/>
    <x v="0"/>
    <x v="0"/>
    <s v="Mumbai"/>
    <x v="0"/>
    <x v="0"/>
    <n v="1"/>
    <x v="0"/>
    <n v="4"/>
    <s v="Delivered"/>
  </r>
  <r>
    <s v="ORD00325"/>
    <x v="12"/>
    <s v="CUST323"/>
    <s v="Karan"/>
    <x v="0"/>
    <n v="26"/>
    <x v="1"/>
    <x v="0"/>
    <x v="1"/>
    <x v="1"/>
    <n v="5"/>
    <n v="30964"/>
    <n v="20"/>
    <n v="30964"/>
    <n v="22294.080000000002"/>
    <n v="420"/>
    <n v="146570.07999999999"/>
    <x v="0"/>
    <x v="0"/>
    <s v="Chandigarh"/>
    <x v="1"/>
    <x v="1"/>
    <n v="7"/>
    <x v="0"/>
    <n v="4"/>
    <s v="Returned"/>
  </r>
  <r>
    <s v="ORD00326"/>
    <x v="193"/>
    <s v="CUST846"/>
    <s v="Karan"/>
    <x v="0"/>
    <n v="58"/>
    <x v="0"/>
    <x v="0"/>
    <x v="0"/>
    <x v="6"/>
    <n v="4"/>
    <n v="49969"/>
    <n v="5"/>
    <n v="9993.7999999999993"/>
    <n v="34178.800000000003"/>
    <n v="218"/>
    <n v="224279"/>
    <x v="3"/>
    <x v="0"/>
    <s v="Pune"/>
    <x v="0"/>
    <x v="0"/>
    <n v="9"/>
    <x v="1"/>
    <n v="1"/>
    <s v="Delivered"/>
  </r>
  <r>
    <s v="ORD00327"/>
    <x v="141"/>
    <s v="CUST186"/>
    <s v="Neha"/>
    <x v="1"/>
    <n v="33"/>
    <x v="7"/>
    <x v="1"/>
    <x v="7"/>
    <x v="0"/>
    <n v="2"/>
    <n v="42028"/>
    <n v="15"/>
    <n v="12608.4"/>
    <n v="12860.57"/>
    <n v="190"/>
    <n v="84498.17"/>
    <x v="2"/>
    <x v="0"/>
    <s v="Chandigarh"/>
    <x v="1"/>
    <x v="1"/>
    <n v="7"/>
    <x v="1"/>
    <n v="2"/>
    <s v="Cancelled"/>
  </r>
  <r>
    <s v="ORD00328"/>
    <x v="114"/>
    <s v="CUST337"/>
    <s v="Rahul"/>
    <x v="0"/>
    <n v="59"/>
    <x v="0"/>
    <x v="0"/>
    <x v="0"/>
    <x v="6"/>
    <n v="3"/>
    <n v="40430"/>
    <n v="20"/>
    <n v="24258"/>
    <n v="17465.759999999998"/>
    <n v="15"/>
    <n v="114512.76"/>
    <x v="0"/>
    <x v="0"/>
    <s v="Bangalore"/>
    <x v="3"/>
    <x v="2"/>
    <n v="6"/>
    <x v="0"/>
    <n v="4"/>
    <s v="Shipped"/>
  </r>
  <r>
    <s v="ORD00329"/>
    <x v="165"/>
    <s v="CUST203"/>
    <s v="Priya"/>
    <x v="0"/>
    <n v="60"/>
    <x v="1"/>
    <x v="0"/>
    <x v="1"/>
    <x v="8"/>
    <n v="5"/>
    <n v="34114"/>
    <n v="0"/>
    <n v="0"/>
    <n v="30702.6"/>
    <n v="3"/>
    <n v="201275.6"/>
    <x v="1"/>
    <x v="1"/>
    <s v="Bangalore"/>
    <x v="3"/>
    <x v="2"/>
    <n v="7"/>
    <x v="1"/>
    <n v="1"/>
    <s v="Returned"/>
  </r>
  <r>
    <s v="ORD00330"/>
    <x v="209"/>
    <s v="CUST372"/>
    <s v="Sneha"/>
    <x v="1"/>
    <n v="20"/>
    <x v="3"/>
    <x v="2"/>
    <x v="3"/>
    <x v="4"/>
    <n v="2"/>
    <n v="23052"/>
    <n v="20"/>
    <n v="9220.7999999999993"/>
    <n v="6638.98"/>
    <n v="141"/>
    <n v="43663.18"/>
    <x v="2"/>
    <x v="0"/>
    <s v="Mumbai"/>
    <x v="0"/>
    <x v="0"/>
    <n v="2"/>
    <x v="0"/>
    <n v="4"/>
    <s v="Delivered"/>
  </r>
  <r>
    <s v="ORD00331"/>
    <x v="116"/>
    <s v="CUST444"/>
    <s v="Neha"/>
    <x v="1"/>
    <n v="30"/>
    <x v="6"/>
    <x v="0"/>
    <x v="6"/>
    <x v="2"/>
    <n v="5"/>
    <n v="26141"/>
    <n v="0"/>
    <n v="0"/>
    <n v="23526.9"/>
    <n v="51"/>
    <n v="154282.9"/>
    <x v="3"/>
    <x v="1"/>
    <s v="Delhi"/>
    <x v="5"/>
    <x v="1"/>
    <n v="10"/>
    <x v="0"/>
    <n v="1"/>
    <s v="Delivered"/>
  </r>
  <r>
    <s v="ORD00332"/>
    <x v="171"/>
    <s v="CUST455"/>
    <s v="Riya"/>
    <x v="1"/>
    <n v="23"/>
    <x v="5"/>
    <x v="0"/>
    <x v="5"/>
    <x v="0"/>
    <n v="3"/>
    <n v="3051"/>
    <n v="15"/>
    <n v="1372.95"/>
    <n v="1400.41"/>
    <n v="107"/>
    <n v="9287.4599999999991"/>
    <x v="1"/>
    <x v="1"/>
    <s v="Lucknow"/>
    <x v="4"/>
    <x v="1"/>
    <n v="7"/>
    <x v="0"/>
    <n v="5"/>
    <s v="Shipped"/>
  </r>
  <r>
    <s v="ORD00333"/>
    <x v="138"/>
    <s v="CUST278"/>
    <s v="Rahul"/>
    <x v="0"/>
    <n v="27"/>
    <x v="6"/>
    <x v="0"/>
    <x v="6"/>
    <x v="0"/>
    <n v="1"/>
    <n v="48655"/>
    <n v="0"/>
    <n v="0"/>
    <n v="8757.9"/>
    <n v="391"/>
    <n v="57803.9"/>
    <x v="3"/>
    <x v="1"/>
    <s v="Patiala"/>
    <x v="1"/>
    <x v="1"/>
    <n v="1"/>
    <x v="0"/>
    <n v="3"/>
    <s v="Cancelled"/>
  </r>
  <r>
    <s v="ORD00334"/>
    <x v="98"/>
    <s v="CUST520"/>
    <s v="Riya"/>
    <x v="0"/>
    <n v="57"/>
    <x v="5"/>
    <x v="0"/>
    <x v="5"/>
    <x v="8"/>
    <n v="4"/>
    <n v="1414"/>
    <n v="20"/>
    <n v="1131.2"/>
    <n v="814.46"/>
    <n v="128"/>
    <n v="5467.26"/>
    <x v="2"/>
    <x v="0"/>
    <s v="Pune"/>
    <x v="0"/>
    <x v="0"/>
    <n v="10"/>
    <x v="0"/>
    <n v="3"/>
    <s v="Returned"/>
  </r>
  <r>
    <s v="ORD00335"/>
    <x v="210"/>
    <s v="CUST678"/>
    <s v="Arjun"/>
    <x v="0"/>
    <n v="53"/>
    <x v="1"/>
    <x v="0"/>
    <x v="1"/>
    <x v="2"/>
    <n v="2"/>
    <n v="48474"/>
    <n v="10"/>
    <n v="9694.7999999999993"/>
    <n v="15705.58"/>
    <n v="419"/>
    <n v="103377.78"/>
    <x v="1"/>
    <x v="1"/>
    <s v="Bangalore"/>
    <x v="3"/>
    <x v="2"/>
    <n v="6"/>
    <x v="1"/>
    <n v="3"/>
    <s v="Delivered"/>
  </r>
  <r>
    <s v="ORD00336"/>
    <x v="211"/>
    <s v="CUST631"/>
    <s v="Sneha"/>
    <x v="0"/>
    <n v="60"/>
    <x v="6"/>
    <x v="0"/>
    <x v="6"/>
    <x v="2"/>
    <n v="2"/>
    <n v="4505"/>
    <n v="15"/>
    <n v="1351.5"/>
    <n v="1378.53"/>
    <n v="135"/>
    <n v="9172.0300000000007"/>
    <x v="1"/>
    <x v="1"/>
    <s v="Chandigarh"/>
    <x v="1"/>
    <x v="1"/>
    <n v="8"/>
    <x v="0"/>
    <n v="1"/>
    <s v="Returned"/>
  </r>
  <r>
    <s v="ORD00337"/>
    <x v="160"/>
    <s v="CUST976"/>
    <s v="Neha"/>
    <x v="1"/>
    <n v="35"/>
    <x v="5"/>
    <x v="0"/>
    <x v="5"/>
    <x v="0"/>
    <n v="2"/>
    <n v="24276"/>
    <n v="0"/>
    <n v="0"/>
    <n v="8739.36"/>
    <n v="242"/>
    <n v="57533.36"/>
    <x v="3"/>
    <x v="0"/>
    <s v="Mumbai"/>
    <x v="0"/>
    <x v="0"/>
    <n v="5"/>
    <x v="1"/>
    <n v="3"/>
    <s v="Shipped"/>
  </r>
  <r>
    <s v="ORD00338"/>
    <x v="58"/>
    <s v="CUST579"/>
    <s v="Karan"/>
    <x v="1"/>
    <n v="60"/>
    <x v="2"/>
    <x v="1"/>
    <x v="2"/>
    <x v="0"/>
    <n v="3"/>
    <n v="2724"/>
    <n v="15"/>
    <n v="1225.8"/>
    <n v="1250.32"/>
    <n v="21"/>
    <n v="8217.52"/>
    <x v="1"/>
    <x v="0"/>
    <s v="Bangalore"/>
    <x v="3"/>
    <x v="2"/>
    <n v="2"/>
    <x v="1"/>
    <n v="2"/>
    <s v="Delivered"/>
  </r>
  <r>
    <s v="ORD00339"/>
    <x v="20"/>
    <s v="CUST712"/>
    <s v="Vikas"/>
    <x v="0"/>
    <n v="36"/>
    <x v="0"/>
    <x v="0"/>
    <x v="0"/>
    <x v="7"/>
    <n v="4"/>
    <n v="37327"/>
    <n v="15"/>
    <n v="22396.2"/>
    <n v="22844.12"/>
    <n v="36"/>
    <n v="149791.92000000001"/>
    <x v="3"/>
    <x v="1"/>
    <s v="Lucknow"/>
    <x v="4"/>
    <x v="1"/>
    <n v="10"/>
    <x v="0"/>
    <n v="4"/>
    <s v="Returned"/>
  </r>
  <r>
    <s v="ORD00340"/>
    <x v="155"/>
    <s v="CUST421"/>
    <s v="Anjali"/>
    <x v="0"/>
    <n v="28"/>
    <x v="5"/>
    <x v="0"/>
    <x v="5"/>
    <x v="6"/>
    <n v="5"/>
    <n v="26465"/>
    <n v="5"/>
    <n v="6616.25"/>
    <n v="22627.58"/>
    <n v="473"/>
    <n v="148809.32999999999"/>
    <x v="0"/>
    <x v="1"/>
    <s v="Mumbai"/>
    <x v="0"/>
    <x v="0"/>
    <n v="1"/>
    <x v="0"/>
    <n v="5"/>
    <s v="Cancelled"/>
  </r>
  <r>
    <s v="ORD00341"/>
    <x v="200"/>
    <s v="CUST272"/>
    <s v="Arjun"/>
    <x v="1"/>
    <n v="37"/>
    <x v="3"/>
    <x v="2"/>
    <x v="3"/>
    <x v="3"/>
    <n v="2"/>
    <n v="27129"/>
    <n v="15"/>
    <n v="8138.7"/>
    <n v="8301.4699999999993"/>
    <n v="47"/>
    <n v="54467.77"/>
    <x v="3"/>
    <x v="0"/>
    <s v="Lucknow"/>
    <x v="4"/>
    <x v="1"/>
    <n v="3"/>
    <x v="0"/>
    <n v="4"/>
    <s v="Cancelled"/>
  </r>
  <r>
    <s v="ORD00342"/>
    <x v="212"/>
    <s v="CUST610"/>
    <s v="Riya"/>
    <x v="1"/>
    <n v="44"/>
    <x v="8"/>
    <x v="0"/>
    <x v="8"/>
    <x v="3"/>
    <n v="2"/>
    <n v="37005"/>
    <n v="0"/>
    <n v="0"/>
    <n v="13321.8"/>
    <n v="458"/>
    <n v="87789.8"/>
    <x v="0"/>
    <x v="0"/>
    <s v="Mumbai"/>
    <x v="0"/>
    <x v="0"/>
    <n v="8"/>
    <x v="1"/>
    <n v="4"/>
    <s v="Returned"/>
  </r>
  <r>
    <s v="ORD00343"/>
    <x v="213"/>
    <s v="CUST455"/>
    <s v="Priya"/>
    <x v="0"/>
    <n v="36"/>
    <x v="0"/>
    <x v="0"/>
    <x v="0"/>
    <x v="4"/>
    <n v="1"/>
    <n v="42523"/>
    <n v="10"/>
    <n v="4252.3"/>
    <n v="6888.73"/>
    <n v="150"/>
    <n v="45309.43"/>
    <x v="0"/>
    <x v="0"/>
    <s v="Jaipur"/>
    <x v="2"/>
    <x v="1"/>
    <n v="9"/>
    <x v="1"/>
    <n v="2"/>
    <s v="Cancelled"/>
  </r>
  <r>
    <s v="ORD00344"/>
    <x v="214"/>
    <s v="CUST221"/>
    <s v="Rahul"/>
    <x v="1"/>
    <n v="45"/>
    <x v="1"/>
    <x v="0"/>
    <x v="1"/>
    <x v="2"/>
    <n v="4"/>
    <n v="20804"/>
    <n v="0"/>
    <n v="0"/>
    <n v="14978.88"/>
    <n v="308"/>
    <n v="98502.88"/>
    <x v="2"/>
    <x v="0"/>
    <s v="Patiala"/>
    <x v="1"/>
    <x v="1"/>
    <n v="4"/>
    <x v="0"/>
    <n v="1"/>
    <s v="Returned"/>
  </r>
  <r>
    <s v="ORD00345"/>
    <x v="215"/>
    <s v="CUST568"/>
    <s v="Sneha"/>
    <x v="1"/>
    <n v="28"/>
    <x v="5"/>
    <x v="0"/>
    <x v="5"/>
    <x v="1"/>
    <n v="1"/>
    <n v="15992"/>
    <n v="5"/>
    <n v="799.6"/>
    <n v="2734.63"/>
    <n v="229"/>
    <n v="18156.03"/>
    <x v="3"/>
    <x v="1"/>
    <s v="Pune"/>
    <x v="0"/>
    <x v="0"/>
    <n v="9"/>
    <x v="0"/>
    <n v="5"/>
    <s v="Cancelled"/>
  </r>
  <r>
    <s v="ORD00346"/>
    <x v="216"/>
    <s v="CUST666"/>
    <s v="Karan"/>
    <x v="1"/>
    <n v="25"/>
    <x v="2"/>
    <x v="1"/>
    <x v="2"/>
    <x v="1"/>
    <n v="5"/>
    <n v="11797"/>
    <n v="0"/>
    <n v="0"/>
    <n v="10617.3"/>
    <n v="45"/>
    <n v="69647.3"/>
    <x v="2"/>
    <x v="1"/>
    <s v="Mumbai"/>
    <x v="0"/>
    <x v="0"/>
    <n v="3"/>
    <x v="0"/>
    <n v="4"/>
    <s v="Delivered"/>
  </r>
  <r>
    <s v="ORD00347"/>
    <x v="217"/>
    <s v="CUST269"/>
    <s v="Riya"/>
    <x v="1"/>
    <n v="27"/>
    <x v="3"/>
    <x v="2"/>
    <x v="3"/>
    <x v="9"/>
    <n v="1"/>
    <n v="46166"/>
    <n v="15"/>
    <n v="6924.9"/>
    <n v="7063.4"/>
    <n v="461"/>
    <n v="46765.5"/>
    <x v="2"/>
    <x v="0"/>
    <s v="Pune"/>
    <x v="0"/>
    <x v="0"/>
    <n v="10"/>
    <x v="1"/>
    <n v="5"/>
    <s v="Returned"/>
  </r>
  <r>
    <s v="ORD00348"/>
    <x v="210"/>
    <s v="CUST911"/>
    <s v="Arjun"/>
    <x v="0"/>
    <n v="37"/>
    <x v="5"/>
    <x v="0"/>
    <x v="5"/>
    <x v="1"/>
    <n v="1"/>
    <n v="36991"/>
    <n v="10"/>
    <n v="3699.1"/>
    <n v="5992.54"/>
    <n v="357"/>
    <n v="39641.440000000002"/>
    <x v="2"/>
    <x v="1"/>
    <s v="Delhi"/>
    <x v="5"/>
    <x v="1"/>
    <n v="1"/>
    <x v="0"/>
    <n v="3"/>
    <s v="Delivered"/>
  </r>
  <r>
    <s v="ORD00349"/>
    <x v="154"/>
    <s v="CUST860"/>
    <s v="Sneha"/>
    <x v="0"/>
    <n v="30"/>
    <x v="2"/>
    <x v="1"/>
    <x v="2"/>
    <x v="8"/>
    <n v="4"/>
    <n v="28780"/>
    <n v="15"/>
    <n v="17268"/>
    <n v="17613.36"/>
    <n v="127"/>
    <n v="115592.36"/>
    <x v="3"/>
    <x v="1"/>
    <s v="Patiala"/>
    <x v="1"/>
    <x v="1"/>
    <n v="6"/>
    <x v="1"/>
    <n v="3"/>
    <s v="Delivered"/>
  </r>
  <r>
    <s v="ORD00350"/>
    <x v="10"/>
    <s v="CUST936"/>
    <s v="Arjun"/>
    <x v="0"/>
    <n v="54"/>
    <x v="6"/>
    <x v="0"/>
    <x v="6"/>
    <x v="4"/>
    <n v="4"/>
    <n v="18388"/>
    <n v="20"/>
    <n v="14710.4"/>
    <n v="10591.49"/>
    <n v="469"/>
    <n v="69902.09"/>
    <x v="3"/>
    <x v="1"/>
    <s v="Mumbai"/>
    <x v="0"/>
    <x v="0"/>
    <n v="4"/>
    <x v="1"/>
    <n v="4"/>
    <s v="Shipped"/>
  </r>
  <r>
    <s v="ORD00351"/>
    <x v="85"/>
    <s v="CUST213"/>
    <s v="Riya"/>
    <x v="1"/>
    <n v="50"/>
    <x v="1"/>
    <x v="0"/>
    <x v="1"/>
    <x v="1"/>
    <n v="4"/>
    <n v="31950"/>
    <n v="0"/>
    <n v="0"/>
    <n v="23004"/>
    <n v="50"/>
    <n v="150854"/>
    <x v="3"/>
    <x v="0"/>
    <s v="Mumbai"/>
    <x v="0"/>
    <x v="0"/>
    <n v="6"/>
    <x v="0"/>
    <n v="4"/>
    <s v="Cancelled"/>
  </r>
  <r>
    <s v="ORD00352"/>
    <x v="218"/>
    <s v="CUST200"/>
    <s v="Riya"/>
    <x v="0"/>
    <n v="38"/>
    <x v="1"/>
    <x v="0"/>
    <x v="1"/>
    <x v="4"/>
    <n v="1"/>
    <n v="35608"/>
    <n v="20"/>
    <n v="7121.6"/>
    <n v="5127.55"/>
    <n v="412"/>
    <n v="34025.949999999997"/>
    <x v="3"/>
    <x v="1"/>
    <s v="Patiala"/>
    <x v="1"/>
    <x v="1"/>
    <n v="10"/>
    <x v="1"/>
    <n v="2"/>
    <s v="Shipped"/>
  </r>
  <r>
    <s v="ORD00353"/>
    <x v="111"/>
    <s v="CUST380"/>
    <s v="Neha"/>
    <x v="0"/>
    <n v="56"/>
    <x v="0"/>
    <x v="0"/>
    <x v="0"/>
    <x v="5"/>
    <n v="5"/>
    <n v="23093"/>
    <n v="0"/>
    <n v="0"/>
    <n v="20783.7"/>
    <n v="59"/>
    <n v="136307.70000000001"/>
    <x v="1"/>
    <x v="1"/>
    <s v="Jaipur"/>
    <x v="2"/>
    <x v="1"/>
    <n v="6"/>
    <x v="0"/>
    <n v="2"/>
    <s v="Cancelled"/>
  </r>
  <r>
    <s v="ORD00354"/>
    <x v="219"/>
    <s v="CUST509"/>
    <s v="Neha"/>
    <x v="1"/>
    <n v="54"/>
    <x v="5"/>
    <x v="0"/>
    <x v="5"/>
    <x v="5"/>
    <n v="4"/>
    <n v="27882"/>
    <n v="10"/>
    <n v="11152.8"/>
    <n v="18067.54"/>
    <n v="288"/>
    <n v="118730.74"/>
    <x v="0"/>
    <x v="1"/>
    <s v="Mumbai"/>
    <x v="0"/>
    <x v="0"/>
    <n v="7"/>
    <x v="1"/>
    <n v="1"/>
    <s v="Returned"/>
  </r>
  <r>
    <s v="ORD00355"/>
    <x v="131"/>
    <s v="CUST408"/>
    <s v="Priya"/>
    <x v="1"/>
    <n v="39"/>
    <x v="8"/>
    <x v="0"/>
    <x v="8"/>
    <x v="8"/>
    <n v="2"/>
    <n v="44930"/>
    <n v="10"/>
    <n v="8986"/>
    <n v="14557.32"/>
    <n v="262"/>
    <n v="95693.32"/>
    <x v="2"/>
    <x v="0"/>
    <s v="Pune"/>
    <x v="0"/>
    <x v="0"/>
    <n v="4"/>
    <x v="0"/>
    <n v="1"/>
    <s v="Shipped"/>
  </r>
  <r>
    <s v="ORD00356"/>
    <x v="220"/>
    <s v="CUST923"/>
    <s v="Neha"/>
    <x v="1"/>
    <n v="51"/>
    <x v="9"/>
    <x v="0"/>
    <x v="9"/>
    <x v="1"/>
    <n v="2"/>
    <n v="32991"/>
    <n v="5"/>
    <n v="3299.1"/>
    <n v="11282.92"/>
    <n v="307"/>
    <n v="74272.820000000007"/>
    <x v="2"/>
    <x v="1"/>
    <s v="Mumbai"/>
    <x v="0"/>
    <x v="0"/>
    <n v="6"/>
    <x v="1"/>
    <n v="4"/>
    <s v="Returned"/>
  </r>
  <r>
    <s v="ORD00357"/>
    <x v="221"/>
    <s v="CUST813"/>
    <s v="Anjali"/>
    <x v="1"/>
    <n v="41"/>
    <x v="1"/>
    <x v="0"/>
    <x v="1"/>
    <x v="3"/>
    <n v="5"/>
    <n v="45961"/>
    <n v="15"/>
    <n v="34470.75"/>
    <n v="35160.17"/>
    <n v="329"/>
    <n v="230823.42"/>
    <x v="2"/>
    <x v="0"/>
    <s v="Bangalore"/>
    <x v="3"/>
    <x v="2"/>
    <n v="10"/>
    <x v="1"/>
    <n v="1"/>
    <s v="Cancelled"/>
  </r>
  <r>
    <s v="ORD00358"/>
    <x v="103"/>
    <s v="CUST792"/>
    <s v="Rahul"/>
    <x v="1"/>
    <n v="35"/>
    <x v="5"/>
    <x v="0"/>
    <x v="5"/>
    <x v="3"/>
    <n v="1"/>
    <n v="31904"/>
    <n v="5"/>
    <n v="1595.2"/>
    <n v="5455.58"/>
    <n v="374"/>
    <n v="36138.379999999997"/>
    <x v="2"/>
    <x v="1"/>
    <s v="Bangalore"/>
    <x v="3"/>
    <x v="2"/>
    <n v="6"/>
    <x v="1"/>
    <n v="3"/>
    <s v="Returned"/>
  </r>
  <r>
    <s v="ORD00359"/>
    <x v="222"/>
    <s v="CUST810"/>
    <s v="Anjali"/>
    <x v="1"/>
    <n v="46"/>
    <x v="8"/>
    <x v="0"/>
    <x v="8"/>
    <x v="7"/>
    <n v="1"/>
    <n v="33120"/>
    <n v="0"/>
    <n v="0"/>
    <n v="5961.6"/>
    <n v="154"/>
    <n v="39235.599999999999"/>
    <x v="3"/>
    <x v="1"/>
    <s v="Bangalore"/>
    <x v="3"/>
    <x v="2"/>
    <n v="2"/>
    <x v="1"/>
    <n v="4"/>
    <s v="Cancelled"/>
  </r>
  <r>
    <s v="ORD00360"/>
    <x v="106"/>
    <s v="CUST364"/>
    <s v="Priya"/>
    <x v="1"/>
    <n v="47"/>
    <x v="1"/>
    <x v="0"/>
    <x v="1"/>
    <x v="4"/>
    <n v="2"/>
    <n v="39261"/>
    <n v="0"/>
    <n v="0"/>
    <n v="14133.96"/>
    <n v="437"/>
    <n v="93092.96"/>
    <x v="2"/>
    <x v="1"/>
    <s v="Bangalore"/>
    <x v="3"/>
    <x v="2"/>
    <n v="8"/>
    <x v="1"/>
    <n v="1"/>
    <s v="Returned"/>
  </r>
  <r>
    <s v="ORD00361"/>
    <x v="144"/>
    <s v="CUST474"/>
    <s v="Amit"/>
    <x v="1"/>
    <n v="56"/>
    <x v="3"/>
    <x v="2"/>
    <x v="3"/>
    <x v="1"/>
    <n v="4"/>
    <n v="20027"/>
    <n v="10"/>
    <n v="8010.8"/>
    <n v="12977.5"/>
    <n v="0"/>
    <n v="85074.7"/>
    <x v="1"/>
    <x v="1"/>
    <s v="Delhi"/>
    <x v="5"/>
    <x v="1"/>
    <n v="1"/>
    <x v="0"/>
    <n v="5"/>
    <s v="Shipped"/>
  </r>
  <r>
    <s v="ORD00362"/>
    <x v="184"/>
    <s v="CUST932"/>
    <s v="Vikas"/>
    <x v="0"/>
    <n v="33"/>
    <x v="9"/>
    <x v="0"/>
    <x v="9"/>
    <x v="3"/>
    <n v="2"/>
    <n v="29124"/>
    <n v="0"/>
    <n v="0"/>
    <n v="10484.64"/>
    <n v="260"/>
    <n v="68992.639999999999"/>
    <x v="0"/>
    <x v="1"/>
    <s v="Delhi"/>
    <x v="5"/>
    <x v="1"/>
    <n v="8"/>
    <x v="0"/>
    <n v="5"/>
    <s v="Cancelled"/>
  </r>
  <r>
    <s v="ORD00363"/>
    <x v="223"/>
    <s v="CUST719"/>
    <s v="Karan"/>
    <x v="0"/>
    <n v="24"/>
    <x v="3"/>
    <x v="2"/>
    <x v="3"/>
    <x v="8"/>
    <n v="3"/>
    <n v="34423"/>
    <n v="10"/>
    <n v="10326.9"/>
    <n v="16729.580000000002"/>
    <n v="223"/>
    <n v="109894.68"/>
    <x v="3"/>
    <x v="0"/>
    <s v="Lucknow"/>
    <x v="4"/>
    <x v="1"/>
    <n v="7"/>
    <x v="1"/>
    <n v="4"/>
    <s v="Shipped"/>
  </r>
  <r>
    <s v="ORD00364"/>
    <x v="171"/>
    <s v="CUST631"/>
    <s v="Anjali"/>
    <x v="1"/>
    <n v="36"/>
    <x v="4"/>
    <x v="0"/>
    <x v="4"/>
    <x v="9"/>
    <n v="4"/>
    <n v="33019"/>
    <n v="20"/>
    <n v="26415.200000000001"/>
    <n v="19018.939999999999"/>
    <n v="47"/>
    <n v="124726.74"/>
    <x v="2"/>
    <x v="1"/>
    <s v="Mumbai"/>
    <x v="0"/>
    <x v="0"/>
    <n v="4"/>
    <x v="0"/>
    <n v="2"/>
    <s v="Shipped"/>
  </r>
  <r>
    <s v="ORD00365"/>
    <x v="224"/>
    <s v="CUST721"/>
    <s v="Anjali"/>
    <x v="1"/>
    <n v="40"/>
    <x v="1"/>
    <x v="0"/>
    <x v="1"/>
    <x v="4"/>
    <n v="3"/>
    <n v="42953"/>
    <n v="5"/>
    <n v="6442.95"/>
    <n v="22034.89"/>
    <n v="312"/>
    <n v="144762.94"/>
    <x v="0"/>
    <x v="1"/>
    <s v="Delhi"/>
    <x v="5"/>
    <x v="1"/>
    <n v="10"/>
    <x v="1"/>
    <n v="1"/>
    <s v="Shipped"/>
  </r>
  <r>
    <s v="ORD00366"/>
    <x v="154"/>
    <s v="CUST980"/>
    <s v="Riya"/>
    <x v="0"/>
    <n v="34"/>
    <x v="7"/>
    <x v="1"/>
    <x v="7"/>
    <x v="0"/>
    <n v="4"/>
    <n v="20988"/>
    <n v="10"/>
    <n v="8395.2000000000007"/>
    <n v="13600.22"/>
    <n v="300"/>
    <n v="89457.02"/>
    <x v="1"/>
    <x v="1"/>
    <s v="Lucknow"/>
    <x v="4"/>
    <x v="1"/>
    <n v="8"/>
    <x v="0"/>
    <n v="3"/>
    <s v="Shipped"/>
  </r>
  <r>
    <s v="ORD00367"/>
    <x v="60"/>
    <s v="CUST713"/>
    <s v="Vikas"/>
    <x v="0"/>
    <n v="40"/>
    <x v="1"/>
    <x v="0"/>
    <x v="1"/>
    <x v="0"/>
    <n v="5"/>
    <n v="29902"/>
    <n v="0"/>
    <n v="0"/>
    <n v="26911.8"/>
    <n v="252"/>
    <n v="176673.8"/>
    <x v="1"/>
    <x v="0"/>
    <s v="Lucknow"/>
    <x v="4"/>
    <x v="1"/>
    <n v="4"/>
    <x v="0"/>
    <n v="2"/>
    <s v="Shipped"/>
  </r>
  <r>
    <s v="ORD00368"/>
    <x v="220"/>
    <s v="CUST227"/>
    <s v="Vikas"/>
    <x v="1"/>
    <n v="35"/>
    <x v="5"/>
    <x v="0"/>
    <x v="5"/>
    <x v="0"/>
    <n v="5"/>
    <n v="8265"/>
    <n v="20"/>
    <n v="8265"/>
    <n v="5950.8"/>
    <n v="487"/>
    <n v="39497.800000000003"/>
    <x v="3"/>
    <x v="1"/>
    <s v="Jaipur"/>
    <x v="2"/>
    <x v="1"/>
    <n v="7"/>
    <x v="1"/>
    <n v="2"/>
    <s v="Delivered"/>
  </r>
  <r>
    <s v="ORD00369"/>
    <x v="214"/>
    <s v="CUST262"/>
    <s v="Rahul"/>
    <x v="0"/>
    <n v="31"/>
    <x v="9"/>
    <x v="0"/>
    <x v="9"/>
    <x v="1"/>
    <n v="1"/>
    <n v="44313"/>
    <n v="10"/>
    <n v="4431.3"/>
    <n v="7178.71"/>
    <n v="103"/>
    <n v="47163.41"/>
    <x v="1"/>
    <x v="0"/>
    <s v="Bangalore"/>
    <x v="3"/>
    <x v="2"/>
    <n v="1"/>
    <x v="1"/>
    <n v="5"/>
    <s v="Shipped"/>
  </r>
  <r>
    <s v="ORD00370"/>
    <x v="58"/>
    <s v="CUST356"/>
    <s v="Karan"/>
    <x v="1"/>
    <n v="35"/>
    <x v="5"/>
    <x v="0"/>
    <x v="5"/>
    <x v="8"/>
    <n v="5"/>
    <n v="30235"/>
    <n v="20"/>
    <n v="30235"/>
    <n v="21769.200000000001"/>
    <n v="120"/>
    <n v="142829.20000000001"/>
    <x v="2"/>
    <x v="0"/>
    <s v="Lucknow"/>
    <x v="4"/>
    <x v="1"/>
    <n v="4"/>
    <x v="0"/>
    <n v="1"/>
    <s v="Cancelled"/>
  </r>
  <r>
    <s v="ORD00371"/>
    <x v="225"/>
    <s v="CUST878"/>
    <s v="Priya"/>
    <x v="1"/>
    <n v="40"/>
    <x v="6"/>
    <x v="0"/>
    <x v="6"/>
    <x v="6"/>
    <n v="1"/>
    <n v="47817"/>
    <n v="20"/>
    <n v="9563.4"/>
    <n v="6885.65"/>
    <n v="434"/>
    <n v="45573.25"/>
    <x v="2"/>
    <x v="0"/>
    <s v="Mumbai"/>
    <x v="0"/>
    <x v="0"/>
    <n v="1"/>
    <x v="0"/>
    <n v="2"/>
    <s v="Delivered"/>
  </r>
  <r>
    <s v="ORD00372"/>
    <x v="125"/>
    <s v="CUST118"/>
    <s v="Riya"/>
    <x v="1"/>
    <n v="18"/>
    <x v="2"/>
    <x v="1"/>
    <x v="2"/>
    <x v="5"/>
    <n v="3"/>
    <n v="3210"/>
    <n v="0"/>
    <n v="0"/>
    <n v="1733.4"/>
    <n v="177"/>
    <n v="11540.4"/>
    <x v="0"/>
    <x v="0"/>
    <s v="Patiala"/>
    <x v="1"/>
    <x v="1"/>
    <n v="7"/>
    <x v="0"/>
    <n v="1"/>
    <s v="Returned"/>
  </r>
  <r>
    <s v="ORD00373"/>
    <x v="226"/>
    <s v="CUST684"/>
    <s v="Karan"/>
    <x v="0"/>
    <n v="37"/>
    <x v="3"/>
    <x v="2"/>
    <x v="3"/>
    <x v="7"/>
    <n v="3"/>
    <n v="9055"/>
    <n v="0"/>
    <n v="0"/>
    <n v="4889.7"/>
    <n v="444"/>
    <n v="32498.7"/>
    <x v="0"/>
    <x v="0"/>
    <s v="Lucknow"/>
    <x v="4"/>
    <x v="1"/>
    <n v="4"/>
    <x v="0"/>
    <n v="2"/>
    <s v="Shipped"/>
  </r>
  <r>
    <s v="ORD00374"/>
    <x v="227"/>
    <s v="CUST840"/>
    <s v="Neha"/>
    <x v="0"/>
    <n v="48"/>
    <x v="9"/>
    <x v="0"/>
    <x v="9"/>
    <x v="7"/>
    <n v="5"/>
    <n v="28376"/>
    <n v="10"/>
    <n v="14188"/>
    <n v="22984.560000000001"/>
    <n v="491"/>
    <n v="151167.56"/>
    <x v="2"/>
    <x v="0"/>
    <s v="Lucknow"/>
    <x v="4"/>
    <x v="1"/>
    <n v="2"/>
    <x v="1"/>
    <n v="4"/>
    <s v="Shipped"/>
  </r>
  <r>
    <s v="ORD00375"/>
    <x v="228"/>
    <s v="CUST350"/>
    <s v="Neha"/>
    <x v="1"/>
    <n v="59"/>
    <x v="3"/>
    <x v="2"/>
    <x v="3"/>
    <x v="7"/>
    <n v="1"/>
    <n v="32505"/>
    <n v="20"/>
    <n v="6501"/>
    <n v="4680.72"/>
    <n v="395"/>
    <n v="31079.72"/>
    <x v="1"/>
    <x v="0"/>
    <s v="Delhi"/>
    <x v="5"/>
    <x v="1"/>
    <n v="3"/>
    <x v="0"/>
    <n v="1"/>
    <s v="Returned"/>
  </r>
  <r>
    <s v="ORD00376"/>
    <x v="229"/>
    <s v="CUST824"/>
    <s v="Priya"/>
    <x v="0"/>
    <n v="37"/>
    <x v="9"/>
    <x v="0"/>
    <x v="9"/>
    <x v="2"/>
    <n v="4"/>
    <n v="38052"/>
    <n v="15"/>
    <n v="22831.200000000001"/>
    <n v="23287.82"/>
    <n v="488"/>
    <n v="153152.62"/>
    <x v="3"/>
    <x v="1"/>
    <s v="Delhi"/>
    <x v="5"/>
    <x v="1"/>
    <n v="7"/>
    <x v="1"/>
    <n v="2"/>
    <s v="Delivered"/>
  </r>
  <r>
    <s v="ORD00377"/>
    <x v="230"/>
    <s v="CUST810"/>
    <s v="Anjali"/>
    <x v="0"/>
    <n v="50"/>
    <x v="6"/>
    <x v="0"/>
    <x v="6"/>
    <x v="9"/>
    <n v="1"/>
    <n v="44961"/>
    <n v="5"/>
    <n v="2248.0500000000002"/>
    <n v="7688.33"/>
    <n v="362"/>
    <n v="50763.28"/>
    <x v="1"/>
    <x v="1"/>
    <s v="Lucknow"/>
    <x v="4"/>
    <x v="1"/>
    <n v="9"/>
    <x v="0"/>
    <n v="3"/>
    <s v="Shipped"/>
  </r>
  <r>
    <s v="ORD00378"/>
    <x v="182"/>
    <s v="CUST423"/>
    <s v="Sneha"/>
    <x v="0"/>
    <n v="30"/>
    <x v="6"/>
    <x v="0"/>
    <x v="6"/>
    <x v="8"/>
    <n v="2"/>
    <n v="33846"/>
    <n v="0"/>
    <n v="0"/>
    <n v="12184.56"/>
    <n v="189"/>
    <n v="80065.56"/>
    <x v="3"/>
    <x v="0"/>
    <s v="Lucknow"/>
    <x v="4"/>
    <x v="1"/>
    <n v="2"/>
    <x v="1"/>
    <n v="3"/>
    <s v="Delivered"/>
  </r>
  <r>
    <s v="ORD00379"/>
    <x v="231"/>
    <s v="CUST911"/>
    <s v="Sneha"/>
    <x v="1"/>
    <n v="43"/>
    <x v="5"/>
    <x v="0"/>
    <x v="5"/>
    <x v="7"/>
    <n v="4"/>
    <n v="10257"/>
    <n v="15"/>
    <n v="6154.2"/>
    <n v="6277.28"/>
    <n v="295"/>
    <n v="41446.080000000002"/>
    <x v="0"/>
    <x v="1"/>
    <s v="Chandigarh"/>
    <x v="1"/>
    <x v="1"/>
    <n v="7"/>
    <x v="0"/>
    <n v="3"/>
    <s v="Returned"/>
  </r>
  <r>
    <s v="ORD00380"/>
    <x v="196"/>
    <s v="CUST362"/>
    <s v="Riya"/>
    <x v="0"/>
    <n v="26"/>
    <x v="9"/>
    <x v="0"/>
    <x v="9"/>
    <x v="2"/>
    <n v="5"/>
    <n v="35399"/>
    <n v="0"/>
    <n v="0"/>
    <n v="31859.1"/>
    <n v="222"/>
    <n v="209076.1"/>
    <x v="1"/>
    <x v="1"/>
    <s v="Bangalore"/>
    <x v="3"/>
    <x v="2"/>
    <n v="2"/>
    <x v="1"/>
    <n v="4"/>
    <s v="Shipped"/>
  </r>
  <r>
    <s v="ORD00381"/>
    <x v="208"/>
    <s v="CUST618"/>
    <s v="Riya"/>
    <x v="0"/>
    <n v="48"/>
    <x v="3"/>
    <x v="2"/>
    <x v="3"/>
    <x v="7"/>
    <n v="3"/>
    <n v="38354"/>
    <n v="5"/>
    <n v="5753.1"/>
    <n v="19675.599999999999"/>
    <n v="229"/>
    <n v="129213.5"/>
    <x v="0"/>
    <x v="0"/>
    <s v="Pune"/>
    <x v="0"/>
    <x v="0"/>
    <n v="3"/>
    <x v="1"/>
    <n v="2"/>
    <s v="Returned"/>
  </r>
  <r>
    <s v="ORD00382"/>
    <x v="232"/>
    <s v="CUST933"/>
    <s v="Rahul"/>
    <x v="0"/>
    <n v="25"/>
    <x v="5"/>
    <x v="0"/>
    <x v="5"/>
    <x v="6"/>
    <n v="3"/>
    <n v="41789"/>
    <n v="10"/>
    <n v="12536.7"/>
    <n v="20309.45"/>
    <n v="460"/>
    <n v="133599.75"/>
    <x v="0"/>
    <x v="1"/>
    <s v="Pune"/>
    <x v="0"/>
    <x v="0"/>
    <n v="1"/>
    <x v="1"/>
    <n v="4"/>
    <s v="Shipped"/>
  </r>
  <r>
    <s v="ORD00383"/>
    <x v="150"/>
    <s v="CUST842"/>
    <s v="Karan"/>
    <x v="1"/>
    <n v="50"/>
    <x v="7"/>
    <x v="1"/>
    <x v="7"/>
    <x v="0"/>
    <n v="5"/>
    <n v="40354"/>
    <n v="15"/>
    <n v="30265.5"/>
    <n v="30870.81"/>
    <n v="5"/>
    <n v="202380.31"/>
    <x v="0"/>
    <x v="0"/>
    <s v="Patiala"/>
    <x v="1"/>
    <x v="1"/>
    <n v="9"/>
    <x v="0"/>
    <n v="5"/>
    <s v="Shipped"/>
  </r>
  <r>
    <s v="ORD00384"/>
    <x v="151"/>
    <s v="CUST823"/>
    <s v="Anjali"/>
    <x v="0"/>
    <n v="57"/>
    <x v="5"/>
    <x v="0"/>
    <x v="5"/>
    <x v="6"/>
    <n v="3"/>
    <n v="44552"/>
    <n v="20"/>
    <n v="26731.200000000001"/>
    <n v="19246.46"/>
    <n v="222"/>
    <n v="126393.26"/>
    <x v="1"/>
    <x v="0"/>
    <s v="Patiala"/>
    <x v="1"/>
    <x v="1"/>
    <n v="2"/>
    <x v="1"/>
    <n v="1"/>
    <s v="Delivered"/>
  </r>
  <r>
    <s v="ORD00385"/>
    <x v="233"/>
    <s v="CUST259"/>
    <s v="Neha"/>
    <x v="1"/>
    <n v="57"/>
    <x v="4"/>
    <x v="0"/>
    <x v="4"/>
    <x v="3"/>
    <n v="4"/>
    <n v="6838"/>
    <n v="5"/>
    <n v="1367.6"/>
    <n v="4677.1899999999996"/>
    <n v="1"/>
    <n v="30662.59"/>
    <x v="2"/>
    <x v="0"/>
    <s v="Delhi"/>
    <x v="5"/>
    <x v="1"/>
    <n v="1"/>
    <x v="0"/>
    <n v="3"/>
    <s v="Shipped"/>
  </r>
  <r>
    <s v="ORD00386"/>
    <x v="205"/>
    <s v="CUST289"/>
    <s v="Anjali"/>
    <x v="0"/>
    <n v="50"/>
    <x v="2"/>
    <x v="1"/>
    <x v="2"/>
    <x v="7"/>
    <n v="5"/>
    <n v="38147"/>
    <n v="15"/>
    <n v="28610.25"/>
    <n v="29182.45"/>
    <n v="184"/>
    <n v="191491.20000000001"/>
    <x v="2"/>
    <x v="0"/>
    <s v="Mumbai"/>
    <x v="0"/>
    <x v="0"/>
    <n v="5"/>
    <x v="1"/>
    <n v="5"/>
    <s v="Shipped"/>
  </r>
  <r>
    <s v="ORD00387"/>
    <x v="234"/>
    <s v="CUST854"/>
    <s v="Vikas"/>
    <x v="1"/>
    <n v="37"/>
    <x v="1"/>
    <x v="0"/>
    <x v="1"/>
    <x v="0"/>
    <n v="4"/>
    <n v="47651"/>
    <n v="5"/>
    <n v="9530.2000000000007"/>
    <n v="32593.279999999999"/>
    <n v="270"/>
    <n v="213937.08"/>
    <x v="0"/>
    <x v="0"/>
    <s v="Bangalore"/>
    <x v="3"/>
    <x v="2"/>
    <n v="10"/>
    <x v="1"/>
    <n v="2"/>
    <s v="Cancelled"/>
  </r>
  <r>
    <s v="ORD00388"/>
    <x v="235"/>
    <s v="CUST913"/>
    <s v="Arjun"/>
    <x v="0"/>
    <n v="51"/>
    <x v="3"/>
    <x v="2"/>
    <x v="3"/>
    <x v="5"/>
    <n v="1"/>
    <n v="35776"/>
    <n v="15"/>
    <n v="5366.4"/>
    <n v="5473.73"/>
    <n v="211"/>
    <n v="36094.33"/>
    <x v="2"/>
    <x v="0"/>
    <s v="Mumbai"/>
    <x v="0"/>
    <x v="0"/>
    <n v="1"/>
    <x v="1"/>
    <n v="2"/>
    <s v="Delivered"/>
  </r>
  <r>
    <s v="ORD00389"/>
    <x v="236"/>
    <s v="CUST779"/>
    <s v="Karan"/>
    <x v="1"/>
    <n v="48"/>
    <x v="9"/>
    <x v="0"/>
    <x v="9"/>
    <x v="1"/>
    <n v="5"/>
    <n v="38786"/>
    <n v="20"/>
    <n v="38786"/>
    <n v="27925.919999999998"/>
    <n v="346"/>
    <n v="183415.92"/>
    <x v="0"/>
    <x v="0"/>
    <s v="Bangalore"/>
    <x v="3"/>
    <x v="2"/>
    <n v="10"/>
    <x v="0"/>
    <n v="2"/>
    <s v="Delivered"/>
  </r>
  <r>
    <s v="ORD00390"/>
    <x v="237"/>
    <s v="CUST986"/>
    <s v="Arjun"/>
    <x v="1"/>
    <n v="39"/>
    <x v="0"/>
    <x v="0"/>
    <x v="0"/>
    <x v="0"/>
    <n v="4"/>
    <n v="44570"/>
    <n v="15"/>
    <n v="26742"/>
    <n v="27276.84"/>
    <n v="441"/>
    <n v="179255.84"/>
    <x v="0"/>
    <x v="0"/>
    <s v="Lucknow"/>
    <x v="4"/>
    <x v="1"/>
    <n v="5"/>
    <x v="1"/>
    <n v="5"/>
    <s v="Returned"/>
  </r>
  <r>
    <s v="ORD00391"/>
    <x v="109"/>
    <s v="CUST595"/>
    <s v="Anjali"/>
    <x v="1"/>
    <n v="27"/>
    <x v="7"/>
    <x v="1"/>
    <x v="7"/>
    <x v="2"/>
    <n v="2"/>
    <n v="17897"/>
    <n v="15"/>
    <n v="5369.1"/>
    <n v="5476.48"/>
    <n v="381"/>
    <n v="36282.379999999997"/>
    <x v="2"/>
    <x v="0"/>
    <s v="Jaipur"/>
    <x v="2"/>
    <x v="1"/>
    <n v="2"/>
    <x v="0"/>
    <n v="3"/>
    <s v="Delivered"/>
  </r>
  <r>
    <s v="ORD00392"/>
    <x v="238"/>
    <s v="CUST238"/>
    <s v="Riya"/>
    <x v="1"/>
    <n v="29"/>
    <x v="7"/>
    <x v="1"/>
    <x v="7"/>
    <x v="9"/>
    <n v="2"/>
    <n v="19659"/>
    <n v="5"/>
    <n v="1965.9"/>
    <n v="6723.38"/>
    <n v="60"/>
    <n v="44135.48"/>
    <x v="2"/>
    <x v="1"/>
    <s v="Chandigarh"/>
    <x v="1"/>
    <x v="1"/>
    <n v="8"/>
    <x v="1"/>
    <n v="2"/>
    <s v="Delivered"/>
  </r>
  <r>
    <s v="ORD00393"/>
    <x v="181"/>
    <s v="CUST677"/>
    <s v="Neha"/>
    <x v="0"/>
    <n v="19"/>
    <x v="1"/>
    <x v="0"/>
    <x v="1"/>
    <x v="9"/>
    <n v="2"/>
    <n v="5458"/>
    <n v="10"/>
    <n v="1091.5999999999999"/>
    <n v="1768.39"/>
    <n v="260"/>
    <n v="11852.79"/>
    <x v="2"/>
    <x v="1"/>
    <s v="Lucknow"/>
    <x v="4"/>
    <x v="1"/>
    <n v="6"/>
    <x v="1"/>
    <n v="1"/>
    <s v="Cancelled"/>
  </r>
  <r>
    <s v="ORD00394"/>
    <x v="239"/>
    <s v="CUST686"/>
    <s v="Amit"/>
    <x v="1"/>
    <n v="39"/>
    <x v="2"/>
    <x v="1"/>
    <x v="2"/>
    <x v="1"/>
    <n v="5"/>
    <n v="11477"/>
    <n v="20"/>
    <n v="11477"/>
    <n v="8263.44"/>
    <n v="383"/>
    <n v="54554.44"/>
    <x v="3"/>
    <x v="0"/>
    <s v="Delhi"/>
    <x v="5"/>
    <x v="1"/>
    <n v="8"/>
    <x v="0"/>
    <n v="1"/>
    <s v="Cancelled"/>
  </r>
  <r>
    <s v="ORD00395"/>
    <x v="240"/>
    <s v="CUST976"/>
    <s v="Sneha"/>
    <x v="1"/>
    <n v="56"/>
    <x v="8"/>
    <x v="0"/>
    <x v="8"/>
    <x v="8"/>
    <n v="5"/>
    <n v="8130"/>
    <n v="0"/>
    <n v="0"/>
    <n v="7317"/>
    <n v="365"/>
    <n v="48332"/>
    <x v="2"/>
    <x v="0"/>
    <s v="Jaipur"/>
    <x v="2"/>
    <x v="1"/>
    <n v="5"/>
    <x v="1"/>
    <n v="2"/>
    <s v="Cancelled"/>
  </r>
  <r>
    <s v="ORD00396"/>
    <x v="228"/>
    <s v="CUST626"/>
    <s v="Karan"/>
    <x v="1"/>
    <n v="45"/>
    <x v="7"/>
    <x v="1"/>
    <x v="7"/>
    <x v="3"/>
    <n v="5"/>
    <n v="49785"/>
    <n v="10"/>
    <n v="24892.5"/>
    <n v="40325.85"/>
    <n v="307"/>
    <n v="264665.34999999998"/>
    <x v="1"/>
    <x v="0"/>
    <s v="Jaipur"/>
    <x v="2"/>
    <x v="1"/>
    <n v="10"/>
    <x v="1"/>
    <n v="1"/>
    <s v="Returned"/>
  </r>
  <r>
    <s v="ORD00397"/>
    <x v="241"/>
    <s v="CUST271"/>
    <s v="Priya"/>
    <x v="1"/>
    <n v="45"/>
    <x v="0"/>
    <x v="0"/>
    <x v="0"/>
    <x v="6"/>
    <n v="1"/>
    <n v="45045"/>
    <n v="10"/>
    <n v="4504.5"/>
    <n v="7297.29"/>
    <n v="227"/>
    <n v="48064.79"/>
    <x v="0"/>
    <x v="1"/>
    <s v="Patiala"/>
    <x v="1"/>
    <x v="1"/>
    <n v="7"/>
    <x v="1"/>
    <n v="4"/>
    <s v="Shipped"/>
  </r>
  <r>
    <s v="ORD00398"/>
    <x v="242"/>
    <s v="CUST254"/>
    <s v="Priya"/>
    <x v="0"/>
    <n v="32"/>
    <x v="3"/>
    <x v="2"/>
    <x v="3"/>
    <x v="2"/>
    <n v="2"/>
    <n v="37886"/>
    <n v="20"/>
    <n v="15154.4"/>
    <n v="10911.17"/>
    <n v="333"/>
    <n v="71861.77"/>
    <x v="2"/>
    <x v="1"/>
    <s v="Delhi"/>
    <x v="5"/>
    <x v="1"/>
    <n v="5"/>
    <x v="1"/>
    <n v="1"/>
    <s v="Delivered"/>
  </r>
  <r>
    <s v="ORD00399"/>
    <x v="243"/>
    <s v="CUST999"/>
    <s v="Priya"/>
    <x v="0"/>
    <n v="41"/>
    <x v="8"/>
    <x v="0"/>
    <x v="8"/>
    <x v="7"/>
    <n v="1"/>
    <n v="10479"/>
    <n v="20"/>
    <n v="2095.8000000000002"/>
    <n v="1508.98"/>
    <n v="259"/>
    <n v="10151.18"/>
    <x v="3"/>
    <x v="0"/>
    <s v="Jaipur"/>
    <x v="2"/>
    <x v="1"/>
    <n v="9"/>
    <x v="0"/>
    <n v="3"/>
    <s v="Returned"/>
  </r>
  <r>
    <s v="ORD00400"/>
    <x v="89"/>
    <s v="CUST317"/>
    <s v="Riya"/>
    <x v="0"/>
    <n v="39"/>
    <x v="3"/>
    <x v="2"/>
    <x v="3"/>
    <x v="2"/>
    <n v="2"/>
    <n v="25677"/>
    <n v="20"/>
    <n v="10270.799999999999"/>
    <n v="7394.98"/>
    <n v="360"/>
    <n v="48838.18"/>
    <x v="1"/>
    <x v="1"/>
    <s v="Mumbai"/>
    <x v="0"/>
    <x v="0"/>
    <n v="4"/>
    <x v="1"/>
    <n v="4"/>
    <s v="Cancelled"/>
  </r>
  <r>
    <s v="ORD00401"/>
    <x v="115"/>
    <s v="CUST465"/>
    <s v="Arjun"/>
    <x v="1"/>
    <n v="45"/>
    <x v="7"/>
    <x v="1"/>
    <x v="7"/>
    <x v="9"/>
    <n v="1"/>
    <n v="38257"/>
    <n v="0"/>
    <n v="0"/>
    <n v="6886.26"/>
    <n v="77"/>
    <n v="45220.26"/>
    <x v="2"/>
    <x v="1"/>
    <s v="Chandigarh"/>
    <x v="1"/>
    <x v="1"/>
    <n v="5"/>
    <x v="0"/>
    <n v="1"/>
    <s v="Shipped"/>
  </r>
  <r>
    <s v="ORD00402"/>
    <x v="244"/>
    <s v="CUST747"/>
    <s v="Riya"/>
    <x v="0"/>
    <n v="18"/>
    <x v="3"/>
    <x v="2"/>
    <x v="3"/>
    <x v="4"/>
    <n v="3"/>
    <n v="42836"/>
    <n v="5"/>
    <n v="6425.4"/>
    <n v="21974.87"/>
    <n v="203"/>
    <n v="144260.47"/>
    <x v="2"/>
    <x v="1"/>
    <s v="Patiala"/>
    <x v="1"/>
    <x v="1"/>
    <n v="8"/>
    <x v="0"/>
    <n v="1"/>
    <s v="Returned"/>
  </r>
  <r>
    <s v="ORD00403"/>
    <x v="181"/>
    <s v="CUST285"/>
    <s v="Amit"/>
    <x v="1"/>
    <n v="33"/>
    <x v="9"/>
    <x v="0"/>
    <x v="9"/>
    <x v="2"/>
    <n v="5"/>
    <n v="6082"/>
    <n v="10"/>
    <n v="3041"/>
    <n v="4926.42"/>
    <n v="451"/>
    <n v="32746.42"/>
    <x v="2"/>
    <x v="1"/>
    <s v="Bangalore"/>
    <x v="3"/>
    <x v="2"/>
    <n v="6"/>
    <x v="0"/>
    <n v="4"/>
    <s v="Cancelled"/>
  </r>
  <r>
    <s v="ORD00404"/>
    <x v="245"/>
    <s v="CUST445"/>
    <s v="Amit"/>
    <x v="0"/>
    <n v="45"/>
    <x v="6"/>
    <x v="0"/>
    <x v="6"/>
    <x v="3"/>
    <n v="1"/>
    <n v="31058"/>
    <n v="20"/>
    <n v="6211.6"/>
    <n v="4472.3500000000004"/>
    <n v="107"/>
    <n v="29425.75"/>
    <x v="0"/>
    <x v="0"/>
    <s v="Pune"/>
    <x v="0"/>
    <x v="0"/>
    <n v="2"/>
    <x v="0"/>
    <n v="1"/>
    <s v="Delivered"/>
  </r>
  <r>
    <s v="ORD00405"/>
    <x v="246"/>
    <s v="CUST598"/>
    <s v="Arjun"/>
    <x v="0"/>
    <n v="20"/>
    <x v="0"/>
    <x v="0"/>
    <x v="0"/>
    <x v="3"/>
    <n v="5"/>
    <n v="23952"/>
    <n v="15"/>
    <n v="17964"/>
    <n v="18323.28"/>
    <n v="235"/>
    <n v="120354.28"/>
    <x v="2"/>
    <x v="0"/>
    <s v="Pune"/>
    <x v="0"/>
    <x v="0"/>
    <n v="8"/>
    <x v="0"/>
    <n v="3"/>
    <s v="Cancelled"/>
  </r>
  <r>
    <s v="ORD00406"/>
    <x v="247"/>
    <s v="CUST304"/>
    <s v="Riya"/>
    <x v="0"/>
    <n v="48"/>
    <x v="1"/>
    <x v="0"/>
    <x v="1"/>
    <x v="7"/>
    <n v="3"/>
    <n v="38091"/>
    <n v="20"/>
    <n v="22854.6"/>
    <n v="16455.310000000001"/>
    <n v="45"/>
    <n v="107918.71"/>
    <x v="1"/>
    <x v="1"/>
    <s v="Patiala"/>
    <x v="1"/>
    <x v="1"/>
    <n v="4"/>
    <x v="0"/>
    <n v="2"/>
    <s v="Shipped"/>
  </r>
  <r>
    <s v="ORD00407"/>
    <x v="33"/>
    <s v="CUST997"/>
    <s v="Neha"/>
    <x v="1"/>
    <n v="52"/>
    <x v="5"/>
    <x v="0"/>
    <x v="5"/>
    <x v="7"/>
    <n v="3"/>
    <n v="26216"/>
    <n v="20"/>
    <n v="15729.6"/>
    <n v="11325.31"/>
    <n v="81"/>
    <n v="74324.710000000006"/>
    <x v="0"/>
    <x v="0"/>
    <s v="Mumbai"/>
    <x v="0"/>
    <x v="0"/>
    <n v="10"/>
    <x v="1"/>
    <n v="2"/>
    <s v="Cancelled"/>
  </r>
  <r>
    <s v="ORD00408"/>
    <x v="171"/>
    <s v="CUST660"/>
    <s v="Rahul"/>
    <x v="0"/>
    <n v="27"/>
    <x v="9"/>
    <x v="0"/>
    <x v="9"/>
    <x v="9"/>
    <n v="1"/>
    <n v="39817"/>
    <n v="0"/>
    <n v="0"/>
    <n v="7167.06"/>
    <n v="338"/>
    <n v="47322.06"/>
    <x v="3"/>
    <x v="0"/>
    <s v="Patiala"/>
    <x v="1"/>
    <x v="1"/>
    <n v="5"/>
    <x v="0"/>
    <n v="2"/>
    <s v="Delivered"/>
  </r>
  <r>
    <s v="ORD00409"/>
    <x v="62"/>
    <s v="CUST881"/>
    <s v="Karan"/>
    <x v="1"/>
    <n v="21"/>
    <x v="8"/>
    <x v="0"/>
    <x v="8"/>
    <x v="9"/>
    <n v="2"/>
    <n v="13948"/>
    <n v="20"/>
    <n v="5579.2"/>
    <n v="4017.02"/>
    <n v="146"/>
    <n v="26479.82"/>
    <x v="2"/>
    <x v="0"/>
    <s v="Mumbai"/>
    <x v="0"/>
    <x v="0"/>
    <n v="2"/>
    <x v="1"/>
    <n v="1"/>
    <s v="Delivered"/>
  </r>
  <r>
    <s v="ORD00410"/>
    <x v="248"/>
    <s v="CUST394"/>
    <s v="Rahul"/>
    <x v="1"/>
    <n v="26"/>
    <x v="3"/>
    <x v="2"/>
    <x v="3"/>
    <x v="9"/>
    <n v="2"/>
    <n v="23299"/>
    <n v="10"/>
    <n v="4659.8"/>
    <n v="7548.88"/>
    <n v="416"/>
    <n v="49903.08"/>
    <x v="0"/>
    <x v="1"/>
    <s v="Bangalore"/>
    <x v="3"/>
    <x v="2"/>
    <n v="1"/>
    <x v="1"/>
    <n v="2"/>
    <s v="Cancelled"/>
  </r>
  <r>
    <s v="ORD00411"/>
    <x v="19"/>
    <s v="CUST749"/>
    <s v="Arjun"/>
    <x v="0"/>
    <n v="32"/>
    <x v="5"/>
    <x v="0"/>
    <x v="5"/>
    <x v="1"/>
    <n v="2"/>
    <n v="32677"/>
    <n v="10"/>
    <n v="6535.4"/>
    <n v="10587.35"/>
    <n v="159"/>
    <n v="69564.95"/>
    <x v="3"/>
    <x v="0"/>
    <s v="Mumbai"/>
    <x v="0"/>
    <x v="0"/>
    <n v="3"/>
    <x v="1"/>
    <n v="4"/>
    <s v="Delivered"/>
  </r>
  <r>
    <s v="ORD00412"/>
    <x v="249"/>
    <s v="CUST950"/>
    <s v="Anjali"/>
    <x v="0"/>
    <n v="21"/>
    <x v="2"/>
    <x v="1"/>
    <x v="2"/>
    <x v="3"/>
    <n v="2"/>
    <n v="31723"/>
    <n v="15"/>
    <n v="9516.9"/>
    <n v="9707.24"/>
    <n v="178"/>
    <n v="63814.34"/>
    <x v="1"/>
    <x v="1"/>
    <s v="Lucknow"/>
    <x v="4"/>
    <x v="1"/>
    <n v="2"/>
    <x v="0"/>
    <n v="2"/>
    <s v="Returned"/>
  </r>
  <r>
    <s v="ORD00413"/>
    <x v="161"/>
    <s v="CUST825"/>
    <s v="Neha"/>
    <x v="1"/>
    <n v="18"/>
    <x v="5"/>
    <x v="0"/>
    <x v="5"/>
    <x v="5"/>
    <n v="3"/>
    <n v="32699"/>
    <n v="15"/>
    <n v="14714.55"/>
    <n v="15008.84"/>
    <n v="232"/>
    <n v="98623.29"/>
    <x v="3"/>
    <x v="0"/>
    <s v="Bangalore"/>
    <x v="3"/>
    <x v="2"/>
    <n v="4"/>
    <x v="0"/>
    <n v="1"/>
    <s v="Shipped"/>
  </r>
  <r>
    <s v="ORD00414"/>
    <x v="250"/>
    <s v="CUST144"/>
    <s v="Sneha"/>
    <x v="1"/>
    <n v="40"/>
    <x v="3"/>
    <x v="2"/>
    <x v="3"/>
    <x v="7"/>
    <n v="5"/>
    <n v="13093"/>
    <n v="15"/>
    <n v="9819.75"/>
    <n v="10016.15"/>
    <n v="119"/>
    <n v="65780.399999999994"/>
    <x v="1"/>
    <x v="0"/>
    <s v="Mumbai"/>
    <x v="0"/>
    <x v="0"/>
    <n v="9"/>
    <x v="1"/>
    <n v="2"/>
    <s v="Returned"/>
  </r>
  <r>
    <s v="ORD00415"/>
    <x v="251"/>
    <s v="CUST282"/>
    <s v="Karan"/>
    <x v="0"/>
    <n v="44"/>
    <x v="9"/>
    <x v="0"/>
    <x v="9"/>
    <x v="3"/>
    <n v="1"/>
    <n v="29058"/>
    <n v="15"/>
    <n v="4358.7"/>
    <n v="4445.87"/>
    <n v="483"/>
    <n v="29628.17"/>
    <x v="0"/>
    <x v="1"/>
    <s v="Patiala"/>
    <x v="1"/>
    <x v="1"/>
    <n v="4"/>
    <x v="1"/>
    <n v="2"/>
    <s v="Cancelled"/>
  </r>
  <r>
    <s v="ORD00416"/>
    <x v="133"/>
    <s v="CUST151"/>
    <s v="Arjun"/>
    <x v="0"/>
    <n v="34"/>
    <x v="5"/>
    <x v="0"/>
    <x v="5"/>
    <x v="6"/>
    <n v="4"/>
    <n v="893"/>
    <n v="15"/>
    <n v="535.79999999999995"/>
    <n v="546.52"/>
    <n v="235"/>
    <n v="3817.72"/>
    <x v="1"/>
    <x v="1"/>
    <s v="Lucknow"/>
    <x v="4"/>
    <x v="1"/>
    <n v="3"/>
    <x v="0"/>
    <n v="5"/>
    <s v="Cancelled"/>
  </r>
  <r>
    <s v="ORD00417"/>
    <x v="252"/>
    <s v="CUST564"/>
    <s v="Karan"/>
    <x v="0"/>
    <n v="43"/>
    <x v="2"/>
    <x v="1"/>
    <x v="2"/>
    <x v="2"/>
    <n v="2"/>
    <n v="30884"/>
    <n v="15"/>
    <n v="9265.2000000000007"/>
    <n v="9450.5"/>
    <n v="377"/>
    <n v="62330.3"/>
    <x v="2"/>
    <x v="0"/>
    <s v="Chandigarh"/>
    <x v="1"/>
    <x v="1"/>
    <n v="4"/>
    <x v="0"/>
    <n v="5"/>
    <s v="Cancelled"/>
  </r>
  <r>
    <s v="ORD00418"/>
    <x v="77"/>
    <s v="CUST776"/>
    <s v="Priya"/>
    <x v="0"/>
    <n v="32"/>
    <x v="6"/>
    <x v="0"/>
    <x v="6"/>
    <x v="5"/>
    <n v="1"/>
    <n v="18649"/>
    <n v="10"/>
    <n v="1864.9"/>
    <n v="3021.14"/>
    <n v="223"/>
    <n v="20028.240000000002"/>
    <x v="0"/>
    <x v="1"/>
    <s v="Delhi"/>
    <x v="5"/>
    <x v="1"/>
    <n v="2"/>
    <x v="1"/>
    <n v="2"/>
    <s v="Cancelled"/>
  </r>
  <r>
    <s v="ORD00419"/>
    <x v="253"/>
    <s v="CUST407"/>
    <s v="Rahul"/>
    <x v="1"/>
    <n v="57"/>
    <x v="0"/>
    <x v="0"/>
    <x v="0"/>
    <x v="4"/>
    <n v="4"/>
    <n v="25831"/>
    <n v="0"/>
    <n v="0"/>
    <n v="18598.32"/>
    <n v="290"/>
    <n v="122212.32"/>
    <x v="2"/>
    <x v="1"/>
    <s v="Pune"/>
    <x v="0"/>
    <x v="0"/>
    <n v="9"/>
    <x v="0"/>
    <n v="5"/>
    <s v="Cancelled"/>
  </r>
  <r>
    <s v="ORD00420"/>
    <x v="179"/>
    <s v="CUST173"/>
    <s v="Riya"/>
    <x v="1"/>
    <n v="22"/>
    <x v="7"/>
    <x v="1"/>
    <x v="7"/>
    <x v="2"/>
    <n v="3"/>
    <n v="5184"/>
    <n v="10"/>
    <n v="1555.2"/>
    <n v="2519.42"/>
    <n v="384"/>
    <n v="16900.22"/>
    <x v="0"/>
    <x v="1"/>
    <s v="Patiala"/>
    <x v="1"/>
    <x v="1"/>
    <n v="10"/>
    <x v="1"/>
    <n v="3"/>
    <s v="Shipped"/>
  </r>
  <r>
    <s v="ORD00421"/>
    <x v="85"/>
    <s v="CUST876"/>
    <s v="Arjun"/>
    <x v="0"/>
    <n v="30"/>
    <x v="2"/>
    <x v="1"/>
    <x v="2"/>
    <x v="5"/>
    <n v="2"/>
    <n v="6464"/>
    <n v="5"/>
    <n v="646.4"/>
    <n v="2210.69"/>
    <n v="494"/>
    <n v="14986.29"/>
    <x v="1"/>
    <x v="1"/>
    <s v="Patiala"/>
    <x v="1"/>
    <x v="1"/>
    <n v="2"/>
    <x v="0"/>
    <n v="1"/>
    <s v="Shipped"/>
  </r>
  <r>
    <s v="ORD00422"/>
    <x v="234"/>
    <s v="CUST814"/>
    <s v="Rahul"/>
    <x v="1"/>
    <n v="19"/>
    <x v="4"/>
    <x v="0"/>
    <x v="4"/>
    <x v="7"/>
    <n v="1"/>
    <n v="41930"/>
    <n v="20"/>
    <n v="8386"/>
    <n v="6037.92"/>
    <n v="39"/>
    <n v="39620.92"/>
    <x v="3"/>
    <x v="1"/>
    <s v="Lucknow"/>
    <x v="4"/>
    <x v="1"/>
    <n v="1"/>
    <x v="0"/>
    <n v="3"/>
    <s v="Cancelled"/>
  </r>
  <r>
    <s v="ORD00423"/>
    <x v="171"/>
    <s v="CUST867"/>
    <s v="Priya"/>
    <x v="0"/>
    <n v="30"/>
    <x v="7"/>
    <x v="1"/>
    <x v="7"/>
    <x v="8"/>
    <n v="2"/>
    <n v="602"/>
    <n v="5"/>
    <n v="60.2"/>
    <n v="205.88"/>
    <n v="330"/>
    <n v="1679.68"/>
    <x v="0"/>
    <x v="1"/>
    <s v="Pune"/>
    <x v="0"/>
    <x v="0"/>
    <n v="4"/>
    <x v="1"/>
    <n v="3"/>
    <s v="Delivered"/>
  </r>
  <r>
    <s v="ORD00424"/>
    <x v="254"/>
    <s v="CUST212"/>
    <s v="Riya"/>
    <x v="0"/>
    <n v="44"/>
    <x v="3"/>
    <x v="2"/>
    <x v="3"/>
    <x v="8"/>
    <n v="4"/>
    <n v="32958"/>
    <n v="15"/>
    <n v="19774.8"/>
    <n v="20170.3"/>
    <n v="359"/>
    <n v="132586.5"/>
    <x v="0"/>
    <x v="1"/>
    <s v="Delhi"/>
    <x v="5"/>
    <x v="1"/>
    <n v="4"/>
    <x v="0"/>
    <n v="3"/>
    <s v="Returned"/>
  </r>
  <r>
    <s v="ORD00425"/>
    <x v="161"/>
    <s v="CUST649"/>
    <s v="Vikas"/>
    <x v="0"/>
    <n v="29"/>
    <x v="0"/>
    <x v="0"/>
    <x v="0"/>
    <x v="0"/>
    <n v="1"/>
    <n v="22795"/>
    <n v="20"/>
    <n v="4559"/>
    <n v="3282.48"/>
    <n v="408"/>
    <n v="21926.48"/>
    <x v="1"/>
    <x v="1"/>
    <s v="Bangalore"/>
    <x v="3"/>
    <x v="2"/>
    <n v="10"/>
    <x v="0"/>
    <n v="1"/>
    <s v="Delivered"/>
  </r>
  <r>
    <s v="ORD00426"/>
    <x v="255"/>
    <s v="CUST119"/>
    <s v="Arjun"/>
    <x v="1"/>
    <n v="34"/>
    <x v="8"/>
    <x v="0"/>
    <x v="8"/>
    <x v="3"/>
    <n v="2"/>
    <n v="44955"/>
    <n v="15"/>
    <n v="13486.5"/>
    <n v="13756.23"/>
    <n v="122"/>
    <n v="90301.73"/>
    <x v="0"/>
    <x v="0"/>
    <s v="Chandigarh"/>
    <x v="1"/>
    <x v="1"/>
    <n v="2"/>
    <x v="0"/>
    <n v="3"/>
    <s v="Delivered"/>
  </r>
  <r>
    <s v="ORD00427"/>
    <x v="256"/>
    <s v="CUST108"/>
    <s v="Sneha"/>
    <x v="0"/>
    <n v="32"/>
    <x v="7"/>
    <x v="1"/>
    <x v="7"/>
    <x v="3"/>
    <n v="3"/>
    <n v="29894"/>
    <n v="5"/>
    <n v="4484.1000000000004"/>
    <n v="15335.62"/>
    <n v="374"/>
    <n v="100907.52"/>
    <x v="1"/>
    <x v="0"/>
    <s v="Pune"/>
    <x v="0"/>
    <x v="0"/>
    <n v="2"/>
    <x v="0"/>
    <n v="4"/>
    <s v="Delivered"/>
  </r>
  <r>
    <s v="ORD00428"/>
    <x v="101"/>
    <s v="CUST739"/>
    <s v="Rahul"/>
    <x v="0"/>
    <n v="53"/>
    <x v="9"/>
    <x v="0"/>
    <x v="9"/>
    <x v="4"/>
    <n v="1"/>
    <n v="18999"/>
    <n v="20"/>
    <n v="3799.8"/>
    <n v="2735.86"/>
    <n v="252"/>
    <n v="18187.060000000001"/>
    <x v="2"/>
    <x v="0"/>
    <s v="Patiala"/>
    <x v="1"/>
    <x v="1"/>
    <n v="1"/>
    <x v="1"/>
    <n v="5"/>
    <s v="Returned"/>
  </r>
  <r>
    <s v="ORD00429"/>
    <x v="58"/>
    <s v="CUST649"/>
    <s v="Rahul"/>
    <x v="0"/>
    <n v="20"/>
    <x v="2"/>
    <x v="1"/>
    <x v="2"/>
    <x v="1"/>
    <n v="2"/>
    <n v="5211"/>
    <n v="10"/>
    <n v="1042.2"/>
    <n v="1688.36"/>
    <n v="185"/>
    <n v="11253.16"/>
    <x v="2"/>
    <x v="1"/>
    <s v="Lucknow"/>
    <x v="4"/>
    <x v="1"/>
    <n v="2"/>
    <x v="0"/>
    <n v="3"/>
    <s v="Shipped"/>
  </r>
  <r>
    <s v="ORD00430"/>
    <x v="106"/>
    <s v="CUST191"/>
    <s v="Neha"/>
    <x v="1"/>
    <n v="26"/>
    <x v="8"/>
    <x v="0"/>
    <x v="8"/>
    <x v="2"/>
    <n v="2"/>
    <n v="35117"/>
    <n v="20"/>
    <n v="14046.8"/>
    <n v="10113.700000000001"/>
    <n v="188"/>
    <n v="66488.899999999994"/>
    <x v="0"/>
    <x v="0"/>
    <s v="Bangalore"/>
    <x v="3"/>
    <x v="2"/>
    <n v="8"/>
    <x v="0"/>
    <n v="5"/>
    <s v="Returned"/>
  </r>
  <r>
    <s v="ORD00431"/>
    <x v="220"/>
    <s v="CUST850"/>
    <s v="Rahul"/>
    <x v="1"/>
    <n v="22"/>
    <x v="0"/>
    <x v="0"/>
    <x v="0"/>
    <x v="5"/>
    <n v="5"/>
    <n v="49331"/>
    <n v="10"/>
    <n v="24665.5"/>
    <n v="39958.11"/>
    <n v="272"/>
    <n v="262219.61"/>
    <x v="1"/>
    <x v="1"/>
    <s v="Delhi"/>
    <x v="5"/>
    <x v="1"/>
    <n v="6"/>
    <x v="0"/>
    <n v="2"/>
    <s v="Delivered"/>
  </r>
  <r>
    <s v="ORD00432"/>
    <x v="193"/>
    <s v="CUST746"/>
    <s v="Priya"/>
    <x v="0"/>
    <n v="22"/>
    <x v="9"/>
    <x v="0"/>
    <x v="9"/>
    <x v="6"/>
    <n v="4"/>
    <n v="41823"/>
    <n v="5"/>
    <n v="8364.6"/>
    <n v="28606.93"/>
    <n v="269"/>
    <n v="187803.33"/>
    <x v="3"/>
    <x v="0"/>
    <s v="Bangalore"/>
    <x v="3"/>
    <x v="2"/>
    <n v="3"/>
    <x v="1"/>
    <n v="5"/>
    <s v="Returned"/>
  </r>
  <r>
    <s v="ORD00433"/>
    <x v="6"/>
    <s v="CUST320"/>
    <s v="Karan"/>
    <x v="1"/>
    <n v="60"/>
    <x v="4"/>
    <x v="0"/>
    <x v="4"/>
    <x v="7"/>
    <n v="2"/>
    <n v="34809"/>
    <n v="15"/>
    <n v="10442.700000000001"/>
    <n v="10651.55"/>
    <n v="154"/>
    <n v="69980.850000000006"/>
    <x v="0"/>
    <x v="1"/>
    <s v="Patiala"/>
    <x v="1"/>
    <x v="1"/>
    <n v="8"/>
    <x v="0"/>
    <n v="5"/>
    <s v="Returned"/>
  </r>
  <r>
    <s v="ORD00434"/>
    <x v="17"/>
    <s v="CUST277"/>
    <s v="Amit"/>
    <x v="0"/>
    <n v="50"/>
    <x v="4"/>
    <x v="0"/>
    <x v="4"/>
    <x v="5"/>
    <n v="3"/>
    <n v="4209"/>
    <n v="10"/>
    <n v="1262.7"/>
    <n v="2045.57"/>
    <n v="362"/>
    <n v="13771.87"/>
    <x v="0"/>
    <x v="0"/>
    <s v="Chandigarh"/>
    <x v="1"/>
    <x v="1"/>
    <n v="9"/>
    <x v="1"/>
    <n v="4"/>
    <s v="Shipped"/>
  </r>
  <r>
    <s v="ORD00435"/>
    <x v="257"/>
    <s v="CUST851"/>
    <s v="Neha"/>
    <x v="1"/>
    <n v="44"/>
    <x v="1"/>
    <x v="0"/>
    <x v="1"/>
    <x v="4"/>
    <n v="1"/>
    <n v="42001"/>
    <n v="5"/>
    <n v="2100.0500000000002"/>
    <n v="7182.17"/>
    <n v="105"/>
    <n v="47188.12"/>
    <x v="0"/>
    <x v="0"/>
    <s v="Bangalore"/>
    <x v="3"/>
    <x v="2"/>
    <n v="2"/>
    <x v="0"/>
    <n v="4"/>
    <s v="Cancelled"/>
  </r>
  <r>
    <s v="ORD00436"/>
    <x v="111"/>
    <s v="CUST914"/>
    <s v="Priya"/>
    <x v="1"/>
    <n v="18"/>
    <x v="6"/>
    <x v="0"/>
    <x v="6"/>
    <x v="1"/>
    <n v="3"/>
    <n v="49226"/>
    <n v="20"/>
    <n v="29535.599999999999"/>
    <n v="21265.63"/>
    <n v="215"/>
    <n v="139623.03"/>
    <x v="2"/>
    <x v="1"/>
    <s v="Chandigarh"/>
    <x v="1"/>
    <x v="1"/>
    <n v="7"/>
    <x v="1"/>
    <n v="5"/>
    <s v="Cancelled"/>
  </r>
  <r>
    <s v="ORD00437"/>
    <x v="258"/>
    <s v="CUST567"/>
    <s v="Amit"/>
    <x v="0"/>
    <n v="21"/>
    <x v="5"/>
    <x v="0"/>
    <x v="5"/>
    <x v="3"/>
    <n v="1"/>
    <n v="5104"/>
    <n v="20"/>
    <n v="1020.8"/>
    <n v="734.98"/>
    <n v="17"/>
    <n v="4835.18"/>
    <x v="0"/>
    <x v="0"/>
    <s v="Chandigarh"/>
    <x v="1"/>
    <x v="1"/>
    <n v="2"/>
    <x v="1"/>
    <n v="5"/>
    <s v="Shipped"/>
  </r>
  <r>
    <s v="ORD00438"/>
    <x v="259"/>
    <s v="CUST550"/>
    <s v="Rahul"/>
    <x v="0"/>
    <n v="38"/>
    <x v="9"/>
    <x v="0"/>
    <x v="9"/>
    <x v="2"/>
    <n v="5"/>
    <n v="27737"/>
    <n v="5"/>
    <n v="6934.25"/>
    <n v="23715.13"/>
    <n v="280"/>
    <n v="155745.89000000001"/>
    <x v="1"/>
    <x v="1"/>
    <s v="Pune"/>
    <x v="0"/>
    <x v="0"/>
    <n v="1"/>
    <x v="1"/>
    <n v="3"/>
    <s v="Delivered"/>
  </r>
  <r>
    <s v="ORD00439"/>
    <x v="260"/>
    <s v="CUST645"/>
    <s v="Priya"/>
    <x v="1"/>
    <n v="31"/>
    <x v="0"/>
    <x v="0"/>
    <x v="0"/>
    <x v="3"/>
    <n v="2"/>
    <n v="2476"/>
    <n v="5"/>
    <n v="247.6"/>
    <n v="846.79"/>
    <n v="332"/>
    <n v="5883.19"/>
    <x v="3"/>
    <x v="0"/>
    <s v="Chandigarh"/>
    <x v="1"/>
    <x v="1"/>
    <n v="10"/>
    <x v="0"/>
    <n v="4"/>
    <s v="Returned"/>
  </r>
  <r>
    <s v="ORD00440"/>
    <x v="209"/>
    <s v="CUST690"/>
    <s v="Vikas"/>
    <x v="1"/>
    <n v="46"/>
    <x v="2"/>
    <x v="1"/>
    <x v="2"/>
    <x v="4"/>
    <n v="5"/>
    <n v="41823"/>
    <n v="10"/>
    <n v="20911.5"/>
    <n v="33876.629999999997"/>
    <n v="228"/>
    <n v="222308.13"/>
    <x v="2"/>
    <x v="0"/>
    <s v="Jaipur"/>
    <x v="2"/>
    <x v="1"/>
    <n v="1"/>
    <x v="0"/>
    <n v="5"/>
    <s v="Cancelled"/>
  </r>
  <r>
    <s v="ORD00441"/>
    <x v="219"/>
    <s v="CUST578"/>
    <s v="Sneha"/>
    <x v="0"/>
    <n v="28"/>
    <x v="0"/>
    <x v="0"/>
    <x v="0"/>
    <x v="6"/>
    <n v="4"/>
    <n v="24006"/>
    <n v="0"/>
    <n v="0"/>
    <n v="17284.32"/>
    <n v="134"/>
    <n v="113442.32"/>
    <x v="1"/>
    <x v="0"/>
    <s v="Pune"/>
    <x v="0"/>
    <x v="0"/>
    <n v="2"/>
    <x v="1"/>
    <n v="5"/>
    <s v="Delivered"/>
  </r>
  <r>
    <s v="ORD00442"/>
    <x v="137"/>
    <s v="CUST272"/>
    <s v="Rahul"/>
    <x v="1"/>
    <n v="44"/>
    <x v="5"/>
    <x v="0"/>
    <x v="5"/>
    <x v="0"/>
    <n v="5"/>
    <n v="23260"/>
    <n v="10"/>
    <n v="11630"/>
    <n v="18840.599999999999"/>
    <n v="403"/>
    <n v="123913.60000000001"/>
    <x v="3"/>
    <x v="0"/>
    <s v="Patiala"/>
    <x v="1"/>
    <x v="1"/>
    <n v="10"/>
    <x v="1"/>
    <n v="2"/>
    <s v="Cancelled"/>
  </r>
  <r>
    <s v="ORD00443"/>
    <x v="160"/>
    <s v="CUST109"/>
    <s v="Neha"/>
    <x v="1"/>
    <n v="36"/>
    <x v="1"/>
    <x v="0"/>
    <x v="1"/>
    <x v="8"/>
    <n v="5"/>
    <n v="3544"/>
    <n v="0"/>
    <n v="0"/>
    <n v="3189.6"/>
    <n v="294"/>
    <n v="21203.599999999999"/>
    <x v="0"/>
    <x v="1"/>
    <s v="Bangalore"/>
    <x v="3"/>
    <x v="2"/>
    <n v="2"/>
    <x v="1"/>
    <n v="1"/>
    <s v="Shipped"/>
  </r>
  <r>
    <s v="ORD00444"/>
    <x v="87"/>
    <s v="CUST435"/>
    <s v="Karan"/>
    <x v="1"/>
    <n v="57"/>
    <x v="4"/>
    <x v="0"/>
    <x v="4"/>
    <x v="7"/>
    <n v="3"/>
    <n v="45381"/>
    <n v="15"/>
    <n v="20421.45"/>
    <n v="20829.88"/>
    <n v="110"/>
    <n v="136661.43"/>
    <x v="2"/>
    <x v="0"/>
    <s v="Lucknow"/>
    <x v="4"/>
    <x v="1"/>
    <n v="6"/>
    <x v="1"/>
    <n v="3"/>
    <s v="Returned"/>
  </r>
  <r>
    <s v="ORD00445"/>
    <x v="220"/>
    <s v="CUST772"/>
    <s v="Rahul"/>
    <x v="0"/>
    <n v="52"/>
    <x v="8"/>
    <x v="0"/>
    <x v="8"/>
    <x v="9"/>
    <n v="1"/>
    <n v="12252"/>
    <n v="5"/>
    <n v="612.6"/>
    <n v="2095.09"/>
    <n v="379"/>
    <n v="14113.49"/>
    <x v="0"/>
    <x v="1"/>
    <s v="Mumbai"/>
    <x v="0"/>
    <x v="0"/>
    <n v="8"/>
    <x v="0"/>
    <n v="1"/>
    <s v="Shipped"/>
  </r>
  <r>
    <s v="ORD00446"/>
    <x v="242"/>
    <s v="CUST456"/>
    <s v="Sneha"/>
    <x v="1"/>
    <n v="47"/>
    <x v="3"/>
    <x v="2"/>
    <x v="3"/>
    <x v="7"/>
    <n v="4"/>
    <n v="30619"/>
    <n v="0"/>
    <n v="0"/>
    <n v="22045.68"/>
    <n v="231"/>
    <n v="144752.68"/>
    <x v="1"/>
    <x v="0"/>
    <s v="Patiala"/>
    <x v="1"/>
    <x v="1"/>
    <n v="4"/>
    <x v="0"/>
    <n v="2"/>
    <s v="Returned"/>
  </r>
  <r>
    <s v="ORD00447"/>
    <x v="174"/>
    <s v="CUST907"/>
    <s v="Neha"/>
    <x v="1"/>
    <n v="20"/>
    <x v="0"/>
    <x v="0"/>
    <x v="0"/>
    <x v="1"/>
    <n v="1"/>
    <n v="23553"/>
    <n v="20"/>
    <n v="4710.6000000000004"/>
    <n v="3391.63"/>
    <n v="243"/>
    <n v="22477.03"/>
    <x v="1"/>
    <x v="0"/>
    <s v="Mumbai"/>
    <x v="0"/>
    <x v="0"/>
    <n v="8"/>
    <x v="1"/>
    <n v="4"/>
    <s v="Shipped"/>
  </r>
  <r>
    <s v="ORD00448"/>
    <x v="9"/>
    <s v="CUST207"/>
    <s v="Karan"/>
    <x v="1"/>
    <n v="52"/>
    <x v="1"/>
    <x v="0"/>
    <x v="1"/>
    <x v="1"/>
    <n v="2"/>
    <n v="6603"/>
    <n v="5"/>
    <n v="660.3"/>
    <n v="2258.23"/>
    <n v="343"/>
    <n v="15146.93"/>
    <x v="1"/>
    <x v="0"/>
    <s v="Pune"/>
    <x v="0"/>
    <x v="0"/>
    <n v="7"/>
    <x v="1"/>
    <n v="3"/>
    <s v="Returned"/>
  </r>
  <r>
    <s v="ORD00449"/>
    <x v="4"/>
    <s v="CUST934"/>
    <s v="Arjun"/>
    <x v="1"/>
    <n v="28"/>
    <x v="3"/>
    <x v="2"/>
    <x v="3"/>
    <x v="1"/>
    <n v="4"/>
    <n v="22851"/>
    <n v="20"/>
    <n v="18280.8"/>
    <n v="13162.18"/>
    <n v="359"/>
    <n v="86644.38"/>
    <x v="1"/>
    <x v="0"/>
    <s v="Bangalore"/>
    <x v="3"/>
    <x v="2"/>
    <n v="7"/>
    <x v="1"/>
    <n v="3"/>
    <s v="Returned"/>
  </r>
  <r>
    <s v="ORD00450"/>
    <x v="76"/>
    <s v="CUST764"/>
    <s v="Rahul"/>
    <x v="0"/>
    <n v="36"/>
    <x v="8"/>
    <x v="0"/>
    <x v="8"/>
    <x v="3"/>
    <n v="1"/>
    <n v="25609"/>
    <n v="5"/>
    <n v="1280.45"/>
    <n v="4379.1400000000003"/>
    <n v="97"/>
    <n v="28804.69"/>
    <x v="2"/>
    <x v="0"/>
    <s v="Patiala"/>
    <x v="1"/>
    <x v="1"/>
    <n v="1"/>
    <x v="0"/>
    <n v="5"/>
    <s v="Returned"/>
  </r>
  <r>
    <s v="ORD00451"/>
    <x v="136"/>
    <s v="CUST804"/>
    <s v="Rahul"/>
    <x v="1"/>
    <n v="39"/>
    <x v="0"/>
    <x v="0"/>
    <x v="0"/>
    <x v="5"/>
    <n v="2"/>
    <n v="14636"/>
    <n v="5"/>
    <n v="1463.6"/>
    <n v="5005.51"/>
    <n v="189"/>
    <n v="33002.910000000003"/>
    <x v="3"/>
    <x v="1"/>
    <s v="Mumbai"/>
    <x v="0"/>
    <x v="0"/>
    <n v="2"/>
    <x v="0"/>
    <n v="4"/>
    <s v="Returned"/>
  </r>
  <r>
    <s v="ORD00452"/>
    <x v="136"/>
    <s v="CUST633"/>
    <s v="Vikas"/>
    <x v="1"/>
    <n v="47"/>
    <x v="1"/>
    <x v="0"/>
    <x v="1"/>
    <x v="2"/>
    <n v="2"/>
    <n v="38206"/>
    <n v="0"/>
    <n v="0"/>
    <n v="13754.16"/>
    <n v="460"/>
    <n v="90626.16"/>
    <x v="0"/>
    <x v="0"/>
    <s v="Delhi"/>
    <x v="5"/>
    <x v="1"/>
    <n v="7"/>
    <x v="0"/>
    <n v="5"/>
    <s v="Returned"/>
  </r>
  <r>
    <s v="ORD00453"/>
    <x v="116"/>
    <s v="CUST838"/>
    <s v="Arjun"/>
    <x v="1"/>
    <n v="52"/>
    <x v="0"/>
    <x v="0"/>
    <x v="0"/>
    <x v="2"/>
    <n v="4"/>
    <n v="16160"/>
    <n v="20"/>
    <n v="12928"/>
    <n v="9308.16"/>
    <n v="422"/>
    <n v="61442.16"/>
    <x v="0"/>
    <x v="1"/>
    <s v="Bangalore"/>
    <x v="3"/>
    <x v="2"/>
    <n v="5"/>
    <x v="0"/>
    <n v="1"/>
    <s v="Cancelled"/>
  </r>
  <r>
    <s v="ORD00454"/>
    <x v="261"/>
    <s v="CUST448"/>
    <s v="Anjali"/>
    <x v="0"/>
    <n v="32"/>
    <x v="9"/>
    <x v="0"/>
    <x v="9"/>
    <x v="7"/>
    <n v="5"/>
    <n v="31197"/>
    <n v="15"/>
    <n v="23397.75"/>
    <n v="23865.7"/>
    <n v="389"/>
    <n v="156841.95000000001"/>
    <x v="0"/>
    <x v="1"/>
    <s v="Lucknow"/>
    <x v="4"/>
    <x v="1"/>
    <n v="6"/>
    <x v="0"/>
    <n v="2"/>
    <s v="Delivered"/>
  </r>
  <r>
    <s v="ORD00455"/>
    <x v="37"/>
    <s v="CUST889"/>
    <s v="Anjali"/>
    <x v="0"/>
    <n v="29"/>
    <x v="0"/>
    <x v="0"/>
    <x v="0"/>
    <x v="2"/>
    <n v="4"/>
    <n v="10812"/>
    <n v="0"/>
    <n v="0"/>
    <n v="7784.64"/>
    <n v="76"/>
    <n v="51108.639999999999"/>
    <x v="0"/>
    <x v="0"/>
    <s v="Delhi"/>
    <x v="5"/>
    <x v="1"/>
    <n v="6"/>
    <x v="1"/>
    <n v="3"/>
    <s v="Cancelled"/>
  </r>
  <r>
    <s v="ORD00456"/>
    <x v="231"/>
    <s v="CUST772"/>
    <s v="Rahul"/>
    <x v="0"/>
    <n v="40"/>
    <x v="9"/>
    <x v="0"/>
    <x v="9"/>
    <x v="9"/>
    <n v="1"/>
    <n v="13238"/>
    <n v="20"/>
    <n v="2647.6"/>
    <n v="1906.27"/>
    <n v="33"/>
    <n v="12529.67"/>
    <x v="0"/>
    <x v="1"/>
    <s v="Bangalore"/>
    <x v="3"/>
    <x v="2"/>
    <n v="7"/>
    <x v="1"/>
    <n v="1"/>
    <s v="Cancelled"/>
  </r>
  <r>
    <s v="ORD00457"/>
    <x v="262"/>
    <s v="CUST174"/>
    <s v="Amit"/>
    <x v="1"/>
    <n v="44"/>
    <x v="6"/>
    <x v="0"/>
    <x v="6"/>
    <x v="3"/>
    <n v="2"/>
    <n v="19330"/>
    <n v="5"/>
    <n v="1933"/>
    <n v="6610.86"/>
    <n v="455"/>
    <n v="43792.86"/>
    <x v="3"/>
    <x v="0"/>
    <s v="Lucknow"/>
    <x v="4"/>
    <x v="1"/>
    <n v="10"/>
    <x v="1"/>
    <n v="3"/>
    <s v="Delivered"/>
  </r>
  <r>
    <s v="ORD00458"/>
    <x v="120"/>
    <s v="CUST208"/>
    <s v="Karan"/>
    <x v="0"/>
    <n v="26"/>
    <x v="4"/>
    <x v="0"/>
    <x v="4"/>
    <x v="1"/>
    <n v="5"/>
    <n v="36209"/>
    <n v="10"/>
    <n v="18104.5"/>
    <n v="29329.29"/>
    <n v="361"/>
    <n v="192630.79"/>
    <x v="1"/>
    <x v="1"/>
    <s v="Jaipur"/>
    <x v="2"/>
    <x v="1"/>
    <n v="3"/>
    <x v="0"/>
    <n v="3"/>
    <s v="Shipped"/>
  </r>
  <r>
    <s v="ORD00459"/>
    <x v="12"/>
    <s v="CUST503"/>
    <s v="Rahul"/>
    <x v="1"/>
    <n v="48"/>
    <x v="2"/>
    <x v="1"/>
    <x v="2"/>
    <x v="4"/>
    <n v="1"/>
    <n v="29971"/>
    <n v="10"/>
    <n v="2997.1"/>
    <n v="4855.3"/>
    <n v="401"/>
    <n v="32230.2"/>
    <x v="3"/>
    <x v="1"/>
    <s v="Mumbai"/>
    <x v="0"/>
    <x v="0"/>
    <n v="3"/>
    <x v="1"/>
    <n v="5"/>
    <s v="Shipped"/>
  </r>
  <r>
    <s v="ORD00460"/>
    <x v="121"/>
    <s v="CUST569"/>
    <s v="Anjali"/>
    <x v="1"/>
    <n v="24"/>
    <x v="9"/>
    <x v="0"/>
    <x v="9"/>
    <x v="3"/>
    <n v="2"/>
    <n v="32711"/>
    <n v="10"/>
    <n v="6542.2"/>
    <n v="10598.36"/>
    <n v="374"/>
    <n v="69852.160000000003"/>
    <x v="2"/>
    <x v="1"/>
    <s v="Lucknow"/>
    <x v="4"/>
    <x v="1"/>
    <n v="9"/>
    <x v="1"/>
    <n v="5"/>
    <s v="Cancelled"/>
  </r>
  <r>
    <s v="ORD00461"/>
    <x v="44"/>
    <s v="CUST359"/>
    <s v="Anjali"/>
    <x v="0"/>
    <n v="38"/>
    <x v="9"/>
    <x v="0"/>
    <x v="9"/>
    <x v="2"/>
    <n v="2"/>
    <n v="8328"/>
    <n v="5"/>
    <n v="832.8"/>
    <n v="2848.18"/>
    <n v="251"/>
    <n v="18922.38"/>
    <x v="0"/>
    <x v="1"/>
    <s v="Bangalore"/>
    <x v="3"/>
    <x v="2"/>
    <n v="3"/>
    <x v="1"/>
    <n v="3"/>
    <s v="Shipped"/>
  </r>
  <r>
    <s v="ORD00462"/>
    <x v="25"/>
    <s v="CUST698"/>
    <s v="Vikas"/>
    <x v="0"/>
    <n v="31"/>
    <x v="6"/>
    <x v="0"/>
    <x v="6"/>
    <x v="9"/>
    <n v="4"/>
    <n v="35256"/>
    <n v="10"/>
    <n v="14102.4"/>
    <n v="22845.89"/>
    <n v="104"/>
    <n v="149871.49"/>
    <x v="3"/>
    <x v="1"/>
    <s v="Patiala"/>
    <x v="1"/>
    <x v="1"/>
    <n v="9"/>
    <x v="1"/>
    <n v="5"/>
    <s v="Returned"/>
  </r>
  <r>
    <s v="ORD00463"/>
    <x v="227"/>
    <s v="CUST957"/>
    <s v="Amit"/>
    <x v="1"/>
    <n v="28"/>
    <x v="0"/>
    <x v="0"/>
    <x v="0"/>
    <x v="3"/>
    <n v="2"/>
    <n v="45154"/>
    <n v="20"/>
    <n v="18061.599999999999"/>
    <n v="13004.35"/>
    <n v="214"/>
    <n v="85464.75"/>
    <x v="3"/>
    <x v="0"/>
    <s v="Mumbai"/>
    <x v="0"/>
    <x v="0"/>
    <n v="6"/>
    <x v="0"/>
    <n v="3"/>
    <s v="Delivered"/>
  </r>
  <r>
    <s v="ORD00464"/>
    <x v="124"/>
    <s v="CUST272"/>
    <s v="Karan"/>
    <x v="0"/>
    <n v="41"/>
    <x v="0"/>
    <x v="0"/>
    <x v="0"/>
    <x v="1"/>
    <n v="4"/>
    <n v="12691"/>
    <n v="5"/>
    <n v="2538.1999999999998"/>
    <n v="8680.64"/>
    <n v="366"/>
    <n v="57272.44"/>
    <x v="1"/>
    <x v="1"/>
    <s v="Bangalore"/>
    <x v="3"/>
    <x v="2"/>
    <n v="3"/>
    <x v="1"/>
    <n v="4"/>
    <s v="Shipped"/>
  </r>
  <r>
    <s v="ORD00465"/>
    <x v="70"/>
    <s v="CUST382"/>
    <s v="Rahul"/>
    <x v="0"/>
    <n v="57"/>
    <x v="2"/>
    <x v="1"/>
    <x v="2"/>
    <x v="8"/>
    <n v="1"/>
    <n v="34542"/>
    <n v="20"/>
    <n v="6908.4"/>
    <n v="4974.05"/>
    <n v="179"/>
    <n v="32786.65"/>
    <x v="3"/>
    <x v="1"/>
    <s v="Jaipur"/>
    <x v="2"/>
    <x v="1"/>
    <n v="8"/>
    <x v="0"/>
    <n v="2"/>
    <s v="Cancelled"/>
  </r>
  <r>
    <s v="ORD00466"/>
    <x v="105"/>
    <s v="CUST391"/>
    <s v="Karan"/>
    <x v="1"/>
    <n v="21"/>
    <x v="9"/>
    <x v="0"/>
    <x v="9"/>
    <x v="4"/>
    <n v="2"/>
    <n v="43091"/>
    <n v="5"/>
    <n v="4309.1000000000004"/>
    <n v="14737.12"/>
    <n v="410"/>
    <n v="97020.02"/>
    <x v="1"/>
    <x v="1"/>
    <s v="Pune"/>
    <x v="0"/>
    <x v="0"/>
    <n v="1"/>
    <x v="1"/>
    <n v="2"/>
    <s v="Shipped"/>
  </r>
  <r>
    <s v="ORD00467"/>
    <x v="208"/>
    <s v="CUST932"/>
    <s v="Rahul"/>
    <x v="0"/>
    <n v="53"/>
    <x v="7"/>
    <x v="1"/>
    <x v="7"/>
    <x v="1"/>
    <n v="4"/>
    <n v="8212"/>
    <n v="5"/>
    <n v="1642.4"/>
    <n v="5617.01"/>
    <n v="456"/>
    <n v="37278.61"/>
    <x v="3"/>
    <x v="0"/>
    <s v="Patiala"/>
    <x v="1"/>
    <x v="1"/>
    <n v="5"/>
    <x v="1"/>
    <n v="2"/>
    <s v="Delivered"/>
  </r>
  <r>
    <s v="ORD00468"/>
    <x v="47"/>
    <s v="CUST150"/>
    <s v="Priya"/>
    <x v="0"/>
    <n v="41"/>
    <x v="7"/>
    <x v="1"/>
    <x v="7"/>
    <x v="0"/>
    <n v="2"/>
    <n v="20842"/>
    <n v="5"/>
    <n v="2084.1999999999998"/>
    <n v="7127.96"/>
    <n v="476"/>
    <n v="47203.76"/>
    <x v="3"/>
    <x v="0"/>
    <s v="Jaipur"/>
    <x v="2"/>
    <x v="1"/>
    <n v="6"/>
    <x v="0"/>
    <n v="5"/>
    <s v="Delivered"/>
  </r>
  <r>
    <s v="ORD00469"/>
    <x v="160"/>
    <s v="CUST330"/>
    <s v="Sneha"/>
    <x v="0"/>
    <n v="24"/>
    <x v="1"/>
    <x v="0"/>
    <x v="1"/>
    <x v="1"/>
    <n v="1"/>
    <n v="47724"/>
    <n v="0"/>
    <n v="0"/>
    <n v="8590.32"/>
    <n v="1"/>
    <n v="56315.32"/>
    <x v="0"/>
    <x v="1"/>
    <s v="Delhi"/>
    <x v="5"/>
    <x v="1"/>
    <n v="9"/>
    <x v="1"/>
    <n v="5"/>
    <s v="Returned"/>
  </r>
  <r>
    <s v="ORD00470"/>
    <x v="263"/>
    <s v="CUST732"/>
    <s v="Rahul"/>
    <x v="0"/>
    <n v="40"/>
    <x v="5"/>
    <x v="0"/>
    <x v="5"/>
    <x v="7"/>
    <n v="4"/>
    <n v="10839"/>
    <n v="0"/>
    <n v="0"/>
    <n v="7804.08"/>
    <n v="263"/>
    <n v="51423.08"/>
    <x v="3"/>
    <x v="1"/>
    <s v="Patiala"/>
    <x v="1"/>
    <x v="1"/>
    <n v="10"/>
    <x v="1"/>
    <n v="2"/>
    <s v="Delivered"/>
  </r>
  <r>
    <s v="ORD00471"/>
    <x v="30"/>
    <s v="CUST155"/>
    <s v="Amit"/>
    <x v="0"/>
    <n v="59"/>
    <x v="0"/>
    <x v="0"/>
    <x v="0"/>
    <x v="3"/>
    <n v="3"/>
    <n v="26534"/>
    <n v="20"/>
    <n v="15920.4"/>
    <n v="11462.69"/>
    <n v="204"/>
    <n v="75348.289999999994"/>
    <x v="1"/>
    <x v="0"/>
    <s v="Patiala"/>
    <x v="1"/>
    <x v="1"/>
    <n v="1"/>
    <x v="0"/>
    <n v="3"/>
    <s v="Shipped"/>
  </r>
  <r>
    <s v="ORD00472"/>
    <x v="264"/>
    <s v="CUST813"/>
    <s v="Amit"/>
    <x v="0"/>
    <n v="30"/>
    <x v="8"/>
    <x v="0"/>
    <x v="8"/>
    <x v="2"/>
    <n v="4"/>
    <n v="31580"/>
    <n v="0"/>
    <n v="0"/>
    <n v="22737.599999999999"/>
    <n v="323"/>
    <n v="149380.6"/>
    <x v="3"/>
    <x v="1"/>
    <s v="Mumbai"/>
    <x v="0"/>
    <x v="0"/>
    <n v="9"/>
    <x v="1"/>
    <n v="4"/>
    <s v="Returned"/>
  </r>
  <r>
    <s v="ORD00473"/>
    <x v="265"/>
    <s v="CUST586"/>
    <s v="Priya"/>
    <x v="1"/>
    <n v="42"/>
    <x v="1"/>
    <x v="0"/>
    <x v="1"/>
    <x v="7"/>
    <n v="2"/>
    <n v="35161"/>
    <n v="15"/>
    <n v="10548.3"/>
    <n v="10759.27"/>
    <n v="349"/>
    <n v="70881.97"/>
    <x v="1"/>
    <x v="1"/>
    <s v="Jaipur"/>
    <x v="2"/>
    <x v="1"/>
    <n v="3"/>
    <x v="0"/>
    <n v="2"/>
    <s v="Cancelled"/>
  </r>
  <r>
    <s v="ORD00474"/>
    <x v="65"/>
    <s v="CUST156"/>
    <s v="Anjali"/>
    <x v="0"/>
    <n v="46"/>
    <x v="8"/>
    <x v="0"/>
    <x v="8"/>
    <x v="4"/>
    <n v="3"/>
    <n v="48636"/>
    <n v="0"/>
    <n v="0"/>
    <n v="26263.439999999999"/>
    <n v="268"/>
    <n v="172439.44"/>
    <x v="2"/>
    <x v="0"/>
    <s v="Pune"/>
    <x v="0"/>
    <x v="0"/>
    <n v="6"/>
    <x v="0"/>
    <n v="3"/>
    <s v="Cancelled"/>
  </r>
  <r>
    <s v="ORD00475"/>
    <x v="237"/>
    <s v="CUST781"/>
    <s v="Anjali"/>
    <x v="1"/>
    <n v="31"/>
    <x v="3"/>
    <x v="2"/>
    <x v="3"/>
    <x v="4"/>
    <n v="2"/>
    <n v="31744"/>
    <n v="20"/>
    <n v="12697.6"/>
    <n v="9142.27"/>
    <n v="209"/>
    <n v="60141.67"/>
    <x v="3"/>
    <x v="0"/>
    <s v="Chandigarh"/>
    <x v="1"/>
    <x v="1"/>
    <n v="7"/>
    <x v="0"/>
    <n v="5"/>
    <s v="Shipped"/>
  </r>
  <r>
    <s v="ORD00476"/>
    <x v="221"/>
    <s v="CUST381"/>
    <s v="Priya"/>
    <x v="1"/>
    <n v="32"/>
    <x v="0"/>
    <x v="0"/>
    <x v="0"/>
    <x v="5"/>
    <n v="4"/>
    <n v="31822"/>
    <n v="0"/>
    <n v="0"/>
    <n v="22911.84"/>
    <n v="60"/>
    <n v="150259.84"/>
    <x v="1"/>
    <x v="1"/>
    <s v="Lucknow"/>
    <x v="4"/>
    <x v="1"/>
    <n v="1"/>
    <x v="0"/>
    <n v="3"/>
    <s v="Returned"/>
  </r>
  <r>
    <s v="ORD00477"/>
    <x v="10"/>
    <s v="CUST124"/>
    <s v="Riya"/>
    <x v="0"/>
    <n v="33"/>
    <x v="7"/>
    <x v="1"/>
    <x v="7"/>
    <x v="1"/>
    <n v="4"/>
    <n v="2368"/>
    <n v="20"/>
    <n v="1894.4"/>
    <n v="1363.97"/>
    <n v="373"/>
    <n v="9314.57"/>
    <x v="1"/>
    <x v="0"/>
    <s v="Jaipur"/>
    <x v="2"/>
    <x v="1"/>
    <n v="6"/>
    <x v="1"/>
    <n v="1"/>
    <s v="Returned"/>
  </r>
  <r>
    <s v="ORD00478"/>
    <x v="266"/>
    <s v="CUST363"/>
    <s v="Priya"/>
    <x v="0"/>
    <n v="20"/>
    <x v="7"/>
    <x v="1"/>
    <x v="7"/>
    <x v="0"/>
    <n v="5"/>
    <n v="48760"/>
    <n v="5"/>
    <n v="12190"/>
    <n v="41689.800000000003"/>
    <n v="420"/>
    <n v="273719.8"/>
    <x v="0"/>
    <x v="0"/>
    <s v="Lucknow"/>
    <x v="4"/>
    <x v="1"/>
    <n v="7"/>
    <x v="1"/>
    <n v="4"/>
    <s v="Returned"/>
  </r>
  <r>
    <s v="ORD00479"/>
    <x v="70"/>
    <s v="CUST349"/>
    <s v="Amit"/>
    <x v="1"/>
    <n v="38"/>
    <x v="0"/>
    <x v="0"/>
    <x v="0"/>
    <x v="2"/>
    <n v="5"/>
    <n v="39991"/>
    <n v="10"/>
    <n v="19995.5"/>
    <n v="32392.71"/>
    <n v="310"/>
    <n v="212662.21"/>
    <x v="0"/>
    <x v="0"/>
    <s v="Pune"/>
    <x v="0"/>
    <x v="0"/>
    <n v="8"/>
    <x v="0"/>
    <n v="5"/>
    <s v="Returned"/>
  </r>
  <r>
    <s v="ORD00480"/>
    <x v="60"/>
    <s v="CUST970"/>
    <s v="Vikas"/>
    <x v="1"/>
    <n v="53"/>
    <x v="5"/>
    <x v="0"/>
    <x v="5"/>
    <x v="6"/>
    <n v="1"/>
    <n v="47402"/>
    <n v="5"/>
    <n v="2370.1"/>
    <n v="8105.74"/>
    <n v="192"/>
    <n v="53329.64"/>
    <x v="2"/>
    <x v="1"/>
    <s v="Chandigarh"/>
    <x v="1"/>
    <x v="1"/>
    <n v="5"/>
    <x v="0"/>
    <n v="2"/>
    <s v="Cancelled"/>
  </r>
  <r>
    <s v="ORD00481"/>
    <x v="65"/>
    <s v="CUST614"/>
    <s v="Priya"/>
    <x v="1"/>
    <n v="34"/>
    <x v="6"/>
    <x v="0"/>
    <x v="6"/>
    <x v="8"/>
    <n v="3"/>
    <n v="42924"/>
    <n v="20"/>
    <n v="25754.400000000001"/>
    <n v="18543.169999999998"/>
    <n v="373"/>
    <n v="121933.77"/>
    <x v="2"/>
    <x v="0"/>
    <s v="Patiala"/>
    <x v="1"/>
    <x v="1"/>
    <n v="2"/>
    <x v="1"/>
    <n v="4"/>
    <s v="Shipped"/>
  </r>
  <r>
    <s v="ORD00482"/>
    <x v="267"/>
    <s v="CUST239"/>
    <s v="Anjali"/>
    <x v="1"/>
    <n v="29"/>
    <x v="1"/>
    <x v="0"/>
    <x v="1"/>
    <x v="2"/>
    <n v="2"/>
    <n v="43493"/>
    <n v="5"/>
    <n v="4349.3"/>
    <n v="14874.61"/>
    <n v="499"/>
    <n v="98010.31"/>
    <x v="3"/>
    <x v="1"/>
    <s v="Mumbai"/>
    <x v="0"/>
    <x v="0"/>
    <n v="10"/>
    <x v="1"/>
    <n v="4"/>
    <s v="Delivered"/>
  </r>
  <r>
    <s v="ORD00483"/>
    <x v="49"/>
    <s v="CUST477"/>
    <s v="Neha"/>
    <x v="0"/>
    <n v="52"/>
    <x v="7"/>
    <x v="1"/>
    <x v="7"/>
    <x v="4"/>
    <n v="1"/>
    <n v="23370"/>
    <n v="0"/>
    <n v="0"/>
    <n v="4206.6000000000004"/>
    <n v="413"/>
    <n v="27989.599999999999"/>
    <x v="3"/>
    <x v="1"/>
    <s v="Bangalore"/>
    <x v="3"/>
    <x v="2"/>
    <n v="6"/>
    <x v="0"/>
    <n v="4"/>
    <s v="Returned"/>
  </r>
  <r>
    <s v="ORD00484"/>
    <x v="173"/>
    <s v="CUST128"/>
    <s v="Neha"/>
    <x v="1"/>
    <n v="58"/>
    <x v="0"/>
    <x v="0"/>
    <x v="0"/>
    <x v="1"/>
    <n v="3"/>
    <n v="47124"/>
    <n v="10"/>
    <n v="14137.2"/>
    <n v="22902.26"/>
    <n v="40"/>
    <n v="150177.06"/>
    <x v="2"/>
    <x v="1"/>
    <s v="Delhi"/>
    <x v="5"/>
    <x v="1"/>
    <n v="4"/>
    <x v="0"/>
    <n v="3"/>
    <s v="Shipped"/>
  </r>
  <r>
    <s v="ORD00485"/>
    <x v="268"/>
    <s v="CUST113"/>
    <s v="Karan"/>
    <x v="0"/>
    <n v="30"/>
    <x v="9"/>
    <x v="0"/>
    <x v="9"/>
    <x v="9"/>
    <n v="1"/>
    <n v="27733"/>
    <n v="5"/>
    <n v="1386.65"/>
    <n v="4742.34"/>
    <n v="481"/>
    <n v="31569.69"/>
    <x v="3"/>
    <x v="0"/>
    <s v="Pune"/>
    <x v="0"/>
    <x v="0"/>
    <n v="8"/>
    <x v="0"/>
    <n v="3"/>
    <s v="Delivered"/>
  </r>
  <r>
    <s v="ORD00486"/>
    <x v="38"/>
    <s v="CUST364"/>
    <s v="Neha"/>
    <x v="0"/>
    <n v="26"/>
    <x v="4"/>
    <x v="0"/>
    <x v="4"/>
    <x v="9"/>
    <n v="1"/>
    <n v="16619"/>
    <n v="5"/>
    <n v="830.95"/>
    <n v="2841.85"/>
    <n v="416"/>
    <n v="19045.900000000001"/>
    <x v="2"/>
    <x v="0"/>
    <s v="Bangalore"/>
    <x v="3"/>
    <x v="2"/>
    <n v="4"/>
    <x v="0"/>
    <n v="1"/>
    <s v="Returned"/>
  </r>
  <r>
    <s v="ORD00487"/>
    <x v="118"/>
    <s v="CUST930"/>
    <s v="Rahul"/>
    <x v="1"/>
    <n v="39"/>
    <x v="7"/>
    <x v="1"/>
    <x v="7"/>
    <x v="6"/>
    <n v="3"/>
    <n v="16882"/>
    <n v="10"/>
    <n v="5064.6000000000004"/>
    <n v="8204.65"/>
    <n v="146"/>
    <n v="53932.05"/>
    <x v="0"/>
    <x v="1"/>
    <s v="Delhi"/>
    <x v="5"/>
    <x v="1"/>
    <n v="2"/>
    <x v="0"/>
    <n v="5"/>
    <s v="Shipped"/>
  </r>
  <r>
    <s v="ORD00488"/>
    <x v="6"/>
    <s v="CUST494"/>
    <s v="Amit"/>
    <x v="0"/>
    <n v="52"/>
    <x v="4"/>
    <x v="0"/>
    <x v="4"/>
    <x v="7"/>
    <n v="3"/>
    <n v="42848"/>
    <n v="15"/>
    <n v="19281.599999999999"/>
    <n v="19667.23"/>
    <n v="22"/>
    <n v="128951.63"/>
    <x v="2"/>
    <x v="0"/>
    <s v="Patiala"/>
    <x v="1"/>
    <x v="1"/>
    <n v="3"/>
    <x v="0"/>
    <n v="2"/>
    <s v="Returned"/>
  </r>
  <r>
    <s v="ORD00489"/>
    <x v="51"/>
    <s v="CUST202"/>
    <s v="Sneha"/>
    <x v="1"/>
    <n v="25"/>
    <x v="3"/>
    <x v="2"/>
    <x v="3"/>
    <x v="2"/>
    <n v="3"/>
    <n v="17988"/>
    <n v="10"/>
    <n v="5396.4"/>
    <n v="8742.17"/>
    <n v="462"/>
    <n v="57771.77"/>
    <x v="3"/>
    <x v="0"/>
    <s v="Jaipur"/>
    <x v="2"/>
    <x v="1"/>
    <n v="10"/>
    <x v="0"/>
    <n v="2"/>
    <s v="Shipped"/>
  </r>
  <r>
    <s v="ORD00490"/>
    <x v="32"/>
    <s v="CUST228"/>
    <s v="Vikas"/>
    <x v="1"/>
    <n v="51"/>
    <x v="7"/>
    <x v="1"/>
    <x v="7"/>
    <x v="5"/>
    <n v="4"/>
    <n v="20757"/>
    <n v="0"/>
    <n v="0"/>
    <n v="14945.04"/>
    <n v="65"/>
    <n v="98038.04"/>
    <x v="2"/>
    <x v="0"/>
    <s v="Patiala"/>
    <x v="1"/>
    <x v="1"/>
    <n v="6"/>
    <x v="1"/>
    <n v="4"/>
    <s v="Cancelled"/>
  </r>
  <r>
    <s v="ORD00491"/>
    <x v="137"/>
    <s v="CUST636"/>
    <s v="Arjun"/>
    <x v="1"/>
    <n v="54"/>
    <x v="8"/>
    <x v="0"/>
    <x v="8"/>
    <x v="4"/>
    <n v="2"/>
    <n v="36202"/>
    <n v="10"/>
    <n v="7240.4"/>
    <n v="11729.45"/>
    <n v="49"/>
    <n v="76942.05"/>
    <x v="2"/>
    <x v="1"/>
    <s v="Delhi"/>
    <x v="5"/>
    <x v="1"/>
    <n v="10"/>
    <x v="1"/>
    <n v="3"/>
    <s v="Cancelled"/>
  </r>
  <r>
    <s v="ORD00492"/>
    <x v="269"/>
    <s v="CUST362"/>
    <s v="Amit"/>
    <x v="1"/>
    <n v="55"/>
    <x v="5"/>
    <x v="0"/>
    <x v="5"/>
    <x v="2"/>
    <n v="5"/>
    <n v="8252"/>
    <n v="20"/>
    <n v="8252"/>
    <n v="5941.44"/>
    <n v="389"/>
    <n v="39338.44"/>
    <x v="2"/>
    <x v="0"/>
    <s v="Pune"/>
    <x v="0"/>
    <x v="0"/>
    <n v="5"/>
    <x v="1"/>
    <n v="3"/>
    <s v="Shipped"/>
  </r>
  <r>
    <s v="ORD00493"/>
    <x v="40"/>
    <s v="CUST228"/>
    <s v="Amit"/>
    <x v="0"/>
    <n v="50"/>
    <x v="3"/>
    <x v="2"/>
    <x v="3"/>
    <x v="2"/>
    <n v="1"/>
    <n v="49467"/>
    <n v="20"/>
    <n v="9893.4"/>
    <n v="7123.25"/>
    <n v="217"/>
    <n v="46913.85"/>
    <x v="2"/>
    <x v="1"/>
    <s v="Bangalore"/>
    <x v="3"/>
    <x v="2"/>
    <n v="5"/>
    <x v="0"/>
    <n v="3"/>
    <s v="Cancelled"/>
  </r>
  <r>
    <s v="ORD00494"/>
    <x v="115"/>
    <s v="CUST395"/>
    <s v="Neha"/>
    <x v="0"/>
    <n v="55"/>
    <x v="2"/>
    <x v="1"/>
    <x v="2"/>
    <x v="5"/>
    <n v="4"/>
    <n v="21774"/>
    <n v="20"/>
    <n v="17419.2"/>
    <n v="12541.82"/>
    <n v="11"/>
    <n v="82229.62"/>
    <x v="2"/>
    <x v="1"/>
    <s v="Lucknow"/>
    <x v="4"/>
    <x v="1"/>
    <n v="5"/>
    <x v="1"/>
    <n v="1"/>
    <s v="Shipped"/>
  </r>
  <r>
    <s v="ORD00495"/>
    <x v="148"/>
    <s v="CUST540"/>
    <s v="Amit"/>
    <x v="1"/>
    <n v="54"/>
    <x v="4"/>
    <x v="0"/>
    <x v="4"/>
    <x v="6"/>
    <n v="4"/>
    <n v="47507"/>
    <n v="5"/>
    <n v="9501.4"/>
    <n v="32494.79"/>
    <n v="181"/>
    <n v="213202.39"/>
    <x v="0"/>
    <x v="1"/>
    <s v="Lucknow"/>
    <x v="4"/>
    <x v="1"/>
    <n v="7"/>
    <x v="1"/>
    <n v="2"/>
    <s v="Shipped"/>
  </r>
  <r>
    <s v="ORD00496"/>
    <x v="260"/>
    <s v="CUST302"/>
    <s v="Sneha"/>
    <x v="1"/>
    <n v="29"/>
    <x v="9"/>
    <x v="0"/>
    <x v="9"/>
    <x v="6"/>
    <n v="3"/>
    <n v="36790"/>
    <n v="10"/>
    <n v="11037"/>
    <n v="17879.939999999999"/>
    <n v="0"/>
    <n v="117212.94"/>
    <x v="0"/>
    <x v="1"/>
    <s v="Lucknow"/>
    <x v="4"/>
    <x v="1"/>
    <n v="7"/>
    <x v="0"/>
    <n v="1"/>
    <s v="Shipped"/>
  </r>
  <r>
    <s v="ORD00497"/>
    <x v="116"/>
    <s v="CUST549"/>
    <s v="Vikas"/>
    <x v="0"/>
    <n v="22"/>
    <x v="4"/>
    <x v="0"/>
    <x v="4"/>
    <x v="2"/>
    <n v="1"/>
    <n v="29785"/>
    <n v="20"/>
    <n v="5957"/>
    <n v="4289.04"/>
    <n v="223"/>
    <n v="28340.04"/>
    <x v="0"/>
    <x v="1"/>
    <s v="Pune"/>
    <x v="0"/>
    <x v="0"/>
    <n v="1"/>
    <x v="1"/>
    <n v="1"/>
    <s v="Shipped"/>
  </r>
  <r>
    <s v="ORD00498"/>
    <x v="20"/>
    <s v="CUST384"/>
    <s v="Sneha"/>
    <x v="0"/>
    <n v="21"/>
    <x v="6"/>
    <x v="0"/>
    <x v="6"/>
    <x v="4"/>
    <n v="3"/>
    <n v="44354"/>
    <n v="0"/>
    <n v="0"/>
    <n v="23951.16"/>
    <n v="395"/>
    <n v="157408.16"/>
    <x v="2"/>
    <x v="0"/>
    <s v="Patiala"/>
    <x v="1"/>
    <x v="1"/>
    <n v="4"/>
    <x v="1"/>
    <n v="3"/>
    <s v="Returned"/>
  </r>
  <r>
    <s v="ORD00499"/>
    <x v="270"/>
    <s v="CUST559"/>
    <s v="Amit"/>
    <x v="0"/>
    <n v="26"/>
    <x v="3"/>
    <x v="2"/>
    <x v="3"/>
    <x v="3"/>
    <n v="4"/>
    <n v="42490"/>
    <n v="10"/>
    <n v="16996"/>
    <n v="27533.52"/>
    <n v="135"/>
    <n v="180632.52"/>
    <x v="2"/>
    <x v="1"/>
    <s v="Delhi"/>
    <x v="5"/>
    <x v="1"/>
    <n v="3"/>
    <x v="0"/>
    <n v="3"/>
    <s v="Shipped"/>
  </r>
  <r>
    <s v="ORD00500"/>
    <x v="21"/>
    <s v="CUST936"/>
    <s v="Riya"/>
    <x v="1"/>
    <n v="28"/>
    <x v="6"/>
    <x v="0"/>
    <x v="6"/>
    <x v="8"/>
    <n v="1"/>
    <n v="7815"/>
    <n v="0"/>
    <n v="0"/>
    <n v="1406.7"/>
    <n v="306"/>
    <n v="9527.7000000000007"/>
    <x v="1"/>
    <x v="1"/>
    <s v="Delhi"/>
    <x v="5"/>
    <x v="1"/>
    <n v="7"/>
    <x v="1"/>
    <n v="1"/>
    <s v="Delivered"/>
  </r>
  <r>
    <s v="ORD00501"/>
    <x v="129"/>
    <s v="CUST497"/>
    <s v="Anjali"/>
    <x v="0"/>
    <n v="47"/>
    <x v="6"/>
    <x v="0"/>
    <x v="6"/>
    <x v="6"/>
    <n v="1"/>
    <n v="36934"/>
    <n v="20"/>
    <n v="7386.8"/>
    <n v="5318.5"/>
    <n v="83"/>
    <n v="34948.699999999997"/>
    <x v="2"/>
    <x v="0"/>
    <s v="Pune"/>
    <x v="0"/>
    <x v="0"/>
    <n v="4"/>
    <x v="0"/>
    <n v="3"/>
    <s v="Returned"/>
  </r>
  <r>
    <s v="ORD00502"/>
    <x v="152"/>
    <s v="CUST999"/>
    <s v="Vikas"/>
    <x v="1"/>
    <n v="25"/>
    <x v="5"/>
    <x v="0"/>
    <x v="5"/>
    <x v="0"/>
    <n v="4"/>
    <n v="22888"/>
    <n v="0"/>
    <n v="0"/>
    <n v="16479.36"/>
    <n v="377"/>
    <n v="108408.36"/>
    <x v="3"/>
    <x v="0"/>
    <s v="Patiala"/>
    <x v="1"/>
    <x v="1"/>
    <n v="10"/>
    <x v="0"/>
    <n v="1"/>
    <s v="Delivered"/>
  </r>
  <r>
    <s v="ORD00503"/>
    <x v="232"/>
    <s v="CUST157"/>
    <s v="Rahul"/>
    <x v="1"/>
    <n v="27"/>
    <x v="7"/>
    <x v="1"/>
    <x v="7"/>
    <x v="2"/>
    <n v="4"/>
    <n v="36131"/>
    <n v="0"/>
    <n v="0"/>
    <n v="26014.32"/>
    <n v="402"/>
    <n v="170940.32"/>
    <x v="1"/>
    <x v="1"/>
    <s v="Patiala"/>
    <x v="1"/>
    <x v="1"/>
    <n v="4"/>
    <x v="0"/>
    <n v="4"/>
    <s v="Cancelled"/>
  </r>
  <r>
    <s v="ORD00504"/>
    <x v="90"/>
    <s v="CUST469"/>
    <s v="Vikas"/>
    <x v="1"/>
    <n v="43"/>
    <x v="1"/>
    <x v="0"/>
    <x v="1"/>
    <x v="1"/>
    <n v="2"/>
    <n v="1030"/>
    <n v="0"/>
    <n v="0"/>
    <n v="370.8"/>
    <n v="174"/>
    <n v="2604.8000000000002"/>
    <x v="1"/>
    <x v="0"/>
    <s v="Mumbai"/>
    <x v="0"/>
    <x v="0"/>
    <n v="7"/>
    <x v="1"/>
    <n v="2"/>
    <s v="Shipped"/>
  </r>
  <r>
    <s v="ORD00505"/>
    <x v="204"/>
    <s v="CUST453"/>
    <s v="Sneha"/>
    <x v="0"/>
    <n v="55"/>
    <x v="3"/>
    <x v="2"/>
    <x v="3"/>
    <x v="0"/>
    <n v="3"/>
    <n v="22483"/>
    <n v="15"/>
    <n v="10117.35"/>
    <n v="10319.700000000001"/>
    <n v="275"/>
    <n v="67926.350000000006"/>
    <x v="2"/>
    <x v="0"/>
    <s v="Pune"/>
    <x v="0"/>
    <x v="0"/>
    <n v="7"/>
    <x v="0"/>
    <n v="5"/>
    <s v="Cancelled"/>
  </r>
  <r>
    <s v="ORD00506"/>
    <x v="184"/>
    <s v="CUST947"/>
    <s v="Rahul"/>
    <x v="1"/>
    <n v="26"/>
    <x v="5"/>
    <x v="0"/>
    <x v="5"/>
    <x v="1"/>
    <n v="4"/>
    <n v="7865"/>
    <n v="0"/>
    <n v="0"/>
    <n v="5662.8"/>
    <n v="311"/>
    <n v="37433.800000000003"/>
    <x v="0"/>
    <x v="0"/>
    <s v="Delhi"/>
    <x v="5"/>
    <x v="1"/>
    <n v="8"/>
    <x v="0"/>
    <n v="3"/>
    <s v="Cancelled"/>
  </r>
  <r>
    <s v="ORD00507"/>
    <x v="42"/>
    <s v="CUST523"/>
    <s v="Vikas"/>
    <x v="0"/>
    <n v="27"/>
    <x v="7"/>
    <x v="1"/>
    <x v="7"/>
    <x v="5"/>
    <n v="5"/>
    <n v="20520"/>
    <n v="20"/>
    <n v="20520"/>
    <n v="14774.4"/>
    <n v="70"/>
    <n v="96924.4"/>
    <x v="0"/>
    <x v="1"/>
    <s v="Lucknow"/>
    <x v="4"/>
    <x v="1"/>
    <n v="10"/>
    <x v="0"/>
    <n v="5"/>
    <s v="Shipped"/>
  </r>
  <r>
    <s v="ORD00508"/>
    <x v="271"/>
    <s v="CUST968"/>
    <s v="Neha"/>
    <x v="1"/>
    <n v="32"/>
    <x v="8"/>
    <x v="0"/>
    <x v="8"/>
    <x v="3"/>
    <n v="3"/>
    <n v="31680"/>
    <n v="0"/>
    <n v="0"/>
    <n v="17107.2"/>
    <n v="218"/>
    <n v="112365.2"/>
    <x v="3"/>
    <x v="1"/>
    <s v="Chandigarh"/>
    <x v="1"/>
    <x v="1"/>
    <n v="7"/>
    <x v="0"/>
    <n v="5"/>
    <s v="Returned"/>
  </r>
  <r>
    <s v="ORD00509"/>
    <x v="179"/>
    <s v="CUST258"/>
    <s v="Priya"/>
    <x v="0"/>
    <n v="56"/>
    <x v="4"/>
    <x v="0"/>
    <x v="4"/>
    <x v="1"/>
    <n v="5"/>
    <n v="9895"/>
    <n v="20"/>
    <n v="9895"/>
    <n v="7124.4"/>
    <n v="285"/>
    <n v="46989.4"/>
    <x v="1"/>
    <x v="1"/>
    <s v="Chandigarh"/>
    <x v="1"/>
    <x v="1"/>
    <n v="10"/>
    <x v="0"/>
    <n v="3"/>
    <s v="Cancelled"/>
  </r>
  <r>
    <s v="ORD00510"/>
    <x v="272"/>
    <s v="CUST266"/>
    <s v="Karan"/>
    <x v="0"/>
    <n v="48"/>
    <x v="0"/>
    <x v="0"/>
    <x v="0"/>
    <x v="9"/>
    <n v="4"/>
    <n v="11370"/>
    <n v="10"/>
    <n v="4548"/>
    <n v="7367.76"/>
    <n v="129"/>
    <n v="48428.76"/>
    <x v="3"/>
    <x v="1"/>
    <s v="Pune"/>
    <x v="0"/>
    <x v="0"/>
    <n v="4"/>
    <x v="1"/>
    <n v="4"/>
    <s v="Delivered"/>
  </r>
  <r>
    <s v="ORD00511"/>
    <x v="218"/>
    <s v="CUST140"/>
    <s v="Neha"/>
    <x v="1"/>
    <n v="51"/>
    <x v="7"/>
    <x v="1"/>
    <x v="7"/>
    <x v="8"/>
    <n v="1"/>
    <n v="47284"/>
    <n v="15"/>
    <n v="7092.6"/>
    <n v="7234.45"/>
    <n v="432"/>
    <n v="47857.85"/>
    <x v="0"/>
    <x v="0"/>
    <s v="Jaipur"/>
    <x v="2"/>
    <x v="1"/>
    <n v="9"/>
    <x v="0"/>
    <n v="4"/>
    <s v="Shipped"/>
  </r>
  <r>
    <s v="ORD00512"/>
    <x v="115"/>
    <s v="CUST676"/>
    <s v="Riya"/>
    <x v="0"/>
    <n v="49"/>
    <x v="6"/>
    <x v="0"/>
    <x v="6"/>
    <x v="2"/>
    <n v="5"/>
    <n v="15893"/>
    <n v="15"/>
    <n v="11919.75"/>
    <n v="12158.15"/>
    <n v="282"/>
    <n v="79985.399999999994"/>
    <x v="0"/>
    <x v="0"/>
    <s v="Bangalore"/>
    <x v="3"/>
    <x v="2"/>
    <n v="9"/>
    <x v="1"/>
    <n v="4"/>
    <s v="Shipped"/>
  </r>
  <r>
    <s v="ORD00513"/>
    <x v="118"/>
    <s v="CUST214"/>
    <s v="Rahul"/>
    <x v="1"/>
    <n v="24"/>
    <x v="4"/>
    <x v="0"/>
    <x v="4"/>
    <x v="6"/>
    <n v="5"/>
    <n v="27748"/>
    <n v="10"/>
    <n v="13874"/>
    <n v="22475.88"/>
    <n v="237"/>
    <n v="147578.88"/>
    <x v="0"/>
    <x v="0"/>
    <s v="Jaipur"/>
    <x v="2"/>
    <x v="1"/>
    <n v="9"/>
    <x v="1"/>
    <n v="2"/>
    <s v="Shipped"/>
  </r>
  <r>
    <s v="ORD00514"/>
    <x v="238"/>
    <s v="CUST420"/>
    <s v="Karan"/>
    <x v="1"/>
    <n v="30"/>
    <x v="3"/>
    <x v="2"/>
    <x v="3"/>
    <x v="6"/>
    <n v="1"/>
    <n v="48180"/>
    <n v="0"/>
    <n v="0"/>
    <n v="8672.4"/>
    <n v="48"/>
    <n v="56900.4"/>
    <x v="0"/>
    <x v="1"/>
    <s v="Pune"/>
    <x v="0"/>
    <x v="0"/>
    <n v="7"/>
    <x v="0"/>
    <n v="3"/>
    <s v="Delivered"/>
  </r>
  <r>
    <s v="ORD00515"/>
    <x v="273"/>
    <s v="CUST167"/>
    <s v="Sneha"/>
    <x v="0"/>
    <n v="49"/>
    <x v="7"/>
    <x v="1"/>
    <x v="7"/>
    <x v="9"/>
    <n v="3"/>
    <n v="13292"/>
    <n v="15"/>
    <n v="5981.4"/>
    <n v="6101.03"/>
    <n v="233"/>
    <n v="40228.629999999997"/>
    <x v="3"/>
    <x v="0"/>
    <s v="Patiala"/>
    <x v="1"/>
    <x v="1"/>
    <n v="1"/>
    <x v="0"/>
    <n v="4"/>
    <s v="Cancelled"/>
  </r>
  <r>
    <s v="ORD00516"/>
    <x v="39"/>
    <s v="CUST735"/>
    <s v="Vikas"/>
    <x v="0"/>
    <n v="19"/>
    <x v="8"/>
    <x v="0"/>
    <x v="8"/>
    <x v="9"/>
    <n v="4"/>
    <n v="48469"/>
    <n v="20"/>
    <n v="38775.199999999997"/>
    <n v="27918.14"/>
    <n v="368"/>
    <n v="183386.94"/>
    <x v="1"/>
    <x v="1"/>
    <s v="Mumbai"/>
    <x v="0"/>
    <x v="0"/>
    <n v="6"/>
    <x v="0"/>
    <n v="2"/>
    <s v="Shipped"/>
  </r>
  <r>
    <s v="ORD00517"/>
    <x v="144"/>
    <s v="CUST722"/>
    <s v="Riya"/>
    <x v="1"/>
    <n v="53"/>
    <x v="9"/>
    <x v="0"/>
    <x v="9"/>
    <x v="4"/>
    <n v="5"/>
    <n v="31571"/>
    <n v="5"/>
    <n v="7892.75"/>
    <n v="26993.200000000001"/>
    <n v="388"/>
    <n v="177343.45"/>
    <x v="2"/>
    <x v="1"/>
    <s v="Delhi"/>
    <x v="5"/>
    <x v="1"/>
    <n v="2"/>
    <x v="0"/>
    <n v="2"/>
    <s v="Returned"/>
  </r>
  <r>
    <s v="ORD00518"/>
    <x v="209"/>
    <s v="CUST326"/>
    <s v="Riya"/>
    <x v="1"/>
    <n v="23"/>
    <x v="2"/>
    <x v="1"/>
    <x v="2"/>
    <x v="2"/>
    <n v="3"/>
    <n v="48754"/>
    <n v="10"/>
    <n v="14626.2"/>
    <n v="23694.44"/>
    <n v="56"/>
    <n v="155386.23999999999"/>
    <x v="3"/>
    <x v="1"/>
    <s v="Delhi"/>
    <x v="5"/>
    <x v="1"/>
    <n v="4"/>
    <x v="1"/>
    <n v="2"/>
    <s v="Delivered"/>
  </r>
  <r>
    <s v="ORD00519"/>
    <x v="76"/>
    <s v="CUST528"/>
    <s v="Arjun"/>
    <x v="1"/>
    <n v="59"/>
    <x v="7"/>
    <x v="1"/>
    <x v="7"/>
    <x v="7"/>
    <n v="5"/>
    <n v="49241"/>
    <n v="20"/>
    <n v="49241"/>
    <n v="35453.519999999997"/>
    <n v="323"/>
    <n v="232740.52"/>
    <x v="1"/>
    <x v="1"/>
    <s v="Mumbai"/>
    <x v="0"/>
    <x v="0"/>
    <n v="9"/>
    <x v="1"/>
    <n v="3"/>
    <s v="Cancelled"/>
  </r>
  <r>
    <s v="ORD00520"/>
    <x v="150"/>
    <s v="CUST688"/>
    <s v="Amit"/>
    <x v="1"/>
    <n v="52"/>
    <x v="8"/>
    <x v="0"/>
    <x v="8"/>
    <x v="4"/>
    <n v="2"/>
    <n v="17576"/>
    <n v="10"/>
    <n v="3515.2"/>
    <n v="5694.62"/>
    <n v="234"/>
    <n v="37565.42"/>
    <x v="2"/>
    <x v="0"/>
    <s v="Chandigarh"/>
    <x v="1"/>
    <x v="1"/>
    <n v="8"/>
    <x v="1"/>
    <n v="4"/>
    <s v="Shipped"/>
  </r>
  <r>
    <s v="ORD00521"/>
    <x v="65"/>
    <s v="CUST315"/>
    <s v="Sneha"/>
    <x v="1"/>
    <n v="48"/>
    <x v="7"/>
    <x v="1"/>
    <x v="7"/>
    <x v="9"/>
    <n v="4"/>
    <n v="14213"/>
    <n v="5"/>
    <n v="2842.6"/>
    <n v="9721.69"/>
    <n v="74"/>
    <n v="63805.09"/>
    <x v="1"/>
    <x v="0"/>
    <s v="Mumbai"/>
    <x v="0"/>
    <x v="0"/>
    <n v="8"/>
    <x v="1"/>
    <n v="5"/>
    <s v="Shipped"/>
  </r>
  <r>
    <s v="ORD00522"/>
    <x v="64"/>
    <s v="CUST118"/>
    <s v="Riya"/>
    <x v="1"/>
    <n v="35"/>
    <x v="3"/>
    <x v="2"/>
    <x v="3"/>
    <x v="9"/>
    <n v="1"/>
    <n v="43439"/>
    <n v="0"/>
    <n v="0"/>
    <n v="7819.02"/>
    <n v="403"/>
    <n v="51661.02"/>
    <x v="1"/>
    <x v="1"/>
    <s v="Mumbai"/>
    <x v="0"/>
    <x v="0"/>
    <n v="3"/>
    <x v="0"/>
    <n v="1"/>
    <s v="Cancelled"/>
  </r>
  <r>
    <s v="ORD00523"/>
    <x v="274"/>
    <s v="CUST464"/>
    <s v="Sneha"/>
    <x v="1"/>
    <n v="42"/>
    <x v="2"/>
    <x v="1"/>
    <x v="2"/>
    <x v="6"/>
    <n v="1"/>
    <n v="35941"/>
    <n v="5"/>
    <n v="1797.05"/>
    <n v="6145.91"/>
    <n v="20"/>
    <n v="40309.86"/>
    <x v="1"/>
    <x v="1"/>
    <s v="Pune"/>
    <x v="0"/>
    <x v="0"/>
    <n v="2"/>
    <x v="0"/>
    <n v="2"/>
    <s v="Cancelled"/>
  </r>
  <r>
    <s v="ORD00524"/>
    <x v="181"/>
    <s v="CUST436"/>
    <s v="Rahul"/>
    <x v="1"/>
    <n v="56"/>
    <x v="0"/>
    <x v="0"/>
    <x v="0"/>
    <x v="1"/>
    <n v="2"/>
    <n v="6043"/>
    <n v="15"/>
    <n v="1812.9"/>
    <n v="1849.16"/>
    <n v="480"/>
    <n v="12602.26"/>
    <x v="0"/>
    <x v="0"/>
    <s v="Jaipur"/>
    <x v="2"/>
    <x v="1"/>
    <n v="7"/>
    <x v="1"/>
    <n v="5"/>
    <s v="Returned"/>
  </r>
  <r>
    <s v="ORD00525"/>
    <x v="140"/>
    <s v="CUST339"/>
    <s v="Priya"/>
    <x v="1"/>
    <n v="58"/>
    <x v="5"/>
    <x v="0"/>
    <x v="5"/>
    <x v="5"/>
    <n v="3"/>
    <n v="26460"/>
    <n v="5"/>
    <n v="3969"/>
    <n v="13573.98"/>
    <n v="340"/>
    <n v="89324.98"/>
    <x v="2"/>
    <x v="1"/>
    <s v="Chandigarh"/>
    <x v="1"/>
    <x v="1"/>
    <n v="2"/>
    <x v="0"/>
    <n v="4"/>
    <s v="Shipped"/>
  </r>
  <r>
    <s v="ORD00526"/>
    <x v="56"/>
    <s v="CUST440"/>
    <s v="Rahul"/>
    <x v="0"/>
    <n v="51"/>
    <x v="0"/>
    <x v="0"/>
    <x v="0"/>
    <x v="8"/>
    <n v="5"/>
    <n v="37592"/>
    <n v="10"/>
    <n v="18796"/>
    <n v="30449.52"/>
    <n v="380"/>
    <n v="199993.52"/>
    <x v="2"/>
    <x v="1"/>
    <s v="Jaipur"/>
    <x v="2"/>
    <x v="1"/>
    <n v="4"/>
    <x v="1"/>
    <n v="1"/>
    <s v="Shipped"/>
  </r>
  <r>
    <s v="ORD00527"/>
    <x v="138"/>
    <s v="CUST543"/>
    <s v="Karan"/>
    <x v="0"/>
    <n v="57"/>
    <x v="4"/>
    <x v="0"/>
    <x v="4"/>
    <x v="0"/>
    <n v="1"/>
    <n v="21149"/>
    <n v="20"/>
    <n v="4229.8"/>
    <n v="3045.46"/>
    <n v="298"/>
    <n v="20262.66"/>
    <x v="3"/>
    <x v="1"/>
    <s v="Chandigarh"/>
    <x v="1"/>
    <x v="1"/>
    <n v="1"/>
    <x v="1"/>
    <n v="5"/>
    <s v="Delivered"/>
  </r>
  <r>
    <s v="ORD00528"/>
    <x v="26"/>
    <s v="CUST497"/>
    <s v="Neha"/>
    <x v="0"/>
    <n v="29"/>
    <x v="9"/>
    <x v="0"/>
    <x v="9"/>
    <x v="7"/>
    <n v="2"/>
    <n v="7542"/>
    <n v="0"/>
    <n v="0"/>
    <n v="2715.12"/>
    <n v="336"/>
    <n v="18135.12"/>
    <x v="3"/>
    <x v="0"/>
    <s v="Chandigarh"/>
    <x v="1"/>
    <x v="1"/>
    <n v="4"/>
    <x v="0"/>
    <n v="2"/>
    <s v="Delivered"/>
  </r>
  <r>
    <s v="ORD00529"/>
    <x v="207"/>
    <s v="CUST174"/>
    <s v="Neha"/>
    <x v="1"/>
    <n v="44"/>
    <x v="4"/>
    <x v="0"/>
    <x v="4"/>
    <x v="6"/>
    <n v="1"/>
    <n v="13196"/>
    <n v="15"/>
    <n v="1979.4"/>
    <n v="2018.99"/>
    <n v="439"/>
    <n v="13674.59"/>
    <x v="1"/>
    <x v="1"/>
    <s v="Chandigarh"/>
    <x v="1"/>
    <x v="1"/>
    <n v="8"/>
    <x v="1"/>
    <n v="2"/>
    <s v="Delivered"/>
  </r>
  <r>
    <s v="ORD00530"/>
    <x v="248"/>
    <s v="CUST276"/>
    <s v="Anjali"/>
    <x v="0"/>
    <n v="18"/>
    <x v="4"/>
    <x v="0"/>
    <x v="4"/>
    <x v="0"/>
    <n v="4"/>
    <n v="14222"/>
    <n v="0"/>
    <n v="0"/>
    <n v="10239.84"/>
    <n v="498"/>
    <n v="67625.84"/>
    <x v="3"/>
    <x v="0"/>
    <s v="Lucknow"/>
    <x v="4"/>
    <x v="1"/>
    <n v="8"/>
    <x v="1"/>
    <n v="4"/>
    <s v="Cancelled"/>
  </r>
  <r>
    <s v="ORD00531"/>
    <x v="235"/>
    <s v="CUST597"/>
    <s v="Vikas"/>
    <x v="1"/>
    <n v="33"/>
    <x v="1"/>
    <x v="0"/>
    <x v="1"/>
    <x v="7"/>
    <n v="4"/>
    <n v="19887"/>
    <n v="10"/>
    <n v="7954.8"/>
    <n v="12886.78"/>
    <n v="318"/>
    <n v="84797.98"/>
    <x v="0"/>
    <x v="1"/>
    <s v="Mumbai"/>
    <x v="0"/>
    <x v="0"/>
    <n v="2"/>
    <x v="1"/>
    <n v="4"/>
    <s v="Shipped"/>
  </r>
  <r>
    <s v="ORD00532"/>
    <x v="16"/>
    <s v="CUST637"/>
    <s v="Arjun"/>
    <x v="0"/>
    <n v="51"/>
    <x v="9"/>
    <x v="0"/>
    <x v="9"/>
    <x v="0"/>
    <n v="2"/>
    <n v="7873"/>
    <n v="5"/>
    <n v="787.3"/>
    <n v="2692.57"/>
    <n v="155"/>
    <n v="17806.27"/>
    <x v="0"/>
    <x v="0"/>
    <s v="Lucknow"/>
    <x v="4"/>
    <x v="1"/>
    <n v="7"/>
    <x v="1"/>
    <n v="5"/>
    <s v="Shipped"/>
  </r>
  <r>
    <s v="ORD00533"/>
    <x v="10"/>
    <s v="CUST339"/>
    <s v="Rahul"/>
    <x v="0"/>
    <n v="46"/>
    <x v="1"/>
    <x v="0"/>
    <x v="1"/>
    <x v="0"/>
    <n v="1"/>
    <n v="42929"/>
    <n v="20"/>
    <n v="8585.7999999999993"/>
    <n v="6181.78"/>
    <n v="228"/>
    <n v="40752.980000000003"/>
    <x v="3"/>
    <x v="0"/>
    <s v="Delhi"/>
    <x v="5"/>
    <x v="1"/>
    <n v="10"/>
    <x v="0"/>
    <n v="3"/>
    <s v="Shipped"/>
  </r>
  <r>
    <s v="ORD00534"/>
    <x v="33"/>
    <s v="CUST694"/>
    <s v="Karan"/>
    <x v="0"/>
    <n v="43"/>
    <x v="5"/>
    <x v="0"/>
    <x v="5"/>
    <x v="4"/>
    <n v="1"/>
    <n v="41961"/>
    <n v="10"/>
    <n v="4196.1000000000004"/>
    <n v="6797.68"/>
    <n v="63"/>
    <n v="44625.58"/>
    <x v="2"/>
    <x v="1"/>
    <s v="Jaipur"/>
    <x v="2"/>
    <x v="1"/>
    <n v="8"/>
    <x v="1"/>
    <n v="5"/>
    <s v="Shipped"/>
  </r>
  <r>
    <s v="ORD00535"/>
    <x v="68"/>
    <s v="CUST607"/>
    <s v="Amit"/>
    <x v="0"/>
    <n v="60"/>
    <x v="8"/>
    <x v="0"/>
    <x v="8"/>
    <x v="6"/>
    <n v="5"/>
    <n v="6154"/>
    <n v="15"/>
    <n v="4615.5"/>
    <n v="4707.8100000000004"/>
    <n v="460"/>
    <n v="31322.31"/>
    <x v="2"/>
    <x v="1"/>
    <s v="Chandigarh"/>
    <x v="1"/>
    <x v="1"/>
    <n v="10"/>
    <x v="1"/>
    <n v="1"/>
    <s v="Delivered"/>
  </r>
  <r>
    <s v="ORD00536"/>
    <x v="275"/>
    <s v="CUST156"/>
    <s v="Amit"/>
    <x v="1"/>
    <n v="44"/>
    <x v="3"/>
    <x v="2"/>
    <x v="3"/>
    <x v="8"/>
    <n v="2"/>
    <n v="43139"/>
    <n v="20"/>
    <n v="17255.599999999999"/>
    <n v="12424.03"/>
    <n v="165"/>
    <n v="81611.429999999993"/>
    <x v="2"/>
    <x v="0"/>
    <s v="Chandigarh"/>
    <x v="1"/>
    <x v="1"/>
    <n v="1"/>
    <x v="0"/>
    <n v="5"/>
    <s v="Returned"/>
  </r>
  <r>
    <s v="ORD00537"/>
    <x v="79"/>
    <s v="CUST871"/>
    <s v="Amit"/>
    <x v="1"/>
    <n v="26"/>
    <x v="2"/>
    <x v="1"/>
    <x v="2"/>
    <x v="2"/>
    <n v="4"/>
    <n v="39551"/>
    <n v="0"/>
    <n v="0"/>
    <n v="28476.720000000001"/>
    <n v="416"/>
    <n v="187096.72"/>
    <x v="0"/>
    <x v="1"/>
    <s v="Bangalore"/>
    <x v="3"/>
    <x v="2"/>
    <n v="5"/>
    <x v="1"/>
    <n v="4"/>
    <s v="Returned"/>
  </r>
  <r>
    <s v="ORD00538"/>
    <x v="197"/>
    <s v="CUST927"/>
    <s v="Karan"/>
    <x v="0"/>
    <n v="27"/>
    <x v="8"/>
    <x v="0"/>
    <x v="8"/>
    <x v="0"/>
    <n v="4"/>
    <n v="48917"/>
    <n v="0"/>
    <n v="0"/>
    <n v="35220.239999999998"/>
    <n v="296"/>
    <n v="231184.24"/>
    <x v="3"/>
    <x v="1"/>
    <s v="Patiala"/>
    <x v="1"/>
    <x v="1"/>
    <n v="6"/>
    <x v="1"/>
    <n v="4"/>
    <s v="Delivered"/>
  </r>
  <r>
    <s v="ORD00539"/>
    <x v="276"/>
    <s v="CUST185"/>
    <s v="Rahul"/>
    <x v="1"/>
    <n v="47"/>
    <x v="4"/>
    <x v="0"/>
    <x v="4"/>
    <x v="8"/>
    <n v="3"/>
    <n v="40702"/>
    <n v="20"/>
    <n v="24421.200000000001"/>
    <n v="17583.259999999998"/>
    <n v="193"/>
    <n v="115461.06"/>
    <x v="3"/>
    <x v="1"/>
    <s v="Bangalore"/>
    <x v="3"/>
    <x v="2"/>
    <n v="5"/>
    <x v="0"/>
    <n v="2"/>
    <s v="Delivered"/>
  </r>
  <r>
    <s v="ORD00540"/>
    <x v="74"/>
    <s v="CUST546"/>
    <s v="Amit"/>
    <x v="0"/>
    <n v="58"/>
    <x v="8"/>
    <x v="0"/>
    <x v="8"/>
    <x v="8"/>
    <n v="2"/>
    <n v="4559"/>
    <n v="0"/>
    <n v="0"/>
    <n v="1641.24"/>
    <n v="387"/>
    <n v="11146.24"/>
    <x v="0"/>
    <x v="1"/>
    <s v="Patiala"/>
    <x v="1"/>
    <x v="1"/>
    <n v="6"/>
    <x v="1"/>
    <n v="1"/>
    <s v="Returned"/>
  </r>
  <r>
    <s v="ORD00541"/>
    <x v="141"/>
    <s v="CUST504"/>
    <s v="Rahul"/>
    <x v="1"/>
    <n v="34"/>
    <x v="4"/>
    <x v="0"/>
    <x v="4"/>
    <x v="0"/>
    <n v="5"/>
    <n v="2350"/>
    <n v="10"/>
    <n v="1175"/>
    <n v="1903.5"/>
    <n v="454"/>
    <n v="12932.5"/>
    <x v="0"/>
    <x v="1"/>
    <s v="Chandigarh"/>
    <x v="1"/>
    <x v="1"/>
    <n v="2"/>
    <x v="0"/>
    <n v="3"/>
    <s v="Cancelled"/>
  </r>
  <r>
    <s v="ORD00542"/>
    <x v="100"/>
    <s v="CUST543"/>
    <s v="Riya"/>
    <x v="0"/>
    <n v="19"/>
    <x v="4"/>
    <x v="0"/>
    <x v="4"/>
    <x v="3"/>
    <n v="2"/>
    <n v="25923"/>
    <n v="0"/>
    <n v="0"/>
    <n v="9332.2800000000007"/>
    <n v="274"/>
    <n v="61452.28"/>
    <x v="0"/>
    <x v="0"/>
    <s v="Pune"/>
    <x v="0"/>
    <x v="0"/>
    <n v="6"/>
    <x v="1"/>
    <n v="3"/>
    <s v="Delivered"/>
  </r>
  <r>
    <s v="ORD00543"/>
    <x v="9"/>
    <s v="CUST784"/>
    <s v="Sneha"/>
    <x v="0"/>
    <n v="41"/>
    <x v="2"/>
    <x v="1"/>
    <x v="2"/>
    <x v="9"/>
    <n v="5"/>
    <n v="27464"/>
    <n v="20"/>
    <n v="27464"/>
    <n v="19774.080000000002"/>
    <n v="74"/>
    <n v="129704.08"/>
    <x v="1"/>
    <x v="1"/>
    <s v="Mumbai"/>
    <x v="0"/>
    <x v="0"/>
    <n v="8"/>
    <x v="1"/>
    <n v="5"/>
    <s v="Returned"/>
  </r>
  <r>
    <s v="ORD00544"/>
    <x v="277"/>
    <s v="CUST625"/>
    <s v="Vikas"/>
    <x v="0"/>
    <n v="39"/>
    <x v="2"/>
    <x v="1"/>
    <x v="2"/>
    <x v="8"/>
    <n v="3"/>
    <n v="17597"/>
    <n v="5"/>
    <n v="2639.55"/>
    <n v="9027.26"/>
    <n v="297"/>
    <n v="59475.71"/>
    <x v="3"/>
    <x v="1"/>
    <s v="Bangalore"/>
    <x v="3"/>
    <x v="2"/>
    <n v="5"/>
    <x v="1"/>
    <n v="1"/>
    <s v="Cancelled"/>
  </r>
  <r>
    <s v="ORD00545"/>
    <x v="278"/>
    <s v="CUST722"/>
    <s v="Neha"/>
    <x v="1"/>
    <n v="44"/>
    <x v="0"/>
    <x v="0"/>
    <x v="0"/>
    <x v="6"/>
    <n v="5"/>
    <n v="4399"/>
    <n v="0"/>
    <n v="0"/>
    <n v="3959.1"/>
    <n v="41"/>
    <n v="25995.1"/>
    <x v="0"/>
    <x v="1"/>
    <s v="Lucknow"/>
    <x v="4"/>
    <x v="1"/>
    <n v="3"/>
    <x v="1"/>
    <n v="3"/>
    <s v="Delivered"/>
  </r>
  <r>
    <s v="ORD00546"/>
    <x v="128"/>
    <s v="CUST499"/>
    <s v="Amit"/>
    <x v="0"/>
    <n v="46"/>
    <x v="0"/>
    <x v="0"/>
    <x v="0"/>
    <x v="2"/>
    <n v="4"/>
    <n v="16338"/>
    <n v="5"/>
    <n v="3267.6"/>
    <n v="11175.19"/>
    <n v="104"/>
    <n v="73363.59"/>
    <x v="0"/>
    <x v="0"/>
    <s v="Bangalore"/>
    <x v="3"/>
    <x v="2"/>
    <n v="9"/>
    <x v="1"/>
    <n v="5"/>
    <s v="Cancelled"/>
  </r>
  <r>
    <s v="ORD00547"/>
    <x v="279"/>
    <s v="CUST421"/>
    <s v="Priya"/>
    <x v="1"/>
    <n v="23"/>
    <x v="9"/>
    <x v="0"/>
    <x v="9"/>
    <x v="2"/>
    <n v="5"/>
    <n v="41403"/>
    <n v="5"/>
    <n v="10350.75"/>
    <n v="35399.56"/>
    <n v="376"/>
    <n v="232439.82"/>
    <x v="3"/>
    <x v="0"/>
    <s v="Patiala"/>
    <x v="1"/>
    <x v="1"/>
    <n v="4"/>
    <x v="1"/>
    <n v="5"/>
    <s v="Shipped"/>
  </r>
  <r>
    <s v="ORD00548"/>
    <x v="260"/>
    <s v="CUST159"/>
    <s v="Neha"/>
    <x v="0"/>
    <n v="29"/>
    <x v="8"/>
    <x v="0"/>
    <x v="8"/>
    <x v="1"/>
    <n v="2"/>
    <n v="19158"/>
    <n v="5"/>
    <n v="1915.8"/>
    <n v="6552.04"/>
    <n v="419"/>
    <n v="43371.24"/>
    <x v="1"/>
    <x v="1"/>
    <s v="Jaipur"/>
    <x v="2"/>
    <x v="1"/>
    <n v="4"/>
    <x v="1"/>
    <n v="2"/>
    <s v="Cancelled"/>
  </r>
  <r>
    <s v="ORD00549"/>
    <x v="75"/>
    <s v="CUST754"/>
    <s v="Anjali"/>
    <x v="1"/>
    <n v="19"/>
    <x v="4"/>
    <x v="0"/>
    <x v="4"/>
    <x v="1"/>
    <n v="4"/>
    <n v="9541"/>
    <n v="20"/>
    <n v="7632.8"/>
    <n v="5495.62"/>
    <n v="462"/>
    <n v="36488.82"/>
    <x v="1"/>
    <x v="0"/>
    <s v="Mumbai"/>
    <x v="0"/>
    <x v="0"/>
    <n v="10"/>
    <x v="1"/>
    <n v="3"/>
    <s v="Cancelled"/>
  </r>
  <r>
    <s v="ORD00550"/>
    <x v="280"/>
    <s v="CUST731"/>
    <s v="Rahul"/>
    <x v="1"/>
    <n v="23"/>
    <x v="5"/>
    <x v="0"/>
    <x v="5"/>
    <x v="9"/>
    <n v="2"/>
    <n v="37411"/>
    <n v="15"/>
    <n v="11223.3"/>
    <n v="11447.77"/>
    <n v="407"/>
    <n v="75453.47"/>
    <x v="0"/>
    <x v="0"/>
    <s v="Delhi"/>
    <x v="5"/>
    <x v="1"/>
    <n v="1"/>
    <x v="0"/>
    <n v="3"/>
    <s v="Delivered"/>
  </r>
  <r>
    <s v="ORD00551"/>
    <x v="175"/>
    <s v="CUST399"/>
    <s v="Amit"/>
    <x v="1"/>
    <n v="35"/>
    <x v="9"/>
    <x v="0"/>
    <x v="9"/>
    <x v="7"/>
    <n v="3"/>
    <n v="20654"/>
    <n v="10"/>
    <n v="6196.2"/>
    <n v="10037.84"/>
    <n v="467"/>
    <n v="66270.64"/>
    <x v="1"/>
    <x v="1"/>
    <s v="Bangalore"/>
    <x v="3"/>
    <x v="2"/>
    <n v="2"/>
    <x v="1"/>
    <n v="4"/>
    <s v="Shipped"/>
  </r>
  <r>
    <s v="ORD00552"/>
    <x v="70"/>
    <s v="CUST233"/>
    <s v="Riya"/>
    <x v="1"/>
    <n v="55"/>
    <x v="4"/>
    <x v="0"/>
    <x v="4"/>
    <x v="4"/>
    <n v="1"/>
    <n v="20050"/>
    <n v="5"/>
    <n v="1002.5"/>
    <n v="3428.55"/>
    <n v="205"/>
    <n v="22681.05"/>
    <x v="2"/>
    <x v="0"/>
    <s v="Jaipur"/>
    <x v="2"/>
    <x v="1"/>
    <n v="5"/>
    <x v="1"/>
    <n v="2"/>
    <s v="Shipped"/>
  </r>
  <r>
    <s v="ORD00553"/>
    <x v="281"/>
    <s v="CUST112"/>
    <s v="Sneha"/>
    <x v="1"/>
    <n v="60"/>
    <x v="5"/>
    <x v="0"/>
    <x v="5"/>
    <x v="4"/>
    <n v="5"/>
    <n v="26702"/>
    <n v="0"/>
    <n v="0"/>
    <n v="24031.8"/>
    <n v="215"/>
    <n v="157756.79999999999"/>
    <x v="2"/>
    <x v="1"/>
    <s v="Mumbai"/>
    <x v="0"/>
    <x v="0"/>
    <n v="4"/>
    <x v="1"/>
    <n v="4"/>
    <s v="Returned"/>
  </r>
  <r>
    <s v="ORD00554"/>
    <x v="282"/>
    <s v="CUST624"/>
    <s v="Karan"/>
    <x v="1"/>
    <n v="38"/>
    <x v="5"/>
    <x v="0"/>
    <x v="5"/>
    <x v="1"/>
    <n v="1"/>
    <n v="49429"/>
    <n v="0"/>
    <n v="0"/>
    <n v="8897.2199999999993"/>
    <n v="491"/>
    <n v="58817.22"/>
    <x v="2"/>
    <x v="1"/>
    <s v="Patiala"/>
    <x v="1"/>
    <x v="1"/>
    <n v="5"/>
    <x v="1"/>
    <n v="2"/>
    <s v="Cancelled"/>
  </r>
  <r>
    <s v="ORD00555"/>
    <x v="272"/>
    <s v="CUST410"/>
    <s v="Anjali"/>
    <x v="0"/>
    <n v="20"/>
    <x v="1"/>
    <x v="0"/>
    <x v="1"/>
    <x v="7"/>
    <n v="5"/>
    <n v="5569"/>
    <n v="10"/>
    <n v="2784.5"/>
    <n v="4510.8900000000003"/>
    <n v="202"/>
    <n v="29773.39"/>
    <x v="2"/>
    <x v="1"/>
    <s v="Patiala"/>
    <x v="1"/>
    <x v="1"/>
    <n v="1"/>
    <x v="1"/>
    <n v="3"/>
    <s v="Delivered"/>
  </r>
  <r>
    <s v="ORD00556"/>
    <x v="6"/>
    <s v="CUST994"/>
    <s v="Neha"/>
    <x v="0"/>
    <n v="19"/>
    <x v="1"/>
    <x v="0"/>
    <x v="1"/>
    <x v="6"/>
    <n v="1"/>
    <n v="4090"/>
    <n v="0"/>
    <n v="0"/>
    <n v="736.2"/>
    <n v="158"/>
    <n v="4984.2"/>
    <x v="1"/>
    <x v="0"/>
    <s v="Jaipur"/>
    <x v="2"/>
    <x v="1"/>
    <n v="1"/>
    <x v="0"/>
    <n v="2"/>
    <s v="Shipped"/>
  </r>
  <r>
    <s v="ORD00557"/>
    <x v="153"/>
    <s v="CUST131"/>
    <s v="Vikas"/>
    <x v="0"/>
    <n v="41"/>
    <x v="7"/>
    <x v="1"/>
    <x v="7"/>
    <x v="2"/>
    <n v="2"/>
    <n v="36676"/>
    <n v="10"/>
    <n v="7335.2"/>
    <n v="11883.02"/>
    <n v="71"/>
    <n v="77970.820000000007"/>
    <x v="1"/>
    <x v="0"/>
    <s v="Chandigarh"/>
    <x v="1"/>
    <x v="1"/>
    <n v="2"/>
    <x v="1"/>
    <n v="4"/>
    <s v="Shipped"/>
  </r>
  <r>
    <s v="ORD00558"/>
    <x v="283"/>
    <s v="CUST503"/>
    <s v="Vikas"/>
    <x v="0"/>
    <n v="36"/>
    <x v="5"/>
    <x v="0"/>
    <x v="5"/>
    <x v="9"/>
    <n v="3"/>
    <n v="7820"/>
    <n v="5"/>
    <n v="1173"/>
    <n v="4011.66"/>
    <n v="161"/>
    <n v="26459.66"/>
    <x v="0"/>
    <x v="1"/>
    <s v="Chandigarh"/>
    <x v="1"/>
    <x v="1"/>
    <n v="7"/>
    <x v="0"/>
    <n v="5"/>
    <s v="Returned"/>
  </r>
  <r>
    <s v="ORD00559"/>
    <x v="8"/>
    <s v="CUST358"/>
    <s v="Priya"/>
    <x v="1"/>
    <n v="55"/>
    <x v="7"/>
    <x v="1"/>
    <x v="7"/>
    <x v="1"/>
    <n v="2"/>
    <n v="13342"/>
    <n v="0"/>
    <n v="0"/>
    <n v="4803.12"/>
    <n v="174"/>
    <n v="31661.119999999999"/>
    <x v="1"/>
    <x v="0"/>
    <s v="Bangalore"/>
    <x v="3"/>
    <x v="2"/>
    <n v="4"/>
    <x v="0"/>
    <n v="5"/>
    <s v="Cancelled"/>
  </r>
  <r>
    <s v="ORD00560"/>
    <x v="145"/>
    <s v="CUST936"/>
    <s v="Rahul"/>
    <x v="1"/>
    <n v="60"/>
    <x v="7"/>
    <x v="1"/>
    <x v="7"/>
    <x v="0"/>
    <n v="1"/>
    <n v="22384"/>
    <n v="0"/>
    <n v="0"/>
    <n v="4029.12"/>
    <n v="175"/>
    <n v="26588.12"/>
    <x v="0"/>
    <x v="1"/>
    <s v="Delhi"/>
    <x v="5"/>
    <x v="1"/>
    <n v="2"/>
    <x v="1"/>
    <n v="2"/>
    <s v="Returned"/>
  </r>
  <r>
    <s v="ORD00561"/>
    <x v="181"/>
    <s v="CUST242"/>
    <s v="Vikas"/>
    <x v="1"/>
    <n v="45"/>
    <x v="1"/>
    <x v="0"/>
    <x v="1"/>
    <x v="9"/>
    <n v="2"/>
    <n v="22350"/>
    <n v="0"/>
    <n v="0"/>
    <n v="8046"/>
    <n v="119"/>
    <n v="52865"/>
    <x v="2"/>
    <x v="0"/>
    <s v="Jaipur"/>
    <x v="2"/>
    <x v="1"/>
    <n v="9"/>
    <x v="1"/>
    <n v="3"/>
    <s v="Cancelled"/>
  </r>
  <r>
    <s v="ORD00562"/>
    <x v="51"/>
    <s v="CUST697"/>
    <s v="Arjun"/>
    <x v="1"/>
    <n v="36"/>
    <x v="1"/>
    <x v="0"/>
    <x v="1"/>
    <x v="2"/>
    <n v="1"/>
    <n v="30336"/>
    <n v="5"/>
    <n v="1516.8"/>
    <n v="5187.46"/>
    <n v="83"/>
    <n v="34089.660000000003"/>
    <x v="0"/>
    <x v="0"/>
    <s v="Delhi"/>
    <x v="5"/>
    <x v="1"/>
    <n v="9"/>
    <x v="0"/>
    <n v="4"/>
    <s v="Delivered"/>
  </r>
  <r>
    <s v="ORD00563"/>
    <x v="186"/>
    <s v="CUST246"/>
    <s v="Arjun"/>
    <x v="0"/>
    <n v="47"/>
    <x v="6"/>
    <x v="0"/>
    <x v="6"/>
    <x v="4"/>
    <n v="5"/>
    <n v="14793"/>
    <n v="10"/>
    <n v="7396.5"/>
    <n v="11982.33"/>
    <n v="384"/>
    <n v="78934.83"/>
    <x v="3"/>
    <x v="0"/>
    <s v="Delhi"/>
    <x v="5"/>
    <x v="1"/>
    <n v="10"/>
    <x v="1"/>
    <n v="3"/>
    <s v="Shipped"/>
  </r>
  <r>
    <s v="ORD00564"/>
    <x v="1"/>
    <s v="CUST316"/>
    <s v="Neha"/>
    <x v="0"/>
    <n v="33"/>
    <x v="4"/>
    <x v="0"/>
    <x v="4"/>
    <x v="6"/>
    <n v="3"/>
    <n v="38101"/>
    <n v="10"/>
    <n v="11430.3"/>
    <n v="18517.09"/>
    <n v="123"/>
    <n v="121512.79"/>
    <x v="3"/>
    <x v="1"/>
    <s v="Lucknow"/>
    <x v="4"/>
    <x v="1"/>
    <n v="4"/>
    <x v="0"/>
    <n v="1"/>
    <s v="Shipped"/>
  </r>
  <r>
    <s v="ORD00565"/>
    <x v="284"/>
    <s v="CUST777"/>
    <s v="Karan"/>
    <x v="0"/>
    <n v="27"/>
    <x v="3"/>
    <x v="2"/>
    <x v="3"/>
    <x v="2"/>
    <n v="2"/>
    <n v="20386"/>
    <n v="20"/>
    <n v="8154.4"/>
    <n v="5871.17"/>
    <n v="48"/>
    <n v="38536.769999999997"/>
    <x v="3"/>
    <x v="1"/>
    <s v="Pune"/>
    <x v="0"/>
    <x v="0"/>
    <n v="10"/>
    <x v="0"/>
    <n v="1"/>
    <s v="Shipped"/>
  </r>
  <r>
    <s v="ORD00566"/>
    <x v="285"/>
    <s v="CUST689"/>
    <s v="Sneha"/>
    <x v="0"/>
    <n v="28"/>
    <x v="5"/>
    <x v="0"/>
    <x v="5"/>
    <x v="0"/>
    <n v="2"/>
    <n v="12947"/>
    <n v="10"/>
    <n v="2589.4"/>
    <n v="4194.83"/>
    <n v="401"/>
    <n v="27900.43"/>
    <x v="2"/>
    <x v="0"/>
    <s v="Pune"/>
    <x v="0"/>
    <x v="0"/>
    <n v="1"/>
    <x v="1"/>
    <n v="1"/>
    <s v="Cancelled"/>
  </r>
  <r>
    <s v="ORD00567"/>
    <x v="95"/>
    <s v="CUST990"/>
    <s v="Rahul"/>
    <x v="1"/>
    <n v="29"/>
    <x v="3"/>
    <x v="2"/>
    <x v="3"/>
    <x v="7"/>
    <n v="1"/>
    <n v="45669"/>
    <n v="20"/>
    <n v="9133.7999999999993"/>
    <n v="6576.34"/>
    <n v="84"/>
    <n v="43195.54"/>
    <x v="3"/>
    <x v="0"/>
    <s v="Delhi"/>
    <x v="5"/>
    <x v="1"/>
    <n v="9"/>
    <x v="1"/>
    <n v="1"/>
    <s v="Cancelled"/>
  </r>
  <r>
    <s v="ORD00568"/>
    <x v="130"/>
    <s v="CUST662"/>
    <s v="Vikas"/>
    <x v="0"/>
    <n v="27"/>
    <x v="1"/>
    <x v="0"/>
    <x v="1"/>
    <x v="8"/>
    <n v="5"/>
    <n v="32363"/>
    <n v="15"/>
    <n v="24272.25"/>
    <n v="24757.69"/>
    <n v="55"/>
    <n v="162355.45000000001"/>
    <x v="0"/>
    <x v="1"/>
    <s v="Delhi"/>
    <x v="5"/>
    <x v="1"/>
    <n v="4"/>
    <x v="1"/>
    <n v="3"/>
    <s v="Delivered"/>
  </r>
  <r>
    <s v="ORD00569"/>
    <x v="286"/>
    <s v="CUST179"/>
    <s v="Anjali"/>
    <x v="0"/>
    <n v="18"/>
    <x v="5"/>
    <x v="0"/>
    <x v="5"/>
    <x v="9"/>
    <n v="2"/>
    <n v="26083"/>
    <n v="5"/>
    <n v="2608.3000000000002"/>
    <n v="8920.39"/>
    <n v="148"/>
    <n v="58626.09"/>
    <x v="1"/>
    <x v="0"/>
    <s v="Lucknow"/>
    <x v="4"/>
    <x v="1"/>
    <n v="4"/>
    <x v="0"/>
    <n v="2"/>
    <s v="Delivered"/>
  </r>
  <r>
    <s v="ORD00570"/>
    <x v="280"/>
    <s v="CUST155"/>
    <s v="Neha"/>
    <x v="1"/>
    <n v="28"/>
    <x v="5"/>
    <x v="0"/>
    <x v="5"/>
    <x v="6"/>
    <n v="4"/>
    <n v="18529"/>
    <n v="20"/>
    <n v="14823.2"/>
    <n v="10672.7"/>
    <n v="326"/>
    <n v="70291.5"/>
    <x v="0"/>
    <x v="1"/>
    <s v="Bangalore"/>
    <x v="3"/>
    <x v="2"/>
    <n v="10"/>
    <x v="0"/>
    <n v="4"/>
    <s v="Shipped"/>
  </r>
  <r>
    <s v="ORD00571"/>
    <x v="215"/>
    <s v="CUST611"/>
    <s v="Sneha"/>
    <x v="0"/>
    <n v="22"/>
    <x v="1"/>
    <x v="0"/>
    <x v="1"/>
    <x v="0"/>
    <n v="5"/>
    <n v="48092"/>
    <n v="0"/>
    <n v="0"/>
    <n v="43282.8"/>
    <n v="210"/>
    <n v="283952.8"/>
    <x v="2"/>
    <x v="0"/>
    <s v="Lucknow"/>
    <x v="4"/>
    <x v="1"/>
    <n v="3"/>
    <x v="0"/>
    <n v="1"/>
    <s v="Returned"/>
  </r>
  <r>
    <s v="ORD00572"/>
    <x v="63"/>
    <s v="CUST436"/>
    <s v="Riya"/>
    <x v="1"/>
    <n v="28"/>
    <x v="2"/>
    <x v="1"/>
    <x v="2"/>
    <x v="5"/>
    <n v="1"/>
    <n v="46450"/>
    <n v="10"/>
    <n v="4645"/>
    <n v="7524.9"/>
    <n v="11"/>
    <n v="49340.9"/>
    <x v="2"/>
    <x v="0"/>
    <s v="Bangalore"/>
    <x v="3"/>
    <x v="2"/>
    <n v="8"/>
    <x v="0"/>
    <n v="5"/>
    <s v="Delivered"/>
  </r>
  <r>
    <s v="ORD00573"/>
    <x v="287"/>
    <s v="CUST934"/>
    <s v="Anjali"/>
    <x v="1"/>
    <n v="19"/>
    <x v="1"/>
    <x v="0"/>
    <x v="1"/>
    <x v="1"/>
    <n v="2"/>
    <n v="7461"/>
    <n v="5"/>
    <n v="746.1"/>
    <n v="2551.66"/>
    <n v="462"/>
    <n v="17189.560000000001"/>
    <x v="2"/>
    <x v="1"/>
    <s v="Bangalore"/>
    <x v="3"/>
    <x v="2"/>
    <n v="4"/>
    <x v="1"/>
    <n v="5"/>
    <s v="Shipped"/>
  </r>
  <r>
    <s v="ORD00574"/>
    <x v="288"/>
    <s v="CUST596"/>
    <s v="Karan"/>
    <x v="0"/>
    <n v="26"/>
    <x v="6"/>
    <x v="0"/>
    <x v="6"/>
    <x v="9"/>
    <n v="4"/>
    <n v="34693"/>
    <n v="20"/>
    <n v="27754.400000000001"/>
    <n v="19983.169999999998"/>
    <n v="92"/>
    <n v="131092.76999999999"/>
    <x v="3"/>
    <x v="0"/>
    <s v="Mumbai"/>
    <x v="0"/>
    <x v="0"/>
    <n v="6"/>
    <x v="1"/>
    <n v="3"/>
    <s v="Shipped"/>
  </r>
  <r>
    <s v="ORD00575"/>
    <x v="289"/>
    <s v="CUST732"/>
    <s v="Arjun"/>
    <x v="1"/>
    <n v="29"/>
    <x v="5"/>
    <x v="0"/>
    <x v="5"/>
    <x v="6"/>
    <n v="1"/>
    <n v="32825"/>
    <n v="10"/>
    <n v="3282.5"/>
    <n v="5317.65"/>
    <n v="116"/>
    <n v="34976.15"/>
    <x v="1"/>
    <x v="1"/>
    <s v="Delhi"/>
    <x v="5"/>
    <x v="1"/>
    <n v="7"/>
    <x v="1"/>
    <n v="4"/>
    <s v="Delivered"/>
  </r>
  <r>
    <s v="ORD00576"/>
    <x v="117"/>
    <s v="CUST254"/>
    <s v="Neha"/>
    <x v="0"/>
    <n v="33"/>
    <x v="1"/>
    <x v="0"/>
    <x v="1"/>
    <x v="6"/>
    <n v="3"/>
    <n v="10600"/>
    <n v="20"/>
    <n v="6360"/>
    <n v="4579.2"/>
    <n v="129"/>
    <n v="30148.2"/>
    <x v="3"/>
    <x v="0"/>
    <s v="Chandigarh"/>
    <x v="1"/>
    <x v="1"/>
    <n v="10"/>
    <x v="1"/>
    <n v="2"/>
    <s v="Shipped"/>
  </r>
  <r>
    <s v="ORD00577"/>
    <x v="232"/>
    <s v="CUST537"/>
    <s v="Priya"/>
    <x v="0"/>
    <n v="50"/>
    <x v="3"/>
    <x v="2"/>
    <x v="3"/>
    <x v="1"/>
    <n v="3"/>
    <n v="36848"/>
    <n v="5"/>
    <n v="5527.2"/>
    <n v="18903.02"/>
    <n v="368"/>
    <n v="124287.82"/>
    <x v="1"/>
    <x v="1"/>
    <s v="Chandigarh"/>
    <x v="1"/>
    <x v="1"/>
    <n v="3"/>
    <x v="0"/>
    <n v="1"/>
    <s v="Cancelled"/>
  </r>
  <r>
    <s v="ORD00578"/>
    <x v="246"/>
    <s v="CUST858"/>
    <s v="Amit"/>
    <x v="1"/>
    <n v="32"/>
    <x v="3"/>
    <x v="2"/>
    <x v="3"/>
    <x v="6"/>
    <n v="3"/>
    <n v="35709"/>
    <n v="0"/>
    <n v="0"/>
    <n v="19282.86"/>
    <n v="36"/>
    <n v="126445.86"/>
    <x v="0"/>
    <x v="0"/>
    <s v="Delhi"/>
    <x v="5"/>
    <x v="1"/>
    <n v="7"/>
    <x v="0"/>
    <n v="4"/>
    <s v="Shipped"/>
  </r>
  <r>
    <s v="ORD00579"/>
    <x v="173"/>
    <s v="CUST272"/>
    <s v="Priya"/>
    <x v="1"/>
    <n v="27"/>
    <x v="5"/>
    <x v="0"/>
    <x v="5"/>
    <x v="7"/>
    <n v="4"/>
    <n v="20644"/>
    <n v="5"/>
    <n v="4128.8"/>
    <n v="14120.5"/>
    <n v="344"/>
    <n v="92911.7"/>
    <x v="3"/>
    <x v="1"/>
    <s v="Patiala"/>
    <x v="1"/>
    <x v="1"/>
    <n v="6"/>
    <x v="0"/>
    <n v="3"/>
    <s v="Shipped"/>
  </r>
  <r>
    <s v="ORD00580"/>
    <x v="152"/>
    <s v="CUST839"/>
    <s v="Neha"/>
    <x v="1"/>
    <n v="40"/>
    <x v="0"/>
    <x v="0"/>
    <x v="0"/>
    <x v="8"/>
    <n v="2"/>
    <n v="6782"/>
    <n v="10"/>
    <n v="1356.4"/>
    <n v="2197.37"/>
    <n v="59"/>
    <n v="14463.97"/>
    <x v="3"/>
    <x v="0"/>
    <s v="Lucknow"/>
    <x v="4"/>
    <x v="1"/>
    <n v="2"/>
    <x v="0"/>
    <n v="1"/>
    <s v="Delivered"/>
  </r>
  <r>
    <s v="ORD00581"/>
    <x v="290"/>
    <s v="CUST585"/>
    <s v="Neha"/>
    <x v="1"/>
    <n v="33"/>
    <x v="7"/>
    <x v="1"/>
    <x v="7"/>
    <x v="7"/>
    <n v="3"/>
    <n v="30995"/>
    <n v="5"/>
    <n v="4649.25"/>
    <n v="15900.43"/>
    <n v="207"/>
    <n v="104443.18"/>
    <x v="1"/>
    <x v="1"/>
    <s v="Chandigarh"/>
    <x v="1"/>
    <x v="1"/>
    <n v="6"/>
    <x v="0"/>
    <n v="5"/>
    <s v="Shipped"/>
  </r>
  <r>
    <s v="ORD00582"/>
    <x v="4"/>
    <s v="CUST817"/>
    <s v="Priya"/>
    <x v="1"/>
    <n v="19"/>
    <x v="1"/>
    <x v="0"/>
    <x v="1"/>
    <x v="5"/>
    <n v="1"/>
    <n v="31065"/>
    <n v="20"/>
    <n v="6213"/>
    <n v="4473.3599999999997"/>
    <n v="485"/>
    <n v="29810.36"/>
    <x v="1"/>
    <x v="1"/>
    <s v="Patiala"/>
    <x v="1"/>
    <x v="1"/>
    <n v="8"/>
    <x v="1"/>
    <n v="4"/>
    <s v="Delivered"/>
  </r>
  <r>
    <s v="ORD00583"/>
    <x v="158"/>
    <s v="CUST795"/>
    <s v="Arjun"/>
    <x v="1"/>
    <n v="23"/>
    <x v="2"/>
    <x v="1"/>
    <x v="2"/>
    <x v="6"/>
    <n v="4"/>
    <n v="25638"/>
    <n v="5"/>
    <n v="5127.6000000000004"/>
    <n v="17536.39"/>
    <n v="105"/>
    <n v="115065.79"/>
    <x v="0"/>
    <x v="1"/>
    <s v="Patiala"/>
    <x v="1"/>
    <x v="1"/>
    <n v="6"/>
    <x v="0"/>
    <n v="5"/>
    <s v="Shipped"/>
  </r>
  <r>
    <s v="ORD00584"/>
    <x v="253"/>
    <s v="CUST363"/>
    <s v="Neha"/>
    <x v="1"/>
    <n v="44"/>
    <x v="2"/>
    <x v="1"/>
    <x v="2"/>
    <x v="9"/>
    <n v="3"/>
    <n v="36997"/>
    <n v="20"/>
    <n v="22198.2"/>
    <n v="15982.7"/>
    <n v="276"/>
    <n v="105051.5"/>
    <x v="0"/>
    <x v="1"/>
    <s v="Lucknow"/>
    <x v="4"/>
    <x v="1"/>
    <n v="7"/>
    <x v="1"/>
    <n v="2"/>
    <s v="Returned"/>
  </r>
  <r>
    <s v="ORD00585"/>
    <x v="285"/>
    <s v="CUST689"/>
    <s v="Priya"/>
    <x v="0"/>
    <n v="57"/>
    <x v="7"/>
    <x v="1"/>
    <x v="7"/>
    <x v="7"/>
    <n v="2"/>
    <n v="22302"/>
    <n v="0"/>
    <n v="0"/>
    <n v="8028.72"/>
    <n v="137"/>
    <n v="52769.72"/>
    <x v="3"/>
    <x v="0"/>
    <s v="Lucknow"/>
    <x v="4"/>
    <x v="1"/>
    <n v="9"/>
    <x v="1"/>
    <n v="2"/>
    <s v="Cancelled"/>
  </r>
  <r>
    <s v="ORD00586"/>
    <x v="291"/>
    <s v="CUST137"/>
    <s v="Rahul"/>
    <x v="0"/>
    <n v="54"/>
    <x v="7"/>
    <x v="1"/>
    <x v="7"/>
    <x v="3"/>
    <n v="4"/>
    <n v="27890"/>
    <n v="5"/>
    <n v="5578"/>
    <n v="19076.759999999998"/>
    <n v="263"/>
    <n v="125321.76"/>
    <x v="3"/>
    <x v="1"/>
    <s v="Jaipur"/>
    <x v="2"/>
    <x v="1"/>
    <n v="4"/>
    <x v="0"/>
    <n v="5"/>
    <s v="Shipped"/>
  </r>
  <r>
    <s v="ORD00587"/>
    <x v="172"/>
    <s v="CUST910"/>
    <s v="Arjun"/>
    <x v="1"/>
    <n v="43"/>
    <x v="7"/>
    <x v="1"/>
    <x v="7"/>
    <x v="1"/>
    <n v="1"/>
    <n v="3325"/>
    <n v="15"/>
    <n v="498.75"/>
    <n v="508.72"/>
    <n v="182"/>
    <n v="3516.97"/>
    <x v="0"/>
    <x v="1"/>
    <s v="Delhi"/>
    <x v="5"/>
    <x v="1"/>
    <n v="6"/>
    <x v="1"/>
    <n v="5"/>
    <s v="Returned"/>
  </r>
  <r>
    <s v="ORD00588"/>
    <x v="292"/>
    <s v="CUST874"/>
    <s v="Sneha"/>
    <x v="1"/>
    <n v="42"/>
    <x v="1"/>
    <x v="0"/>
    <x v="1"/>
    <x v="9"/>
    <n v="1"/>
    <n v="46035"/>
    <n v="0"/>
    <n v="0"/>
    <n v="8286.2999999999993"/>
    <n v="39"/>
    <n v="54360.3"/>
    <x v="0"/>
    <x v="1"/>
    <s v="Bangalore"/>
    <x v="3"/>
    <x v="2"/>
    <n v="2"/>
    <x v="0"/>
    <n v="2"/>
    <s v="Returned"/>
  </r>
  <r>
    <s v="ORD00589"/>
    <x v="61"/>
    <s v="CUST536"/>
    <s v="Karan"/>
    <x v="1"/>
    <n v="26"/>
    <x v="1"/>
    <x v="0"/>
    <x v="1"/>
    <x v="3"/>
    <n v="4"/>
    <n v="43793"/>
    <n v="0"/>
    <n v="0"/>
    <n v="31530.959999999999"/>
    <n v="187"/>
    <n v="206889.96"/>
    <x v="0"/>
    <x v="1"/>
    <s v="Delhi"/>
    <x v="5"/>
    <x v="1"/>
    <n v="2"/>
    <x v="0"/>
    <n v="5"/>
    <s v="Returned"/>
  </r>
  <r>
    <s v="ORD00590"/>
    <x v="91"/>
    <s v="CUST447"/>
    <s v="Amit"/>
    <x v="1"/>
    <n v="51"/>
    <x v="2"/>
    <x v="1"/>
    <x v="2"/>
    <x v="4"/>
    <n v="1"/>
    <n v="36558"/>
    <n v="10"/>
    <n v="3655.8"/>
    <n v="5922.4"/>
    <n v="204"/>
    <n v="39028.6"/>
    <x v="0"/>
    <x v="0"/>
    <s v="Delhi"/>
    <x v="5"/>
    <x v="1"/>
    <n v="10"/>
    <x v="1"/>
    <n v="2"/>
    <s v="Delivered"/>
  </r>
  <r>
    <s v="ORD00591"/>
    <x v="93"/>
    <s v="CUST336"/>
    <s v="Vikas"/>
    <x v="0"/>
    <n v="22"/>
    <x v="4"/>
    <x v="0"/>
    <x v="4"/>
    <x v="4"/>
    <n v="1"/>
    <n v="11976"/>
    <n v="10"/>
    <n v="1197.5999999999999"/>
    <n v="1940.11"/>
    <n v="188"/>
    <n v="12906.51"/>
    <x v="3"/>
    <x v="1"/>
    <s v="Pune"/>
    <x v="0"/>
    <x v="0"/>
    <n v="9"/>
    <x v="1"/>
    <n v="3"/>
    <s v="Shipped"/>
  </r>
  <r>
    <s v="ORD00592"/>
    <x v="187"/>
    <s v="CUST759"/>
    <s v="Priya"/>
    <x v="1"/>
    <n v="33"/>
    <x v="4"/>
    <x v="0"/>
    <x v="4"/>
    <x v="3"/>
    <n v="2"/>
    <n v="30404"/>
    <n v="15"/>
    <n v="9121.2000000000007"/>
    <n v="9303.6200000000008"/>
    <n v="243"/>
    <n v="61233.42"/>
    <x v="2"/>
    <x v="1"/>
    <s v="Bangalore"/>
    <x v="3"/>
    <x v="2"/>
    <n v="6"/>
    <x v="1"/>
    <n v="2"/>
    <s v="Returned"/>
  </r>
  <r>
    <s v="ORD00593"/>
    <x v="151"/>
    <s v="CUST410"/>
    <s v="Riya"/>
    <x v="1"/>
    <n v="35"/>
    <x v="8"/>
    <x v="0"/>
    <x v="8"/>
    <x v="2"/>
    <n v="5"/>
    <n v="19190"/>
    <n v="15"/>
    <n v="14392.5"/>
    <n v="14680.35"/>
    <n v="285"/>
    <n v="96522.85"/>
    <x v="2"/>
    <x v="1"/>
    <s v="Bangalore"/>
    <x v="3"/>
    <x v="2"/>
    <n v="2"/>
    <x v="1"/>
    <n v="2"/>
    <s v="Cancelled"/>
  </r>
  <r>
    <s v="ORD00594"/>
    <x v="60"/>
    <s v="CUST598"/>
    <s v="Sneha"/>
    <x v="1"/>
    <n v="44"/>
    <x v="5"/>
    <x v="0"/>
    <x v="5"/>
    <x v="8"/>
    <n v="2"/>
    <n v="13865"/>
    <n v="15"/>
    <n v="4159.5"/>
    <n v="4242.6899999999996"/>
    <n v="362"/>
    <n v="28175.19"/>
    <x v="0"/>
    <x v="1"/>
    <s v="Lucknow"/>
    <x v="4"/>
    <x v="1"/>
    <n v="4"/>
    <x v="0"/>
    <n v="1"/>
    <s v="Cancelled"/>
  </r>
  <r>
    <s v="ORD00595"/>
    <x v="5"/>
    <s v="CUST707"/>
    <s v="Amit"/>
    <x v="1"/>
    <n v="20"/>
    <x v="6"/>
    <x v="0"/>
    <x v="6"/>
    <x v="4"/>
    <n v="5"/>
    <n v="45732"/>
    <n v="20"/>
    <n v="45732"/>
    <n v="32927.040000000001"/>
    <n v="346"/>
    <n v="216201.04"/>
    <x v="2"/>
    <x v="0"/>
    <s v="Jaipur"/>
    <x v="2"/>
    <x v="1"/>
    <n v="6"/>
    <x v="0"/>
    <n v="5"/>
    <s v="Cancelled"/>
  </r>
  <r>
    <s v="ORD00596"/>
    <x v="293"/>
    <s v="CUST638"/>
    <s v="Amit"/>
    <x v="0"/>
    <n v="37"/>
    <x v="8"/>
    <x v="0"/>
    <x v="8"/>
    <x v="1"/>
    <n v="3"/>
    <n v="13690"/>
    <n v="0"/>
    <n v="0"/>
    <n v="7392.6"/>
    <n v="496"/>
    <n v="48958.6"/>
    <x v="0"/>
    <x v="0"/>
    <s v="Chandigarh"/>
    <x v="1"/>
    <x v="1"/>
    <n v="8"/>
    <x v="0"/>
    <n v="4"/>
    <s v="Shipped"/>
  </r>
  <r>
    <s v="ORD00597"/>
    <x v="294"/>
    <s v="CUST376"/>
    <s v="Anjali"/>
    <x v="0"/>
    <n v="47"/>
    <x v="6"/>
    <x v="0"/>
    <x v="6"/>
    <x v="8"/>
    <n v="5"/>
    <n v="35073"/>
    <n v="5"/>
    <n v="8768.25"/>
    <n v="29987.41"/>
    <n v="32"/>
    <n v="196616.17"/>
    <x v="3"/>
    <x v="0"/>
    <s v="Pune"/>
    <x v="0"/>
    <x v="0"/>
    <n v="1"/>
    <x v="1"/>
    <n v="5"/>
    <s v="Delivered"/>
  </r>
  <r>
    <s v="ORD00598"/>
    <x v="111"/>
    <s v="CUST497"/>
    <s v="Arjun"/>
    <x v="0"/>
    <n v="56"/>
    <x v="6"/>
    <x v="0"/>
    <x v="6"/>
    <x v="5"/>
    <n v="2"/>
    <n v="24176"/>
    <n v="20"/>
    <n v="9670.4"/>
    <n v="6962.69"/>
    <n v="241"/>
    <n v="45885.29"/>
    <x v="0"/>
    <x v="0"/>
    <s v="Bangalore"/>
    <x v="3"/>
    <x v="2"/>
    <n v="10"/>
    <x v="1"/>
    <n v="3"/>
    <s v="Shipped"/>
  </r>
  <r>
    <s v="ORD00599"/>
    <x v="217"/>
    <s v="CUST439"/>
    <s v="Anjali"/>
    <x v="0"/>
    <n v="28"/>
    <x v="8"/>
    <x v="0"/>
    <x v="8"/>
    <x v="9"/>
    <n v="4"/>
    <n v="3776"/>
    <n v="5"/>
    <n v="755.2"/>
    <n v="2582.7800000000002"/>
    <n v="358"/>
    <n v="17289.580000000002"/>
    <x v="2"/>
    <x v="0"/>
    <s v="Bangalore"/>
    <x v="3"/>
    <x v="2"/>
    <n v="1"/>
    <x v="1"/>
    <n v="5"/>
    <s v="Shipped"/>
  </r>
  <r>
    <s v="ORD00600"/>
    <x v="206"/>
    <s v="CUST431"/>
    <s v="Sneha"/>
    <x v="1"/>
    <n v="48"/>
    <x v="5"/>
    <x v="0"/>
    <x v="5"/>
    <x v="3"/>
    <n v="2"/>
    <n v="31074"/>
    <n v="20"/>
    <n v="12429.6"/>
    <n v="8949.31"/>
    <n v="343"/>
    <n v="59010.71"/>
    <x v="2"/>
    <x v="1"/>
    <s v="Mumbai"/>
    <x v="0"/>
    <x v="0"/>
    <n v="7"/>
    <x v="1"/>
    <n v="4"/>
    <s v="Delivered"/>
  </r>
  <r>
    <s v="ORD00601"/>
    <x v="177"/>
    <s v="CUST143"/>
    <s v="Anjali"/>
    <x v="1"/>
    <n v="55"/>
    <x v="1"/>
    <x v="0"/>
    <x v="1"/>
    <x v="9"/>
    <n v="4"/>
    <n v="34430"/>
    <n v="20"/>
    <n v="27544"/>
    <n v="19831.68"/>
    <n v="63"/>
    <n v="130070.68"/>
    <x v="2"/>
    <x v="1"/>
    <s v="Jaipur"/>
    <x v="2"/>
    <x v="1"/>
    <n v="1"/>
    <x v="1"/>
    <n v="2"/>
    <s v="Cancelled"/>
  </r>
  <r>
    <s v="ORD00602"/>
    <x v="120"/>
    <s v="CUST726"/>
    <s v="Arjun"/>
    <x v="0"/>
    <n v="56"/>
    <x v="9"/>
    <x v="0"/>
    <x v="9"/>
    <x v="4"/>
    <n v="2"/>
    <n v="39830"/>
    <n v="10"/>
    <n v="7966"/>
    <n v="12904.92"/>
    <n v="432"/>
    <n v="85030.92"/>
    <x v="1"/>
    <x v="1"/>
    <s v="Chandigarh"/>
    <x v="1"/>
    <x v="1"/>
    <n v="8"/>
    <x v="1"/>
    <n v="2"/>
    <s v="Returned"/>
  </r>
  <r>
    <s v="ORD00603"/>
    <x v="291"/>
    <s v="CUST767"/>
    <s v="Priya"/>
    <x v="0"/>
    <n v="21"/>
    <x v="9"/>
    <x v="0"/>
    <x v="9"/>
    <x v="2"/>
    <n v="2"/>
    <n v="41119"/>
    <n v="5"/>
    <n v="4111.8999999999996"/>
    <n v="14062.7"/>
    <n v="355"/>
    <n v="92543.8"/>
    <x v="0"/>
    <x v="0"/>
    <s v="Delhi"/>
    <x v="5"/>
    <x v="1"/>
    <n v="7"/>
    <x v="1"/>
    <n v="3"/>
    <s v="Delivered"/>
  </r>
  <r>
    <s v="ORD00604"/>
    <x v="231"/>
    <s v="CUST364"/>
    <s v="Amit"/>
    <x v="1"/>
    <n v="27"/>
    <x v="5"/>
    <x v="0"/>
    <x v="5"/>
    <x v="6"/>
    <n v="2"/>
    <n v="35061"/>
    <n v="5"/>
    <n v="3506.1"/>
    <n v="11990.86"/>
    <n v="303"/>
    <n v="78909.759999999995"/>
    <x v="2"/>
    <x v="0"/>
    <s v="Chandigarh"/>
    <x v="1"/>
    <x v="1"/>
    <n v="6"/>
    <x v="0"/>
    <n v="1"/>
    <s v="Shipped"/>
  </r>
  <r>
    <s v="ORD00605"/>
    <x v="295"/>
    <s v="CUST351"/>
    <s v="Karan"/>
    <x v="1"/>
    <n v="25"/>
    <x v="0"/>
    <x v="0"/>
    <x v="0"/>
    <x v="2"/>
    <n v="5"/>
    <n v="13176"/>
    <n v="20"/>
    <n v="13176"/>
    <n v="9486.7199999999993"/>
    <n v="109"/>
    <n v="62299.72"/>
    <x v="1"/>
    <x v="1"/>
    <s v="Pune"/>
    <x v="0"/>
    <x v="0"/>
    <n v="1"/>
    <x v="1"/>
    <n v="4"/>
    <s v="Cancelled"/>
  </r>
  <r>
    <s v="ORD00606"/>
    <x v="80"/>
    <s v="CUST699"/>
    <s v="Karan"/>
    <x v="1"/>
    <n v="42"/>
    <x v="7"/>
    <x v="1"/>
    <x v="7"/>
    <x v="2"/>
    <n v="5"/>
    <n v="38288"/>
    <n v="10"/>
    <n v="19144"/>
    <n v="31013.279999999999"/>
    <n v="33"/>
    <n v="203342.28"/>
    <x v="0"/>
    <x v="1"/>
    <s v="Chandigarh"/>
    <x v="1"/>
    <x v="1"/>
    <n v="2"/>
    <x v="1"/>
    <n v="2"/>
    <s v="Shipped"/>
  </r>
  <r>
    <s v="ORD00607"/>
    <x v="282"/>
    <s v="CUST372"/>
    <s v="Amit"/>
    <x v="0"/>
    <n v="23"/>
    <x v="2"/>
    <x v="1"/>
    <x v="2"/>
    <x v="0"/>
    <n v="5"/>
    <n v="34595"/>
    <n v="0"/>
    <n v="0"/>
    <n v="31135.5"/>
    <n v="278"/>
    <n v="204388.5"/>
    <x v="1"/>
    <x v="0"/>
    <s v="Chandigarh"/>
    <x v="1"/>
    <x v="1"/>
    <n v="7"/>
    <x v="1"/>
    <n v="4"/>
    <s v="Cancelled"/>
  </r>
  <r>
    <s v="ORD00608"/>
    <x v="296"/>
    <s v="CUST786"/>
    <s v="Vikas"/>
    <x v="1"/>
    <n v="45"/>
    <x v="6"/>
    <x v="0"/>
    <x v="6"/>
    <x v="9"/>
    <n v="4"/>
    <n v="14803"/>
    <n v="5"/>
    <n v="2960.6"/>
    <n v="10125.25"/>
    <n v="444"/>
    <n v="66820.649999999994"/>
    <x v="3"/>
    <x v="0"/>
    <s v="Lucknow"/>
    <x v="4"/>
    <x v="1"/>
    <n v="1"/>
    <x v="0"/>
    <n v="4"/>
    <s v="Delivered"/>
  </r>
  <r>
    <s v="ORD00609"/>
    <x v="97"/>
    <s v="CUST436"/>
    <s v="Karan"/>
    <x v="1"/>
    <n v="23"/>
    <x v="7"/>
    <x v="1"/>
    <x v="7"/>
    <x v="9"/>
    <n v="4"/>
    <n v="46728"/>
    <n v="20"/>
    <n v="37382.400000000001"/>
    <n v="26915.33"/>
    <n v="488"/>
    <n v="176932.93"/>
    <x v="0"/>
    <x v="1"/>
    <s v="Pune"/>
    <x v="0"/>
    <x v="0"/>
    <n v="6"/>
    <x v="0"/>
    <n v="3"/>
    <s v="Shipped"/>
  </r>
  <r>
    <s v="ORD00610"/>
    <x v="294"/>
    <s v="CUST179"/>
    <s v="Amit"/>
    <x v="1"/>
    <n v="56"/>
    <x v="2"/>
    <x v="1"/>
    <x v="2"/>
    <x v="4"/>
    <n v="1"/>
    <n v="27870"/>
    <n v="10"/>
    <n v="2787"/>
    <n v="4514.9399999999996"/>
    <n v="498"/>
    <n v="30095.94"/>
    <x v="0"/>
    <x v="1"/>
    <s v="Delhi"/>
    <x v="5"/>
    <x v="1"/>
    <n v="8"/>
    <x v="1"/>
    <n v="5"/>
    <s v="Returned"/>
  </r>
  <r>
    <s v="ORD00611"/>
    <x v="143"/>
    <s v="CUST167"/>
    <s v="Riya"/>
    <x v="1"/>
    <n v="45"/>
    <x v="2"/>
    <x v="1"/>
    <x v="2"/>
    <x v="8"/>
    <n v="2"/>
    <n v="19119"/>
    <n v="20"/>
    <n v="7647.6"/>
    <n v="5506.27"/>
    <n v="309"/>
    <n v="36405.67"/>
    <x v="0"/>
    <x v="1"/>
    <s v="Jaipur"/>
    <x v="2"/>
    <x v="1"/>
    <n v="5"/>
    <x v="0"/>
    <n v="3"/>
    <s v="Shipped"/>
  </r>
  <r>
    <s v="ORD00612"/>
    <x v="135"/>
    <s v="CUST760"/>
    <s v="Rahul"/>
    <x v="0"/>
    <n v="30"/>
    <x v="7"/>
    <x v="1"/>
    <x v="7"/>
    <x v="6"/>
    <n v="5"/>
    <n v="17738"/>
    <n v="20"/>
    <n v="17738"/>
    <n v="12771.36"/>
    <n v="196"/>
    <n v="83919.360000000001"/>
    <x v="3"/>
    <x v="0"/>
    <s v="Pune"/>
    <x v="0"/>
    <x v="0"/>
    <n v="10"/>
    <x v="0"/>
    <n v="2"/>
    <s v="Cancelled"/>
  </r>
  <r>
    <s v="ORD00613"/>
    <x v="297"/>
    <s v="CUST673"/>
    <s v="Anjali"/>
    <x v="0"/>
    <n v="60"/>
    <x v="2"/>
    <x v="1"/>
    <x v="2"/>
    <x v="8"/>
    <n v="5"/>
    <n v="43569"/>
    <n v="20"/>
    <n v="43569"/>
    <n v="31369.68"/>
    <n v="221"/>
    <n v="205866.68"/>
    <x v="2"/>
    <x v="1"/>
    <s v="Jaipur"/>
    <x v="2"/>
    <x v="1"/>
    <n v="10"/>
    <x v="1"/>
    <n v="2"/>
    <s v="Returned"/>
  </r>
  <r>
    <s v="ORD00614"/>
    <x v="298"/>
    <s v="CUST132"/>
    <s v="Anjali"/>
    <x v="1"/>
    <n v="35"/>
    <x v="2"/>
    <x v="1"/>
    <x v="2"/>
    <x v="7"/>
    <n v="1"/>
    <n v="30905"/>
    <n v="15"/>
    <n v="4635.75"/>
    <n v="4728.47"/>
    <n v="324"/>
    <n v="31321.72"/>
    <x v="1"/>
    <x v="1"/>
    <s v="Pune"/>
    <x v="0"/>
    <x v="0"/>
    <n v="10"/>
    <x v="1"/>
    <n v="1"/>
    <s v="Cancelled"/>
  </r>
  <r>
    <s v="ORD00615"/>
    <x v="181"/>
    <s v="CUST381"/>
    <s v="Riya"/>
    <x v="0"/>
    <n v="58"/>
    <x v="9"/>
    <x v="0"/>
    <x v="9"/>
    <x v="6"/>
    <n v="4"/>
    <n v="41766"/>
    <n v="0"/>
    <n v="0"/>
    <n v="30071.52"/>
    <n v="436"/>
    <n v="197571.52"/>
    <x v="1"/>
    <x v="1"/>
    <s v="Delhi"/>
    <x v="5"/>
    <x v="1"/>
    <n v="2"/>
    <x v="1"/>
    <n v="2"/>
    <s v="Cancelled"/>
  </r>
  <r>
    <s v="ORD00616"/>
    <x v="58"/>
    <s v="CUST751"/>
    <s v="Priya"/>
    <x v="1"/>
    <n v="42"/>
    <x v="4"/>
    <x v="0"/>
    <x v="4"/>
    <x v="7"/>
    <n v="2"/>
    <n v="21383"/>
    <n v="20"/>
    <n v="8553.2000000000007"/>
    <n v="6158.3"/>
    <n v="235"/>
    <n v="40606.1"/>
    <x v="1"/>
    <x v="0"/>
    <s v="Lucknow"/>
    <x v="4"/>
    <x v="1"/>
    <n v="2"/>
    <x v="1"/>
    <n v="4"/>
    <s v="Returned"/>
  </r>
  <r>
    <s v="ORD00617"/>
    <x v="257"/>
    <s v="CUST387"/>
    <s v="Vikas"/>
    <x v="0"/>
    <n v="42"/>
    <x v="9"/>
    <x v="0"/>
    <x v="9"/>
    <x v="4"/>
    <n v="3"/>
    <n v="6996"/>
    <n v="0"/>
    <n v="0"/>
    <n v="3777.84"/>
    <n v="327"/>
    <n v="25092.84"/>
    <x v="0"/>
    <x v="0"/>
    <s v="Chandigarh"/>
    <x v="1"/>
    <x v="1"/>
    <n v="6"/>
    <x v="0"/>
    <n v="2"/>
    <s v="Cancelled"/>
  </r>
  <r>
    <s v="ORD00618"/>
    <x v="188"/>
    <s v="CUST120"/>
    <s v="Sneha"/>
    <x v="1"/>
    <n v="50"/>
    <x v="3"/>
    <x v="2"/>
    <x v="3"/>
    <x v="6"/>
    <n v="4"/>
    <n v="47815"/>
    <n v="10"/>
    <n v="19126"/>
    <n v="30984.12"/>
    <n v="23"/>
    <n v="203141.12"/>
    <x v="3"/>
    <x v="0"/>
    <s v="Pune"/>
    <x v="0"/>
    <x v="0"/>
    <n v="2"/>
    <x v="1"/>
    <n v="4"/>
    <s v="Delivered"/>
  </r>
  <r>
    <s v="ORD00619"/>
    <x v="153"/>
    <s v="CUST540"/>
    <s v="Neha"/>
    <x v="1"/>
    <n v="37"/>
    <x v="9"/>
    <x v="0"/>
    <x v="9"/>
    <x v="0"/>
    <n v="4"/>
    <n v="16140"/>
    <n v="20"/>
    <n v="12912"/>
    <n v="9296.64"/>
    <n v="365"/>
    <n v="61309.64"/>
    <x v="0"/>
    <x v="0"/>
    <s v="Mumbai"/>
    <x v="0"/>
    <x v="0"/>
    <n v="4"/>
    <x v="1"/>
    <n v="1"/>
    <s v="Shipped"/>
  </r>
  <r>
    <s v="ORD00620"/>
    <x v="113"/>
    <s v="CUST394"/>
    <s v="Sneha"/>
    <x v="1"/>
    <n v="43"/>
    <x v="1"/>
    <x v="0"/>
    <x v="1"/>
    <x v="6"/>
    <n v="2"/>
    <n v="1150"/>
    <n v="20"/>
    <n v="460"/>
    <n v="331.2"/>
    <n v="394"/>
    <n v="2565.1999999999998"/>
    <x v="3"/>
    <x v="1"/>
    <s v="Jaipur"/>
    <x v="2"/>
    <x v="1"/>
    <n v="9"/>
    <x v="0"/>
    <n v="2"/>
    <s v="Cancelled"/>
  </r>
  <r>
    <s v="ORD00621"/>
    <x v="270"/>
    <s v="CUST808"/>
    <s v="Vikas"/>
    <x v="0"/>
    <n v="35"/>
    <x v="5"/>
    <x v="0"/>
    <x v="5"/>
    <x v="9"/>
    <n v="5"/>
    <n v="4559"/>
    <n v="20"/>
    <n v="4559"/>
    <n v="3282.48"/>
    <n v="202"/>
    <n v="21720.48"/>
    <x v="1"/>
    <x v="0"/>
    <s v="Chandigarh"/>
    <x v="1"/>
    <x v="1"/>
    <n v="10"/>
    <x v="0"/>
    <n v="1"/>
    <s v="Shipped"/>
  </r>
  <r>
    <s v="ORD00622"/>
    <x v="174"/>
    <s v="CUST948"/>
    <s v="Arjun"/>
    <x v="1"/>
    <n v="51"/>
    <x v="1"/>
    <x v="0"/>
    <x v="1"/>
    <x v="3"/>
    <n v="5"/>
    <n v="40159"/>
    <n v="5"/>
    <n v="10039.75"/>
    <n v="34335.94"/>
    <n v="207"/>
    <n v="225298.2"/>
    <x v="0"/>
    <x v="0"/>
    <s v="Chandigarh"/>
    <x v="1"/>
    <x v="1"/>
    <n v="8"/>
    <x v="1"/>
    <n v="3"/>
    <s v="Cancelled"/>
  </r>
  <r>
    <s v="ORD00623"/>
    <x v="92"/>
    <s v="CUST972"/>
    <s v="Rahul"/>
    <x v="1"/>
    <n v="25"/>
    <x v="3"/>
    <x v="2"/>
    <x v="3"/>
    <x v="7"/>
    <n v="2"/>
    <n v="10985"/>
    <n v="5"/>
    <n v="1098.5"/>
    <n v="3756.87"/>
    <n v="120"/>
    <n v="24748.37"/>
    <x v="3"/>
    <x v="1"/>
    <s v="Pune"/>
    <x v="0"/>
    <x v="0"/>
    <n v="8"/>
    <x v="0"/>
    <n v="4"/>
    <s v="Shipped"/>
  </r>
  <r>
    <s v="ORD00624"/>
    <x v="295"/>
    <s v="CUST314"/>
    <s v="Sneha"/>
    <x v="0"/>
    <n v="29"/>
    <x v="5"/>
    <x v="0"/>
    <x v="5"/>
    <x v="9"/>
    <n v="1"/>
    <n v="36714"/>
    <n v="0"/>
    <n v="0"/>
    <n v="6608.52"/>
    <n v="425"/>
    <n v="43747.519999999997"/>
    <x v="2"/>
    <x v="1"/>
    <s v="Chandigarh"/>
    <x v="1"/>
    <x v="1"/>
    <n v="2"/>
    <x v="0"/>
    <n v="2"/>
    <s v="Cancelled"/>
  </r>
  <r>
    <s v="ORD00625"/>
    <x v="299"/>
    <s v="CUST746"/>
    <s v="Neha"/>
    <x v="0"/>
    <n v="37"/>
    <x v="6"/>
    <x v="0"/>
    <x v="6"/>
    <x v="6"/>
    <n v="1"/>
    <n v="19124"/>
    <n v="10"/>
    <n v="1912.4"/>
    <n v="3098.09"/>
    <n v="257"/>
    <n v="20566.689999999999"/>
    <x v="3"/>
    <x v="1"/>
    <s v="Chandigarh"/>
    <x v="1"/>
    <x v="1"/>
    <n v="6"/>
    <x v="1"/>
    <n v="4"/>
    <s v="Cancelled"/>
  </r>
  <r>
    <s v="ORD00626"/>
    <x v="116"/>
    <s v="CUST682"/>
    <s v="Neha"/>
    <x v="0"/>
    <n v="54"/>
    <x v="9"/>
    <x v="0"/>
    <x v="9"/>
    <x v="6"/>
    <n v="1"/>
    <n v="23713"/>
    <n v="20"/>
    <n v="4742.6000000000004"/>
    <n v="3414.67"/>
    <n v="411"/>
    <n v="22796.07"/>
    <x v="0"/>
    <x v="1"/>
    <s v="Patiala"/>
    <x v="1"/>
    <x v="1"/>
    <n v="10"/>
    <x v="1"/>
    <n v="5"/>
    <s v="Delivered"/>
  </r>
  <r>
    <s v="ORD00627"/>
    <x v="48"/>
    <s v="CUST901"/>
    <s v="Rahul"/>
    <x v="1"/>
    <n v="58"/>
    <x v="1"/>
    <x v="0"/>
    <x v="1"/>
    <x v="2"/>
    <n v="3"/>
    <n v="34710"/>
    <n v="20"/>
    <n v="20826"/>
    <n v="14994.72"/>
    <n v="173"/>
    <n v="98471.72"/>
    <x v="1"/>
    <x v="1"/>
    <s v="Patiala"/>
    <x v="1"/>
    <x v="1"/>
    <n v="1"/>
    <x v="1"/>
    <n v="4"/>
    <s v="Shipped"/>
  </r>
  <r>
    <s v="ORD00628"/>
    <x v="51"/>
    <s v="CUST367"/>
    <s v="Riya"/>
    <x v="1"/>
    <n v="51"/>
    <x v="4"/>
    <x v="0"/>
    <x v="4"/>
    <x v="9"/>
    <n v="3"/>
    <n v="7140"/>
    <n v="0"/>
    <n v="0"/>
    <n v="3855.6"/>
    <n v="484"/>
    <n v="25759.599999999999"/>
    <x v="1"/>
    <x v="1"/>
    <s v="Chandigarh"/>
    <x v="1"/>
    <x v="1"/>
    <n v="3"/>
    <x v="1"/>
    <n v="3"/>
    <s v="Shipped"/>
  </r>
  <r>
    <s v="ORD00629"/>
    <x v="248"/>
    <s v="CUST491"/>
    <s v="Vikas"/>
    <x v="1"/>
    <n v="56"/>
    <x v="4"/>
    <x v="0"/>
    <x v="4"/>
    <x v="5"/>
    <n v="2"/>
    <n v="28239"/>
    <n v="20"/>
    <n v="11295.6"/>
    <n v="8132.83"/>
    <n v="103"/>
    <n v="53418.23"/>
    <x v="2"/>
    <x v="0"/>
    <s v="Lucknow"/>
    <x v="4"/>
    <x v="1"/>
    <n v="3"/>
    <x v="1"/>
    <n v="5"/>
    <s v="Returned"/>
  </r>
  <r>
    <s v="ORD00630"/>
    <x v="103"/>
    <s v="CUST815"/>
    <s v="Karan"/>
    <x v="0"/>
    <n v="49"/>
    <x v="8"/>
    <x v="0"/>
    <x v="8"/>
    <x v="3"/>
    <n v="4"/>
    <n v="48282"/>
    <n v="15"/>
    <n v="28969.200000000001"/>
    <n v="29548.58"/>
    <n v="35"/>
    <n v="193742.38"/>
    <x v="0"/>
    <x v="1"/>
    <s v="Lucknow"/>
    <x v="4"/>
    <x v="1"/>
    <n v="7"/>
    <x v="1"/>
    <n v="5"/>
    <s v="Shipped"/>
  </r>
  <r>
    <s v="ORD00631"/>
    <x v="68"/>
    <s v="CUST824"/>
    <s v="Sneha"/>
    <x v="0"/>
    <n v="26"/>
    <x v="4"/>
    <x v="0"/>
    <x v="4"/>
    <x v="8"/>
    <n v="4"/>
    <n v="32877"/>
    <n v="10"/>
    <n v="13150.8"/>
    <n v="21304.3"/>
    <n v="68"/>
    <n v="139729.5"/>
    <x v="0"/>
    <x v="1"/>
    <s v="Mumbai"/>
    <x v="0"/>
    <x v="0"/>
    <n v="1"/>
    <x v="1"/>
    <n v="3"/>
    <s v="Delivered"/>
  </r>
  <r>
    <s v="ORD00632"/>
    <x v="151"/>
    <s v="CUST617"/>
    <s v="Rahul"/>
    <x v="0"/>
    <n v="23"/>
    <x v="2"/>
    <x v="1"/>
    <x v="2"/>
    <x v="9"/>
    <n v="5"/>
    <n v="6859"/>
    <n v="20"/>
    <n v="6859"/>
    <n v="4938.4799999999996"/>
    <n v="489"/>
    <n v="32863.480000000003"/>
    <x v="3"/>
    <x v="0"/>
    <s v="Mumbai"/>
    <x v="0"/>
    <x v="0"/>
    <n v="8"/>
    <x v="0"/>
    <n v="1"/>
    <s v="Delivered"/>
  </r>
  <r>
    <s v="ORD00633"/>
    <x v="300"/>
    <s v="CUST306"/>
    <s v="Karan"/>
    <x v="0"/>
    <n v="56"/>
    <x v="4"/>
    <x v="0"/>
    <x v="4"/>
    <x v="1"/>
    <n v="5"/>
    <n v="6880"/>
    <n v="5"/>
    <n v="1720"/>
    <n v="5882.4"/>
    <n v="355"/>
    <n v="38917.4"/>
    <x v="1"/>
    <x v="1"/>
    <s v="Chandigarh"/>
    <x v="1"/>
    <x v="1"/>
    <n v="8"/>
    <x v="1"/>
    <n v="4"/>
    <s v="Delivered"/>
  </r>
  <r>
    <s v="ORD00634"/>
    <x v="149"/>
    <s v="CUST306"/>
    <s v="Riya"/>
    <x v="1"/>
    <n v="29"/>
    <x v="9"/>
    <x v="0"/>
    <x v="9"/>
    <x v="0"/>
    <n v="3"/>
    <n v="44405"/>
    <n v="20"/>
    <n v="26643"/>
    <n v="19182.96"/>
    <n v="188"/>
    <n v="125942.96"/>
    <x v="1"/>
    <x v="0"/>
    <s v="Bangalore"/>
    <x v="3"/>
    <x v="2"/>
    <n v="4"/>
    <x v="1"/>
    <n v="3"/>
    <s v="Delivered"/>
  </r>
  <r>
    <s v="ORD00635"/>
    <x v="159"/>
    <s v="CUST946"/>
    <s v="Priya"/>
    <x v="1"/>
    <n v="25"/>
    <x v="7"/>
    <x v="1"/>
    <x v="7"/>
    <x v="2"/>
    <n v="5"/>
    <n v="36886"/>
    <n v="20"/>
    <n v="36886"/>
    <n v="26557.919999999998"/>
    <n v="302"/>
    <n v="174403.92"/>
    <x v="3"/>
    <x v="1"/>
    <s v="Bangalore"/>
    <x v="3"/>
    <x v="2"/>
    <n v="2"/>
    <x v="1"/>
    <n v="3"/>
    <s v="Shipped"/>
  </r>
  <r>
    <s v="ORD00636"/>
    <x v="222"/>
    <s v="CUST310"/>
    <s v="Amit"/>
    <x v="0"/>
    <n v="31"/>
    <x v="8"/>
    <x v="0"/>
    <x v="8"/>
    <x v="8"/>
    <n v="4"/>
    <n v="42144"/>
    <n v="0"/>
    <n v="0"/>
    <n v="30343.68"/>
    <n v="24"/>
    <n v="198943.68"/>
    <x v="0"/>
    <x v="0"/>
    <s v="Pune"/>
    <x v="0"/>
    <x v="0"/>
    <n v="2"/>
    <x v="1"/>
    <n v="1"/>
    <s v="Shipped"/>
  </r>
  <r>
    <s v="ORD00637"/>
    <x v="254"/>
    <s v="CUST101"/>
    <s v="Vikas"/>
    <x v="1"/>
    <n v="28"/>
    <x v="9"/>
    <x v="0"/>
    <x v="9"/>
    <x v="1"/>
    <n v="4"/>
    <n v="48302"/>
    <n v="5"/>
    <n v="9660.4"/>
    <n v="33038.57"/>
    <n v="179"/>
    <n v="216765.17"/>
    <x v="1"/>
    <x v="1"/>
    <s v="Delhi"/>
    <x v="5"/>
    <x v="1"/>
    <n v="2"/>
    <x v="1"/>
    <n v="2"/>
    <s v="Returned"/>
  </r>
  <r>
    <s v="ORD00638"/>
    <x v="106"/>
    <s v="CUST483"/>
    <s v="Vikas"/>
    <x v="1"/>
    <n v="38"/>
    <x v="2"/>
    <x v="1"/>
    <x v="2"/>
    <x v="9"/>
    <n v="2"/>
    <n v="48941"/>
    <n v="20"/>
    <n v="19576.400000000001"/>
    <n v="14095.01"/>
    <n v="140"/>
    <n v="92540.61"/>
    <x v="0"/>
    <x v="0"/>
    <s v="Pune"/>
    <x v="0"/>
    <x v="0"/>
    <n v="3"/>
    <x v="1"/>
    <n v="1"/>
    <s v="Returned"/>
  </r>
  <r>
    <s v="ORD00639"/>
    <x v="16"/>
    <s v="CUST612"/>
    <s v="Arjun"/>
    <x v="0"/>
    <n v="60"/>
    <x v="1"/>
    <x v="0"/>
    <x v="1"/>
    <x v="9"/>
    <n v="3"/>
    <n v="2310"/>
    <n v="0"/>
    <n v="0"/>
    <n v="1247.4000000000001"/>
    <n v="179"/>
    <n v="8356.4"/>
    <x v="2"/>
    <x v="0"/>
    <s v="Patiala"/>
    <x v="1"/>
    <x v="1"/>
    <n v="8"/>
    <x v="1"/>
    <n v="2"/>
    <s v="Shipped"/>
  </r>
  <r>
    <s v="ORD00640"/>
    <x v="119"/>
    <s v="CUST381"/>
    <s v="Anjali"/>
    <x v="0"/>
    <n v="51"/>
    <x v="2"/>
    <x v="1"/>
    <x v="2"/>
    <x v="3"/>
    <n v="3"/>
    <n v="23961"/>
    <n v="15"/>
    <n v="10782.45"/>
    <n v="10998.1"/>
    <n v="321"/>
    <n v="72419.649999999994"/>
    <x v="2"/>
    <x v="0"/>
    <s v="Bangalore"/>
    <x v="3"/>
    <x v="2"/>
    <n v="5"/>
    <x v="1"/>
    <n v="3"/>
    <s v="Delivered"/>
  </r>
  <r>
    <s v="ORD00641"/>
    <x v="243"/>
    <s v="CUST944"/>
    <s v="Neha"/>
    <x v="1"/>
    <n v="46"/>
    <x v="2"/>
    <x v="1"/>
    <x v="2"/>
    <x v="0"/>
    <n v="1"/>
    <n v="4128"/>
    <n v="15"/>
    <n v="619.20000000000005"/>
    <n v="631.58000000000004"/>
    <n v="70"/>
    <n v="4210.38"/>
    <x v="0"/>
    <x v="0"/>
    <s v="Lucknow"/>
    <x v="4"/>
    <x v="1"/>
    <n v="6"/>
    <x v="0"/>
    <n v="4"/>
    <s v="Cancelled"/>
  </r>
  <r>
    <s v="ORD00642"/>
    <x v="239"/>
    <s v="CUST997"/>
    <s v="Riya"/>
    <x v="0"/>
    <n v="51"/>
    <x v="2"/>
    <x v="1"/>
    <x v="2"/>
    <x v="3"/>
    <n v="3"/>
    <n v="11238"/>
    <n v="10"/>
    <n v="3371.4"/>
    <n v="5461.67"/>
    <n v="201"/>
    <n v="36005.269999999997"/>
    <x v="3"/>
    <x v="1"/>
    <s v="Mumbai"/>
    <x v="0"/>
    <x v="0"/>
    <n v="5"/>
    <x v="0"/>
    <n v="1"/>
    <s v="Cancelled"/>
  </r>
  <r>
    <s v="ORD00643"/>
    <x v="21"/>
    <s v="CUST687"/>
    <s v="Amit"/>
    <x v="0"/>
    <n v="38"/>
    <x v="0"/>
    <x v="0"/>
    <x v="0"/>
    <x v="3"/>
    <n v="2"/>
    <n v="46694"/>
    <n v="10"/>
    <n v="9338.7999999999993"/>
    <n v="15128.86"/>
    <n v="86"/>
    <n v="99264.06"/>
    <x v="3"/>
    <x v="0"/>
    <s v="Jaipur"/>
    <x v="2"/>
    <x v="1"/>
    <n v="6"/>
    <x v="0"/>
    <n v="4"/>
    <s v="Shipped"/>
  </r>
  <r>
    <s v="ORD00644"/>
    <x v="25"/>
    <s v="CUST461"/>
    <s v="Priya"/>
    <x v="0"/>
    <n v="35"/>
    <x v="6"/>
    <x v="0"/>
    <x v="6"/>
    <x v="2"/>
    <n v="5"/>
    <n v="34344"/>
    <n v="20"/>
    <n v="34344"/>
    <n v="24727.68"/>
    <n v="473"/>
    <n v="162576.68"/>
    <x v="0"/>
    <x v="1"/>
    <s v="Delhi"/>
    <x v="5"/>
    <x v="1"/>
    <n v="5"/>
    <x v="1"/>
    <n v="5"/>
    <s v="Cancelled"/>
  </r>
  <r>
    <s v="ORD00645"/>
    <x v="24"/>
    <s v="CUST121"/>
    <s v="Neha"/>
    <x v="1"/>
    <n v="22"/>
    <x v="8"/>
    <x v="0"/>
    <x v="8"/>
    <x v="4"/>
    <n v="2"/>
    <n v="36921"/>
    <n v="20"/>
    <n v="14768.4"/>
    <n v="10633.25"/>
    <n v="288"/>
    <n v="69994.850000000006"/>
    <x v="2"/>
    <x v="1"/>
    <s v="Chandigarh"/>
    <x v="1"/>
    <x v="1"/>
    <n v="7"/>
    <x v="1"/>
    <n v="5"/>
    <s v="Cancelled"/>
  </r>
  <r>
    <s v="ORD00646"/>
    <x v="46"/>
    <s v="CUST299"/>
    <s v="Priya"/>
    <x v="0"/>
    <n v="34"/>
    <x v="0"/>
    <x v="0"/>
    <x v="0"/>
    <x v="6"/>
    <n v="3"/>
    <n v="4374"/>
    <n v="20"/>
    <n v="2624.4"/>
    <n v="1889.57"/>
    <n v="36"/>
    <n v="12423.17"/>
    <x v="3"/>
    <x v="1"/>
    <s v="Chandigarh"/>
    <x v="1"/>
    <x v="1"/>
    <n v="9"/>
    <x v="1"/>
    <n v="1"/>
    <s v="Shipped"/>
  </r>
  <r>
    <s v="ORD00647"/>
    <x v="90"/>
    <s v="CUST751"/>
    <s v="Amit"/>
    <x v="0"/>
    <n v="24"/>
    <x v="4"/>
    <x v="0"/>
    <x v="4"/>
    <x v="5"/>
    <n v="5"/>
    <n v="31044"/>
    <n v="20"/>
    <n v="31044"/>
    <n v="22351.68"/>
    <n v="403"/>
    <n v="146930.68"/>
    <x v="3"/>
    <x v="0"/>
    <s v="Jaipur"/>
    <x v="2"/>
    <x v="1"/>
    <n v="5"/>
    <x v="1"/>
    <n v="2"/>
    <s v="Returned"/>
  </r>
  <r>
    <s v="ORD00648"/>
    <x v="117"/>
    <s v="CUST434"/>
    <s v="Riya"/>
    <x v="1"/>
    <n v="57"/>
    <x v="3"/>
    <x v="2"/>
    <x v="3"/>
    <x v="3"/>
    <n v="3"/>
    <n v="43444"/>
    <n v="0"/>
    <n v="0"/>
    <n v="23459.759999999998"/>
    <n v="238"/>
    <n v="154029.76000000001"/>
    <x v="0"/>
    <x v="0"/>
    <s v="Pune"/>
    <x v="0"/>
    <x v="0"/>
    <n v="10"/>
    <x v="0"/>
    <n v="4"/>
    <s v="Shipped"/>
  </r>
  <r>
    <s v="ORD00649"/>
    <x v="131"/>
    <s v="CUST302"/>
    <s v="Vikas"/>
    <x v="0"/>
    <n v="41"/>
    <x v="1"/>
    <x v="0"/>
    <x v="1"/>
    <x v="0"/>
    <n v="2"/>
    <n v="38898"/>
    <n v="10"/>
    <n v="7779.6"/>
    <n v="12602.95"/>
    <n v="277"/>
    <n v="82896.350000000006"/>
    <x v="0"/>
    <x v="0"/>
    <s v="Chandigarh"/>
    <x v="1"/>
    <x v="1"/>
    <n v="10"/>
    <x v="0"/>
    <n v="1"/>
    <s v="Shipped"/>
  </r>
  <r>
    <s v="ORD00650"/>
    <x v="187"/>
    <s v="CUST858"/>
    <s v="Neha"/>
    <x v="1"/>
    <n v="51"/>
    <x v="5"/>
    <x v="0"/>
    <x v="5"/>
    <x v="0"/>
    <n v="3"/>
    <n v="25634"/>
    <n v="20"/>
    <n v="15380.4"/>
    <n v="11073.89"/>
    <n v="490"/>
    <n v="73085.490000000005"/>
    <x v="0"/>
    <x v="0"/>
    <s v="Patiala"/>
    <x v="1"/>
    <x v="1"/>
    <n v="10"/>
    <x v="0"/>
    <n v="1"/>
    <s v="Returned"/>
  </r>
  <r>
    <s v="ORD00651"/>
    <x v="186"/>
    <s v="CUST659"/>
    <s v="Anjali"/>
    <x v="1"/>
    <n v="36"/>
    <x v="4"/>
    <x v="0"/>
    <x v="4"/>
    <x v="3"/>
    <n v="1"/>
    <n v="18070"/>
    <n v="5"/>
    <n v="903.5"/>
    <n v="3089.97"/>
    <n v="495"/>
    <n v="20751.47"/>
    <x v="3"/>
    <x v="0"/>
    <s v="Patiala"/>
    <x v="1"/>
    <x v="1"/>
    <n v="6"/>
    <x v="0"/>
    <n v="4"/>
    <s v="Delivered"/>
  </r>
  <r>
    <s v="ORD00652"/>
    <x v="301"/>
    <s v="CUST265"/>
    <s v="Priya"/>
    <x v="1"/>
    <n v="56"/>
    <x v="1"/>
    <x v="0"/>
    <x v="1"/>
    <x v="2"/>
    <n v="1"/>
    <n v="25503"/>
    <n v="15"/>
    <n v="3825.45"/>
    <n v="3901.96"/>
    <n v="372"/>
    <n v="25951.51"/>
    <x v="3"/>
    <x v="1"/>
    <s v="Patiala"/>
    <x v="1"/>
    <x v="1"/>
    <n v="1"/>
    <x v="1"/>
    <n v="2"/>
    <s v="Returned"/>
  </r>
  <r>
    <s v="ORD00653"/>
    <x v="302"/>
    <s v="CUST130"/>
    <s v="Priya"/>
    <x v="0"/>
    <n v="48"/>
    <x v="5"/>
    <x v="0"/>
    <x v="5"/>
    <x v="1"/>
    <n v="3"/>
    <n v="23347"/>
    <n v="20"/>
    <n v="14008.2"/>
    <n v="10085.9"/>
    <n v="18"/>
    <n v="66136.7"/>
    <x v="3"/>
    <x v="0"/>
    <s v="Jaipur"/>
    <x v="2"/>
    <x v="1"/>
    <n v="4"/>
    <x v="0"/>
    <n v="2"/>
    <s v="Shipped"/>
  </r>
  <r>
    <s v="ORD00654"/>
    <x v="40"/>
    <s v="CUST198"/>
    <s v="Sneha"/>
    <x v="1"/>
    <n v="37"/>
    <x v="9"/>
    <x v="0"/>
    <x v="9"/>
    <x v="9"/>
    <n v="3"/>
    <n v="34998"/>
    <n v="0"/>
    <n v="0"/>
    <n v="18898.919999999998"/>
    <n v="218"/>
    <n v="124110.92"/>
    <x v="3"/>
    <x v="0"/>
    <s v="Chandigarh"/>
    <x v="1"/>
    <x v="1"/>
    <n v="3"/>
    <x v="1"/>
    <n v="5"/>
    <s v="Returned"/>
  </r>
  <r>
    <s v="ORD00655"/>
    <x v="249"/>
    <s v="CUST387"/>
    <s v="Sneha"/>
    <x v="1"/>
    <n v="60"/>
    <x v="7"/>
    <x v="1"/>
    <x v="7"/>
    <x v="6"/>
    <n v="2"/>
    <n v="20237"/>
    <n v="20"/>
    <n v="8094.8"/>
    <n v="5828.26"/>
    <n v="329"/>
    <n v="38536.46"/>
    <x v="2"/>
    <x v="0"/>
    <s v="Jaipur"/>
    <x v="2"/>
    <x v="1"/>
    <n v="3"/>
    <x v="1"/>
    <n v="4"/>
    <s v="Shipped"/>
  </r>
  <r>
    <s v="ORD00656"/>
    <x v="303"/>
    <s v="CUST478"/>
    <s v="Rahul"/>
    <x v="0"/>
    <n v="30"/>
    <x v="8"/>
    <x v="0"/>
    <x v="8"/>
    <x v="0"/>
    <n v="5"/>
    <n v="48600"/>
    <n v="15"/>
    <n v="36450"/>
    <n v="37179"/>
    <n v="201"/>
    <n v="243930"/>
    <x v="3"/>
    <x v="1"/>
    <s v="Pune"/>
    <x v="0"/>
    <x v="0"/>
    <n v="8"/>
    <x v="0"/>
    <n v="1"/>
    <s v="Delivered"/>
  </r>
  <r>
    <s v="ORD00657"/>
    <x v="115"/>
    <s v="CUST328"/>
    <s v="Karan"/>
    <x v="0"/>
    <n v="32"/>
    <x v="0"/>
    <x v="0"/>
    <x v="0"/>
    <x v="3"/>
    <n v="5"/>
    <n v="22607"/>
    <n v="15"/>
    <n v="16955.25"/>
    <n v="17294.349999999999"/>
    <n v="90"/>
    <n v="113464.1"/>
    <x v="2"/>
    <x v="0"/>
    <s v="Mumbai"/>
    <x v="0"/>
    <x v="0"/>
    <n v="6"/>
    <x v="0"/>
    <n v="5"/>
    <s v="Shipped"/>
  </r>
  <r>
    <s v="ORD00658"/>
    <x v="92"/>
    <s v="CUST412"/>
    <s v="Priya"/>
    <x v="1"/>
    <n v="19"/>
    <x v="6"/>
    <x v="0"/>
    <x v="6"/>
    <x v="3"/>
    <n v="3"/>
    <n v="35119"/>
    <n v="10"/>
    <n v="10535.7"/>
    <n v="17067.830000000002"/>
    <n v="267"/>
    <n v="112156.13"/>
    <x v="1"/>
    <x v="0"/>
    <s v="Jaipur"/>
    <x v="2"/>
    <x v="1"/>
    <n v="5"/>
    <x v="1"/>
    <n v="2"/>
    <s v="Shipped"/>
  </r>
  <r>
    <s v="ORD00659"/>
    <x v="304"/>
    <s v="CUST559"/>
    <s v="Rahul"/>
    <x v="0"/>
    <n v="49"/>
    <x v="5"/>
    <x v="0"/>
    <x v="5"/>
    <x v="2"/>
    <n v="1"/>
    <n v="23303"/>
    <n v="10"/>
    <n v="2330.3000000000002"/>
    <n v="3775.09"/>
    <n v="211"/>
    <n v="24958.79"/>
    <x v="2"/>
    <x v="0"/>
    <s v="Delhi"/>
    <x v="5"/>
    <x v="1"/>
    <n v="10"/>
    <x v="1"/>
    <n v="5"/>
    <s v="Delivered"/>
  </r>
  <r>
    <s v="ORD00660"/>
    <x v="305"/>
    <s v="CUST210"/>
    <s v="Priya"/>
    <x v="1"/>
    <n v="47"/>
    <x v="5"/>
    <x v="0"/>
    <x v="5"/>
    <x v="8"/>
    <n v="2"/>
    <n v="47952"/>
    <n v="20"/>
    <n v="19180.8"/>
    <n v="13810.18"/>
    <n v="396"/>
    <n v="90929.38"/>
    <x v="3"/>
    <x v="0"/>
    <s v="Pune"/>
    <x v="0"/>
    <x v="0"/>
    <n v="6"/>
    <x v="0"/>
    <n v="4"/>
    <s v="Shipped"/>
  </r>
  <r>
    <s v="ORD00661"/>
    <x v="169"/>
    <s v="CUST370"/>
    <s v="Vikas"/>
    <x v="1"/>
    <n v="56"/>
    <x v="0"/>
    <x v="0"/>
    <x v="0"/>
    <x v="5"/>
    <n v="5"/>
    <n v="32236"/>
    <n v="0"/>
    <n v="0"/>
    <n v="29012.400000000001"/>
    <n v="327"/>
    <n v="190519.4"/>
    <x v="2"/>
    <x v="0"/>
    <s v="Chandigarh"/>
    <x v="1"/>
    <x v="1"/>
    <n v="6"/>
    <x v="0"/>
    <n v="4"/>
    <s v="Returned"/>
  </r>
  <r>
    <s v="ORD00662"/>
    <x v="303"/>
    <s v="CUST631"/>
    <s v="Amit"/>
    <x v="1"/>
    <n v="29"/>
    <x v="5"/>
    <x v="0"/>
    <x v="5"/>
    <x v="9"/>
    <n v="1"/>
    <n v="35972"/>
    <n v="5"/>
    <n v="1798.6"/>
    <n v="6151.21"/>
    <n v="96"/>
    <n v="40420.61"/>
    <x v="2"/>
    <x v="0"/>
    <s v="Bangalore"/>
    <x v="3"/>
    <x v="2"/>
    <n v="10"/>
    <x v="0"/>
    <n v="4"/>
    <s v="Returned"/>
  </r>
  <r>
    <s v="ORD00663"/>
    <x v="275"/>
    <s v="CUST604"/>
    <s v="Arjun"/>
    <x v="0"/>
    <n v="34"/>
    <x v="8"/>
    <x v="0"/>
    <x v="8"/>
    <x v="0"/>
    <n v="3"/>
    <n v="43548"/>
    <n v="10"/>
    <n v="13064.4"/>
    <n v="21164.33"/>
    <n v="336"/>
    <n v="139079.93"/>
    <x v="2"/>
    <x v="0"/>
    <s v="Patiala"/>
    <x v="1"/>
    <x v="1"/>
    <n v="8"/>
    <x v="0"/>
    <n v="4"/>
    <s v="Returned"/>
  </r>
  <r>
    <s v="ORD00664"/>
    <x v="301"/>
    <s v="CUST334"/>
    <s v="Anjali"/>
    <x v="0"/>
    <n v="54"/>
    <x v="4"/>
    <x v="0"/>
    <x v="4"/>
    <x v="4"/>
    <n v="4"/>
    <n v="7915"/>
    <n v="10"/>
    <n v="3166"/>
    <n v="5128.92"/>
    <n v="361"/>
    <n v="33983.919999999998"/>
    <x v="0"/>
    <x v="0"/>
    <s v="Bangalore"/>
    <x v="3"/>
    <x v="2"/>
    <n v="5"/>
    <x v="1"/>
    <n v="1"/>
    <s v="Returned"/>
  </r>
  <r>
    <s v="ORD00665"/>
    <x v="61"/>
    <s v="CUST718"/>
    <s v="Karan"/>
    <x v="1"/>
    <n v="45"/>
    <x v="9"/>
    <x v="0"/>
    <x v="9"/>
    <x v="5"/>
    <n v="3"/>
    <n v="3759"/>
    <n v="0"/>
    <n v="0"/>
    <n v="2029.86"/>
    <n v="446"/>
    <n v="13752.86"/>
    <x v="1"/>
    <x v="0"/>
    <s v="Jaipur"/>
    <x v="2"/>
    <x v="1"/>
    <n v="4"/>
    <x v="0"/>
    <n v="4"/>
    <s v="Delivered"/>
  </r>
  <r>
    <s v="ORD00666"/>
    <x v="141"/>
    <s v="CUST246"/>
    <s v="Neha"/>
    <x v="1"/>
    <n v="18"/>
    <x v="7"/>
    <x v="1"/>
    <x v="7"/>
    <x v="7"/>
    <n v="1"/>
    <n v="17726"/>
    <n v="10"/>
    <n v="1772.6"/>
    <n v="2871.61"/>
    <n v="165"/>
    <n v="18990.009999999998"/>
    <x v="0"/>
    <x v="0"/>
    <s v="Chandigarh"/>
    <x v="1"/>
    <x v="1"/>
    <n v="8"/>
    <x v="1"/>
    <n v="5"/>
    <s v="Returned"/>
  </r>
  <r>
    <s v="ORD00667"/>
    <x v="135"/>
    <s v="CUST424"/>
    <s v="Priya"/>
    <x v="0"/>
    <n v="56"/>
    <x v="7"/>
    <x v="1"/>
    <x v="7"/>
    <x v="1"/>
    <n v="3"/>
    <n v="13518"/>
    <n v="0"/>
    <n v="0"/>
    <n v="7299.72"/>
    <n v="220"/>
    <n v="48073.72"/>
    <x v="0"/>
    <x v="1"/>
    <s v="Patiala"/>
    <x v="1"/>
    <x v="1"/>
    <n v="9"/>
    <x v="0"/>
    <n v="4"/>
    <s v="Returned"/>
  </r>
  <r>
    <s v="ORD00668"/>
    <x v="266"/>
    <s v="CUST826"/>
    <s v="Karan"/>
    <x v="0"/>
    <n v="43"/>
    <x v="0"/>
    <x v="0"/>
    <x v="0"/>
    <x v="8"/>
    <n v="5"/>
    <n v="48662"/>
    <n v="0"/>
    <n v="0"/>
    <n v="43795.8"/>
    <n v="270"/>
    <n v="287375.8"/>
    <x v="1"/>
    <x v="1"/>
    <s v="Mumbai"/>
    <x v="0"/>
    <x v="0"/>
    <n v="10"/>
    <x v="0"/>
    <n v="5"/>
    <s v="Delivered"/>
  </r>
  <r>
    <s v="ORD00669"/>
    <x v="261"/>
    <s v="CUST867"/>
    <s v="Sneha"/>
    <x v="1"/>
    <n v="32"/>
    <x v="1"/>
    <x v="0"/>
    <x v="1"/>
    <x v="6"/>
    <n v="4"/>
    <n v="48803"/>
    <n v="0"/>
    <n v="0"/>
    <n v="35138.160000000003"/>
    <n v="191"/>
    <n v="230541.16"/>
    <x v="3"/>
    <x v="0"/>
    <s v="Mumbai"/>
    <x v="0"/>
    <x v="0"/>
    <n v="2"/>
    <x v="0"/>
    <n v="2"/>
    <s v="Returned"/>
  </r>
  <r>
    <s v="ORD00670"/>
    <x v="155"/>
    <s v="CUST802"/>
    <s v="Priya"/>
    <x v="0"/>
    <n v="33"/>
    <x v="4"/>
    <x v="0"/>
    <x v="4"/>
    <x v="2"/>
    <n v="1"/>
    <n v="20388"/>
    <n v="0"/>
    <n v="0"/>
    <n v="3669.84"/>
    <n v="118"/>
    <n v="24175.84"/>
    <x v="2"/>
    <x v="0"/>
    <s v="Chandigarh"/>
    <x v="1"/>
    <x v="1"/>
    <n v="2"/>
    <x v="1"/>
    <n v="2"/>
    <s v="Shipped"/>
  </r>
  <r>
    <s v="ORD00671"/>
    <x v="133"/>
    <s v="CUST272"/>
    <s v="Karan"/>
    <x v="0"/>
    <n v="54"/>
    <x v="2"/>
    <x v="1"/>
    <x v="2"/>
    <x v="3"/>
    <n v="1"/>
    <n v="38234"/>
    <n v="15"/>
    <n v="5735.1"/>
    <n v="5849.8"/>
    <n v="117"/>
    <n v="38465.699999999997"/>
    <x v="0"/>
    <x v="0"/>
    <s v="Pune"/>
    <x v="0"/>
    <x v="0"/>
    <n v="6"/>
    <x v="1"/>
    <n v="3"/>
    <s v="Cancelled"/>
  </r>
  <r>
    <s v="ORD00672"/>
    <x v="102"/>
    <s v="CUST650"/>
    <s v="Arjun"/>
    <x v="1"/>
    <n v="26"/>
    <x v="8"/>
    <x v="0"/>
    <x v="8"/>
    <x v="7"/>
    <n v="3"/>
    <n v="36323"/>
    <n v="10"/>
    <n v="10896.9"/>
    <n v="17652.98"/>
    <n v="446"/>
    <n v="116171.08"/>
    <x v="3"/>
    <x v="0"/>
    <s v="Pune"/>
    <x v="0"/>
    <x v="0"/>
    <n v="3"/>
    <x v="0"/>
    <n v="2"/>
    <s v="Delivered"/>
  </r>
  <r>
    <s v="ORD00673"/>
    <x v="225"/>
    <s v="CUST513"/>
    <s v="Riya"/>
    <x v="0"/>
    <n v="28"/>
    <x v="0"/>
    <x v="0"/>
    <x v="0"/>
    <x v="4"/>
    <n v="1"/>
    <n v="37469"/>
    <n v="10"/>
    <n v="3746.9"/>
    <n v="6069.98"/>
    <n v="343"/>
    <n v="40135.08"/>
    <x v="1"/>
    <x v="1"/>
    <s v="Pune"/>
    <x v="0"/>
    <x v="0"/>
    <n v="8"/>
    <x v="1"/>
    <n v="3"/>
    <s v="Shipped"/>
  </r>
  <r>
    <s v="ORD00674"/>
    <x v="119"/>
    <s v="CUST838"/>
    <s v="Amit"/>
    <x v="0"/>
    <n v="40"/>
    <x v="3"/>
    <x v="2"/>
    <x v="3"/>
    <x v="3"/>
    <n v="2"/>
    <n v="8036"/>
    <n v="15"/>
    <n v="2410.8000000000002"/>
    <n v="2459.02"/>
    <n v="129"/>
    <n v="16249.22"/>
    <x v="0"/>
    <x v="1"/>
    <s v="Jaipur"/>
    <x v="2"/>
    <x v="1"/>
    <n v="8"/>
    <x v="1"/>
    <n v="5"/>
    <s v="Returned"/>
  </r>
  <r>
    <s v="ORD00675"/>
    <x v="30"/>
    <s v="CUST753"/>
    <s v="Rahul"/>
    <x v="1"/>
    <n v="34"/>
    <x v="2"/>
    <x v="1"/>
    <x v="2"/>
    <x v="9"/>
    <n v="1"/>
    <n v="7033"/>
    <n v="0"/>
    <n v="0"/>
    <n v="1265.94"/>
    <n v="330"/>
    <n v="8628.94"/>
    <x v="2"/>
    <x v="1"/>
    <s v="Delhi"/>
    <x v="5"/>
    <x v="1"/>
    <n v="9"/>
    <x v="0"/>
    <n v="5"/>
    <s v="Returned"/>
  </r>
  <r>
    <s v="ORD00676"/>
    <x v="262"/>
    <s v="CUST296"/>
    <s v="Rahul"/>
    <x v="1"/>
    <n v="54"/>
    <x v="3"/>
    <x v="2"/>
    <x v="3"/>
    <x v="7"/>
    <n v="3"/>
    <n v="21275"/>
    <n v="10"/>
    <n v="6382.5"/>
    <n v="10339.65"/>
    <n v="126"/>
    <n v="67908.149999999994"/>
    <x v="3"/>
    <x v="0"/>
    <s v="Jaipur"/>
    <x v="2"/>
    <x v="1"/>
    <n v="7"/>
    <x v="1"/>
    <n v="5"/>
    <s v="Returned"/>
  </r>
  <r>
    <s v="ORD00677"/>
    <x v="128"/>
    <s v="CUST344"/>
    <s v="Neha"/>
    <x v="0"/>
    <n v="26"/>
    <x v="1"/>
    <x v="0"/>
    <x v="1"/>
    <x v="0"/>
    <n v="1"/>
    <n v="30273"/>
    <n v="0"/>
    <n v="0"/>
    <n v="5449.14"/>
    <n v="128"/>
    <n v="35850.14"/>
    <x v="1"/>
    <x v="0"/>
    <s v="Lucknow"/>
    <x v="4"/>
    <x v="1"/>
    <n v="3"/>
    <x v="1"/>
    <n v="2"/>
    <s v="Shipped"/>
  </r>
  <r>
    <s v="ORD00678"/>
    <x v="187"/>
    <s v="CUST121"/>
    <s v="Karan"/>
    <x v="0"/>
    <n v="46"/>
    <x v="1"/>
    <x v="0"/>
    <x v="1"/>
    <x v="4"/>
    <n v="5"/>
    <n v="35557"/>
    <n v="20"/>
    <n v="35557"/>
    <n v="25601.040000000001"/>
    <n v="86"/>
    <n v="167915.04"/>
    <x v="2"/>
    <x v="0"/>
    <s v="Mumbai"/>
    <x v="0"/>
    <x v="0"/>
    <n v="9"/>
    <x v="1"/>
    <n v="1"/>
    <s v="Returned"/>
  </r>
  <r>
    <s v="ORD00679"/>
    <x v="306"/>
    <s v="CUST683"/>
    <s v="Sneha"/>
    <x v="1"/>
    <n v="43"/>
    <x v="5"/>
    <x v="0"/>
    <x v="5"/>
    <x v="7"/>
    <n v="4"/>
    <n v="43332"/>
    <n v="20"/>
    <n v="34665.599999999999"/>
    <n v="24959.23"/>
    <n v="354"/>
    <n v="163975.63"/>
    <x v="2"/>
    <x v="1"/>
    <s v="Lucknow"/>
    <x v="4"/>
    <x v="1"/>
    <n v="1"/>
    <x v="1"/>
    <n v="4"/>
    <s v="Delivered"/>
  </r>
  <r>
    <s v="ORD00680"/>
    <x v="205"/>
    <s v="CUST101"/>
    <s v="Arjun"/>
    <x v="1"/>
    <n v="41"/>
    <x v="8"/>
    <x v="0"/>
    <x v="8"/>
    <x v="7"/>
    <n v="5"/>
    <n v="10495"/>
    <n v="10"/>
    <n v="5247.5"/>
    <n v="8500.9500000000007"/>
    <n v="92"/>
    <n v="55820.45"/>
    <x v="3"/>
    <x v="1"/>
    <s v="Patiala"/>
    <x v="1"/>
    <x v="1"/>
    <n v="8"/>
    <x v="0"/>
    <n v="4"/>
    <s v="Delivered"/>
  </r>
  <r>
    <s v="ORD00681"/>
    <x v="229"/>
    <s v="CUST731"/>
    <s v="Arjun"/>
    <x v="0"/>
    <n v="19"/>
    <x v="6"/>
    <x v="0"/>
    <x v="6"/>
    <x v="5"/>
    <n v="4"/>
    <n v="8623"/>
    <n v="5"/>
    <n v="1724.6"/>
    <n v="5898.13"/>
    <n v="358"/>
    <n v="39023.53"/>
    <x v="0"/>
    <x v="1"/>
    <s v="Lucknow"/>
    <x v="4"/>
    <x v="1"/>
    <n v="9"/>
    <x v="1"/>
    <n v="2"/>
    <s v="Returned"/>
  </r>
  <r>
    <s v="ORD00682"/>
    <x v="243"/>
    <s v="CUST427"/>
    <s v="Rahul"/>
    <x v="1"/>
    <n v="33"/>
    <x v="5"/>
    <x v="0"/>
    <x v="5"/>
    <x v="8"/>
    <n v="1"/>
    <n v="12855"/>
    <n v="0"/>
    <n v="0"/>
    <n v="2313.9"/>
    <n v="289"/>
    <n v="15457.9"/>
    <x v="3"/>
    <x v="1"/>
    <s v="Chandigarh"/>
    <x v="1"/>
    <x v="1"/>
    <n v="1"/>
    <x v="1"/>
    <n v="2"/>
    <s v="Delivered"/>
  </r>
  <r>
    <s v="ORD00683"/>
    <x v="94"/>
    <s v="CUST996"/>
    <s v="Arjun"/>
    <x v="0"/>
    <n v="38"/>
    <x v="7"/>
    <x v="1"/>
    <x v="7"/>
    <x v="8"/>
    <n v="5"/>
    <n v="7313"/>
    <n v="10"/>
    <n v="3656.5"/>
    <n v="5923.53"/>
    <n v="78"/>
    <n v="38910.03"/>
    <x v="1"/>
    <x v="0"/>
    <s v="Lucknow"/>
    <x v="4"/>
    <x v="1"/>
    <n v="1"/>
    <x v="1"/>
    <n v="3"/>
    <s v="Shipped"/>
  </r>
  <r>
    <s v="ORD00684"/>
    <x v="307"/>
    <s v="CUST667"/>
    <s v="Karan"/>
    <x v="0"/>
    <n v="29"/>
    <x v="5"/>
    <x v="0"/>
    <x v="5"/>
    <x v="5"/>
    <n v="1"/>
    <n v="19819"/>
    <n v="0"/>
    <n v="0"/>
    <n v="3567.42"/>
    <n v="273"/>
    <n v="23659.42"/>
    <x v="0"/>
    <x v="1"/>
    <s v="Mumbai"/>
    <x v="0"/>
    <x v="0"/>
    <n v="3"/>
    <x v="1"/>
    <n v="2"/>
    <s v="Delivered"/>
  </r>
  <r>
    <s v="ORD00685"/>
    <x v="228"/>
    <s v="CUST835"/>
    <s v="Karan"/>
    <x v="1"/>
    <n v="30"/>
    <x v="0"/>
    <x v="0"/>
    <x v="0"/>
    <x v="7"/>
    <n v="5"/>
    <n v="49125"/>
    <n v="0"/>
    <n v="0"/>
    <n v="44212.5"/>
    <n v="132"/>
    <n v="289969.5"/>
    <x v="2"/>
    <x v="1"/>
    <s v="Lucknow"/>
    <x v="4"/>
    <x v="1"/>
    <n v="2"/>
    <x v="0"/>
    <n v="1"/>
    <s v="Cancelled"/>
  </r>
  <r>
    <s v="ORD00686"/>
    <x v="301"/>
    <s v="CUST384"/>
    <s v="Priya"/>
    <x v="0"/>
    <n v="56"/>
    <x v="3"/>
    <x v="2"/>
    <x v="3"/>
    <x v="3"/>
    <n v="3"/>
    <n v="40023"/>
    <n v="5"/>
    <n v="6003.45"/>
    <n v="20531.8"/>
    <n v="233"/>
    <n v="134830.35"/>
    <x v="0"/>
    <x v="1"/>
    <s v="Jaipur"/>
    <x v="2"/>
    <x v="1"/>
    <n v="1"/>
    <x v="0"/>
    <n v="2"/>
    <s v="Delivered"/>
  </r>
  <r>
    <s v="ORD00687"/>
    <x v="146"/>
    <s v="CUST408"/>
    <s v="Sneha"/>
    <x v="0"/>
    <n v="56"/>
    <x v="0"/>
    <x v="0"/>
    <x v="0"/>
    <x v="4"/>
    <n v="1"/>
    <n v="11177"/>
    <n v="20"/>
    <n v="2235.4"/>
    <n v="1609.49"/>
    <n v="174"/>
    <n v="10725.09"/>
    <x v="2"/>
    <x v="1"/>
    <s v="Jaipur"/>
    <x v="2"/>
    <x v="1"/>
    <n v="10"/>
    <x v="0"/>
    <n v="5"/>
    <s v="Returned"/>
  </r>
  <r>
    <s v="ORD00688"/>
    <x v="307"/>
    <s v="CUST737"/>
    <s v="Priya"/>
    <x v="0"/>
    <n v="44"/>
    <x v="4"/>
    <x v="0"/>
    <x v="4"/>
    <x v="3"/>
    <n v="4"/>
    <n v="43124"/>
    <n v="15"/>
    <n v="25874.400000000001"/>
    <n v="26391.89"/>
    <n v="187"/>
    <n v="173200.49"/>
    <x v="0"/>
    <x v="1"/>
    <s v="Delhi"/>
    <x v="5"/>
    <x v="1"/>
    <n v="8"/>
    <x v="1"/>
    <n v="3"/>
    <s v="Shipped"/>
  </r>
  <r>
    <s v="ORD00689"/>
    <x v="11"/>
    <s v="CUST700"/>
    <s v="Anjali"/>
    <x v="0"/>
    <n v="51"/>
    <x v="4"/>
    <x v="0"/>
    <x v="4"/>
    <x v="9"/>
    <n v="1"/>
    <n v="1063"/>
    <n v="5"/>
    <n v="53.15"/>
    <n v="181.77"/>
    <n v="2"/>
    <n v="1193.6199999999999"/>
    <x v="0"/>
    <x v="0"/>
    <s v="Delhi"/>
    <x v="5"/>
    <x v="1"/>
    <n v="6"/>
    <x v="1"/>
    <n v="5"/>
    <s v="Delivered"/>
  </r>
  <r>
    <s v="ORD00690"/>
    <x v="93"/>
    <s v="CUST234"/>
    <s v="Amit"/>
    <x v="1"/>
    <n v="34"/>
    <x v="4"/>
    <x v="0"/>
    <x v="4"/>
    <x v="5"/>
    <n v="2"/>
    <n v="862"/>
    <n v="0"/>
    <n v="0"/>
    <n v="310.32"/>
    <n v="38"/>
    <n v="2072.3200000000002"/>
    <x v="2"/>
    <x v="1"/>
    <s v="Patiala"/>
    <x v="1"/>
    <x v="1"/>
    <n v="4"/>
    <x v="1"/>
    <n v="5"/>
    <s v="Returned"/>
  </r>
  <r>
    <s v="ORD00691"/>
    <x v="193"/>
    <s v="CUST195"/>
    <s v="Karan"/>
    <x v="0"/>
    <n v="18"/>
    <x v="7"/>
    <x v="1"/>
    <x v="7"/>
    <x v="8"/>
    <n v="3"/>
    <n v="48398"/>
    <n v="0"/>
    <n v="0"/>
    <n v="26134.92"/>
    <n v="450"/>
    <n v="171778.92"/>
    <x v="3"/>
    <x v="0"/>
    <s v="Pune"/>
    <x v="0"/>
    <x v="0"/>
    <n v="1"/>
    <x v="1"/>
    <n v="5"/>
    <s v="Shipped"/>
  </r>
  <r>
    <s v="ORD00692"/>
    <x v="308"/>
    <s v="CUST176"/>
    <s v="Riya"/>
    <x v="1"/>
    <n v="57"/>
    <x v="8"/>
    <x v="0"/>
    <x v="8"/>
    <x v="5"/>
    <n v="4"/>
    <n v="39778"/>
    <n v="10"/>
    <n v="15911.2"/>
    <n v="25776.14"/>
    <n v="252"/>
    <n v="169228.94"/>
    <x v="0"/>
    <x v="0"/>
    <s v="Patiala"/>
    <x v="1"/>
    <x v="1"/>
    <n v="6"/>
    <x v="1"/>
    <n v="5"/>
    <s v="Delivered"/>
  </r>
  <r>
    <s v="ORD00693"/>
    <x v="309"/>
    <s v="CUST511"/>
    <s v="Neha"/>
    <x v="0"/>
    <n v="42"/>
    <x v="7"/>
    <x v="1"/>
    <x v="7"/>
    <x v="7"/>
    <n v="2"/>
    <n v="25407"/>
    <n v="0"/>
    <n v="0"/>
    <n v="9146.52"/>
    <n v="193"/>
    <n v="60153.52"/>
    <x v="3"/>
    <x v="0"/>
    <s v="Chandigarh"/>
    <x v="1"/>
    <x v="1"/>
    <n v="5"/>
    <x v="0"/>
    <n v="3"/>
    <s v="Shipped"/>
  </r>
  <r>
    <s v="ORD00694"/>
    <x v="76"/>
    <s v="CUST471"/>
    <s v="Priya"/>
    <x v="1"/>
    <n v="33"/>
    <x v="3"/>
    <x v="2"/>
    <x v="3"/>
    <x v="2"/>
    <n v="1"/>
    <n v="34030"/>
    <n v="5"/>
    <n v="1701.5"/>
    <n v="5819.13"/>
    <n v="148"/>
    <n v="38295.629999999997"/>
    <x v="0"/>
    <x v="0"/>
    <s v="Patiala"/>
    <x v="1"/>
    <x v="1"/>
    <n v="5"/>
    <x v="1"/>
    <n v="5"/>
    <s v="Delivered"/>
  </r>
  <r>
    <s v="ORD00695"/>
    <x v="76"/>
    <s v="CUST451"/>
    <s v="Rahul"/>
    <x v="0"/>
    <n v="55"/>
    <x v="1"/>
    <x v="0"/>
    <x v="1"/>
    <x v="7"/>
    <n v="2"/>
    <n v="27846"/>
    <n v="20"/>
    <n v="11138.4"/>
    <n v="8019.65"/>
    <n v="421"/>
    <n v="52994.25"/>
    <x v="3"/>
    <x v="1"/>
    <s v="Delhi"/>
    <x v="5"/>
    <x v="1"/>
    <n v="4"/>
    <x v="1"/>
    <n v="5"/>
    <s v="Shipped"/>
  </r>
  <r>
    <s v="ORD00696"/>
    <x v="143"/>
    <s v="CUST876"/>
    <s v="Vikas"/>
    <x v="1"/>
    <n v="52"/>
    <x v="8"/>
    <x v="0"/>
    <x v="8"/>
    <x v="4"/>
    <n v="1"/>
    <n v="38289"/>
    <n v="15"/>
    <n v="5743.35"/>
    <n v="5858.22"/>
    <n v="315"/>
    <n v="38718.870000000003"/>
    <x v="0"/>
    <x v="1"/>
    <s v="Bangalore"/>
    <x v="3"/>
    <x v="2"/>
    <n v="3"/>
    <x v="1"/>
    <n v="2"/>
    <s v="Cancelled"/>
  </r>
  <r>
    <s v="ORD00697"/>
    <x v="135"/>
    <s v="CUST104"/>
    <s v="Sneha"/>
    <x v="0"/>
    <n v="46"/>
    <x v="1"/>
    <x v="0"/>
    <x v="1"/>
    <x v="4"/>
    <n v="3"/>
    <n v="40712"/>
    <n v="0"/>
    <n v="0"/>
    <n v="21984.48"/>
    <n v="238"/>
    <n v="144358.48000000001"/>
    <x v="0"/>
    <x v="1"/>
    <s v="Lucknow"/>
    <x v="4"/>
    <x v="1"/>
    <n v="5"/>
    <x v="0"/>
    <n v="5"/>
    <s v="Cancelled"/>
  </r>
  <r>
    <s v="ORD00698"/>
    <x v="310"/>
    <s v="CUST663"/>
    <s v="Amit"/>
    <x v="0"/>
    <n v="23"/>
    <x v="1"/>
    <x v="0"/>
    <x v="1"/>
    <x v="7"/>
    <n v="1"/>
    <n v="38286"/>
    <n v="5"/>
    <n v="1914.3"/>
    <n v="6546.91"/>
    <n v="264"/>
    <n v="43182.61"/>
    <x v="2"/>
    <x v="1"/>
    <s v="Mumbai"/>
    <x v="0"/>
    <x v="0"/>
    <n v="4"/>
    <x v="1"/>
    <n v="4"/>
    <s v="Shipped"/>
  </r>
  <r>
    <s v="ORD00699"/>
    <x v="157"/>
    <s v="CUST149"/>
    <s v="Arjun"/>
    <x v="1"/>
    <n v="21"/>
    <x v="3"/>
    <x v="2"/>
    <x v="3"/>
    <x v="8"/>
    <n v="3"/>
    <n v="38505"/>
    <n v="10"/>
    <n v="11551.5"/>
    <n v="18713.43"/>
    <n v="469"/>
    <n v="123145.93"/>
    <x v="3"/>
    <x v="0"/>
    <s v="Lucknow"/>
    <x v="4"/>
    <x v="1"/>
    <n v="7"/>
    <x v="0"/>
    <n v="1"/>
    <s v="Delivered"/>
  </r>
  <r>
    <s v="ORD00700"/>
    <x v="202"/>
    <s v="CUST208"/>
    <s v="Arjun"/>
    <x v="0"/>
    <n v="41"/>
    <x v="9"/>
    <x v="0"/>
    <x v="9"/>
    <x v="4"/>
    <n v="1"/>
    <n v="37853"/>
    <n v="20"/>
    <n v="7570.6"/>
    <n v="5450.83"/>
    <n v="363"/>
    <n v="36096.230000000003"/>
    <x v="2"/>
    <x v="0"/>
    <s v="Bangalore"/>
    <x v="3"/>
    <x v="2"/>
    <n v="3"/>
    <x v="0"/>
    <n v="1"/>
    <s v="Cancelled"/>
  </r>
  <r>
    <s v="ORD00701"/>
    <x v="212"/>
    <s v="CUST724"/>
    <s v="Riya"/>
    <x v="0"/>
    <n v="46"/>
    <x v="9"/>
    <x v="0"/>
    <x v="9"/>
    <x v="1"/>
    <n v="1"/>
    <n v="23378"/>
    <n v="5"/>
    <n v="1168.9000000000001"/>
    <n v="3997.64"/>
    <n v="1"/>
    <n v="26207.74"/>
    <x v="0"/>
    <x v="0"/>
    <s v="Pune"/>
    <x v="0"/>
    <x v="0"/>
    <n v="5"/>
    <x v="0"/>
    <n v="3"/>
    <s v="Shipped"/>
  </r>
  <r>
    <s v="ORD00702"/>
    <x v="114"/>
    <s v="CUST758"/>
    <s v="Rahul"/>
    <x v="1"/>
    <n v="48"/>
    <x v="7"/>
    <x v="1"/>
    <x v="7"/>
    <x v="1"/>
    <n v="2"/>
    <n v="34921"/>
    <n v="5"/>
    <n v="3492.1"/>
    <n v="11942.98"/>
    <n v="248"/>
    <n v="78540.88"/>
    <x v="0"/>
    <x v="1"/>
    <s v="Lucknow"/>
    <x v="4"/>
    <x v="1"/>
    <n v="1"/>
    <x v="0"/>
    <n v="2"/>
    <s v="Delivered"/>
  </r>
  <r>
    <s v="ORD00703"/>
    <x v="177"/>
    <s v="CUST573"/>
    <s v="Priya"/>
    <x v="1"/>
    <n v="39"/>
    <x v="5"/>
    <x v="0"/>
    <x v="5"/>
    <x v="2"/>
    <n v="4"/>
    <n v="17871"/>
    <n v="5"/>
    <n v="3574.2"/>
    <n v="12223.76"/>
    <n v="178"/>
    <n v="80311.56"/>
    <x v="2"/>
    <x v="1"/>
    <s v="Patiala"/>
    <x v="1"/>
    <x v="1"/>
    <n v="8"/>
    <x v="0"/>
    <n v="5"/>
    <s v="Returned"/>
  </r>
  <r>
    <s v="ORD00704"/>
    <x v="168"/>
    <s v="CUST950"/>
    <s v="Amit"/>
    <x v="0"/>
    <n v="46"/>
    <x v="6"/>
    <x v="0"/>
    <x v="6"/>
    <x v="1"/>
    <n v="4"/>
    <n v="45708"/>
    <n v="20"/>
    <n v="36566.400000000001"/>
    <n v="26327.81"/>
    <n v="230"/>
    <n v="172823.41"/>
    <x v="0"/>
    <x v="0"/>
    <s v="Delhi"/>
    <x v="5"/>
    <x v="1"/>
    <n v="10"/>
    <x v="1"/>
    <n v="4"/>
    <s v="Returned"/>
  </r>
  <r>
    <s v="ORD00705"/>
    <x v="79"/>
    <s v="CUST915"/>
    <s v="Priya"/>
    <x v="0"/>
    <n v="45"/>
    <x v="2"/>
    <x v="1"/>
    <x v="2"/>
    <x v="5"/>
    <n v="4"/>
    <n v="30414"/>
    <n v="5"/>
    <n v="6082.8"/>
    <n v="20803.18"/>
    <n v="367"/>
    <n v="136743.38"/>
    <x v="0"/>
    <x v="1"/>
    <s v="Jaipur"/>
    <x v="2"/>
    <x v="1"/>
    <n v="8"/>
    <x v="0"/>
    <n v="4"/>
    <s v="Shipped"/>
  </r>
  <r>
    <s v="ORD00706"/>
    <x v="204"/>
    <s v="CUST482"/>
    <s v="Amit"/>
    <x v="1"/>
    <n v="28"/>
    <x v="5"/>
    <x v="0"/>
    <x v="5"/>
    <x v="0"/>
    <n v="3"/>
    <n v="20894"/>
    <n v="15"/>
    <n v="9402.2999999999993"/>
    <n v="9590.35"/>
    <n v="68"/>
    <n v="62938.05"/>
    <x v="2"/>
    <x v="1"/>
    <s v="Mumbai"/>
    <x v="0"/>
    <x v="0"/>
    <n v="1"/>
    <x v="1"/>
    <n v="5"/>
    <s v="Cancelled"/>
  </r>
  <r>
    <s v="ORD00707"/>
    <x v="15"/>
    <s v="CUST346"/>
    <s v="Vikas"/>
    <x v="0"/>
    <n v="35"/>
    <x v="7"/>
    <x v="1"/>
    <x v="7"/>
    <x v="8"/>
    <n v="1"/>
    <n v="9009"/>
    <n v="15"/>
    <n v="1351.35"/>
    <n v="1378.38"/>
    <n v="466"/>
    <n v="9502.0300000000007"/>
    <x v="2"/>
    <x v="1"/>
    <s v="Jaipur"/>
    <x v="2"/>
    <x v="1"/>
    <n v="7"/>
    <x v="1"/>
    <n v="3"/>
    <s v="Delivered"/>
  </r>
  <r>
    <s v="ORD00708"/>
    <x v="179"/>
    <s v="CUST301"/>
    <s v="Neha"/>
    <x v="0"/>
    <n v="36"/>
    <x v="0"/>
    <x v="0"/>
    <x v="0"/>
    <x v="4"/>
    <n v="4"/>
    <n v="40980"/>
    <n v="20"/>
    <n v="32784"/>
    <n v="23604.48"/>
    <n v="302"/>
    <n v="155042.48000000001"/>
    <x v="2"/>
    <x v="1"/>
    <s v="Lucknow"/>
    <x v="4"/>
    <x v="1"/>
    <n v="10"/>
    <x v="1"/>
    <n v="3"/>
    <s v="Delivered"/>
  </r>
  <r>
    <s v="ORD00709"/>
    <x v="311"/>
    <s v="CUST682"/>
    <s v="Karan"/>
    <x v="1"/>
    <n v="53"/>
    <x v="9"/>
    <x v="0"/>
    <x v="9"/>
    <x v="7"/>
    <n v="4"/>
    <n v="17805"/>
    <n v="5"/>
    <n v="3561"/>
    <n v="12178.62"/>
    <n v="278"/>
    <n v="80115.62"/>
    <x v="0"/>
    <x v="1"/>
    <s v="Chandigarh"/>
    <x v="1"/>
    <x v="1"/>
    <n v="2"/>
    <x v="1"/>
    <n v="4"/>
    <s v="Cancelled"/>
  </r>
  <r>
    <s v="ORD00710"/>
    <x v="221"/>
    <s v="CUST202"/>
    <s v="Arjun"/>
    <x v="0"/>
    <n v="56"/>
    <x v="8"/>
    <x v="0"/>
    <x v="8"/>
    <x v="8"/>
    <n v="3"/>
    <n v="27997"/>
    <n v="10"/>
    <n v="8399.1"/>
    <n v="13606.54"/>
    <n v="430"/>
    <n v="89628.44"/>
    <x v="1"/>
    <x v="0"/>
    <s v="Bangalore"/>
    <x v="3"/>
    <x v="2"/>
    <n v="7"/>
    <x v="1"/>
    <n v="1"/>
    <s v="Delivered"/>
  </r>
  <r>
    <s v="ORD00711"/>
    <x v="0"/>
    <s v="CUST256"/>
    <s v="Vikas"/>
    <x v="0"/>
    <n v="58"/>
    <x v="0"/>
    <x v="0"/>
    <x v="0"/>
    <x v="7"/>
    <n v="3"/>
    <n v="16676"/>
    <n v="5"/>
    <n v="2501.4"/>
    <n v="8554.7900000000009"/>
    <n v="328"/>
    <n v="56409.39"/>
    <x v="2"/>
    <x v="1"/>
    <s v="Pune"/>
    <x v="0"/>
    <x v="0"/>
    <n v="1"/>
    <x v="0"/>
    <n v="1"/>
    <s v="Delivered"/>
  </r>
  <r>
    <s v="ORD00712"/>
    <x v="312"/>
    <s v="CUST690"/>
    <s v="Amit"/>
    <x v="1"/>
    <n v="50"/>
    <x v="4"/>
    <x v="0"/>
    <x v="4"/>
    <x v="0"/>
    <n v="1"/>
    <n v="29242"/>
    <n v="20"/>
    <n v="5848.4"/>
    <n v="4210.8500000000004"/>
    <n v="375"/>
    <n v="27979.45"/>
    <x v="2"/>
    <x v="1"/>
    <s v="Bangalore"/>
    <x v="3"/>
    <x v="2"/>
    <n v="3"/>
    <x v="0"/>
    <n v="4"/>
    <s v="Cancelled"/>
  </r>
  <r>
    <s v="ORD00713"/>
    <x v="306"/>
    <s v="CUST382"/>
    <s v="Arjun"/>
    <x v="0"/>
    <n v="41"/>
    <x v="6"/>
    <x v="0"/>
    <x v="6"/>
    <x v="0"/>
    <n v="4"/>
    <n v="11472"/>
    <n v="5"/>
    <n v="2294.4"/>
    <n v="7846.85"/>
    <n v="166"/>
    <n v="51606.45"/>
    <x v="0"/>
    <x v="1"/>
    <s v="Pune"/>
    <x v="0"/>
    <x v="0"/>
    <n v="7"/>
    <x v="1"/>
    <n v="2"/>
    <s v="Cancelled"/>
  </r>
  <r>
    <s v="ORD00714"/>
    <x v="313"/>
    <s v="CUST834"/>
    <s v="Arjun"/>
    <x v="0"/>
    <n v="59"/>
    <x v="5"/>
    <x v="0"/>
    <x v="5"/>
    <x v="1"/>
    <n v="1"/>
    <n v="47287"/>
    <n v="0"/>
    <n v="0"/>
    <n v="8511.66"/>
    <n v="494"/>
    <n v="56292.66"/>
    <x v="1"/>
    <x v="1"/>
    <s v="Jaipur"/>
    <x v="2"/>
    <x v="1"/>
    <n v="6"/>
    <x v="0"/>
    <n v="1"/>
    <s v="Cancelled"/>
  </r>
  <r>
    <s v="ORD00715"/>
    <x v="297"/>
    <s v="CUST908"/>
    <s v="Sneha"/>
    <x v="0"/>
    <n v="54"/>
    <x v="3"/>
    <x v="2"/>
    <x v="3"/>
    <x v="2"/>
    <n v="1"/>
    <n v="27319"/>
    <n v="20"/>
    <n v="5463.8"/>
    <n v="3933.94"/>
    <n v="240"/>
    <n v="26029.14"/>
    <x v="2"/>
    <x v="1"/>
    <s v="Jaipur"/>
    <x v="2"/>
    <x v="1"/>
    <n v="3"/>
    <x v="0"/>
    <n v="2"/>
    <s v="Cancelled"/>
  </r>
  <r>
    <s v="ORD00716"/>
    <x v="88"/>
    <s v="CUST170"/>
    <s v="Priya"/>
    <x v="1"/>
    <n v="23"/>
    <x v="8"/>
    <x v="0"/>
    <x v="8"/>
    <x v="8"/>
    <n v="2"/>
    <n v="23777"/>
    <n v="5"/>
    <n v="2377.6999999999998"/>
    <n v="8131.73"/>
    <n v="196"/>
    <n v="53504.03"/>
    <x v="3"/>
    <x v="0"/>
    <s v="Bangalore"/>
    <x v="3"/>
    <x v="2"/>
    <n v="10"/>
    <x v="1"/>
    <n v="2"/>
    <s v="Returned"/>
  </r>
  <r>
    <s v="ORD00717"/>
    <x v="127"/>
    <s v="CUST898"/>
    <s v="Amit"/>
    <x v="1"/>
    <n v="49"/>
    <x v="3"/>
    <x v="2"/>
    <x v="3"/>
    <x v="0"/>
    <n v="2"/>
    <n v="47273"/>
    <n v="15"/>
    <n v="14181.9"/>
    <n v="14465.54"/>
    <n v="460"/>
    <n v="95289.64"/>
    <x v="1"/>
    <x v="0"/>
    <s v="Jaipur"/>
    <x v="2"/>
    <x v="1"/>
    <n v="2"/>
    <x v="1"/>
    <n v="5"/>
    <s v="Shipped"/>
  </r>
  <r>
    <s v="ORD00718"/>
    <x v="90"/>
    <s v="CUST442"/>
    <s v="Arjun"/>
    <x v="0"/>
    <n v="55"/>
    <x v="9"/>
    <x v="0"/>
    <x v="9"/>
    <x v="3"/>
    <n v="4"/>
    <n v="5695"/>
    <n v="5"/>
    <n v="1139"/>
    <n v="3895.38"/>
    <n v="183"/>
    <n v="25719.38"/>
    <x v="1"/>
    <x v="1"/>
    <s v="Patiala"/>
    <x v="1"/>
    <x v="1"/>
    <n v="9"/>
    <x v="0"/>
    <n v="4"/>
    <s v="Shipped"/>
  </r>
  <r>
    <s v="ORD00719"/>
    <x v="54"/>
    <s v="CUST189"/>
    <s v="Rahul"/>
    <x v="0"/>
    <n v="33"/>
    <x v="0"/>
    <x v="0"/>
    <x v="0"/>
    <x v="2"/>
    <n v="4"/>
    <n v="25749"/>
    <n v="0"/>
    <n v="0"/>
    <n v="18539.28"/>
    <n v="488"/>
    <n v="122023.28"/>
    <x v="1"/>
    <x v="1"/>
    <s v="Pune"/>
    <x v="0"/>
    <x v="0"/>
    <n v="6"/>
    <x v="1"/>
    <n v="1"/>
    <s v="Returned"/>
  </r>
  <r>
    <s v="ORD00720"/>
    <x v="14"/>
    <s v="CUST759"/>
    <s v="Sneha"/>
    <x v="1"/>
    <n v="48"/>
    <x v="3"/>
    <x v="2"/>
    <x v="3"/>
    <x v="1"/>
    <n v="3"/>
    <n v="20383"/>
    <n v="20"/>
    <n v="12229.8"/>
    <n v="8805.4599999999991"/>
    <n v="320"/>
    <n v="58044.66"/>
    <x v="3"/>
    <x v="1"/>
    <s v="Mumbai"/>
    <x v="0"/>
    <x v="0"/>
    <n v="1"/>
    <x v="1"/>
    <n v="2"/>
    <s v="Delivered"/>
  </r>
  <r>
    <s v="ORD00721"/>
    <x v="75"/>
    <s v="CUST565"/>
    <s v="Arjun"/>
    <x v="1"/>
    <n v="34"/>
    <x v="1"/>
    <x v="0"/>
    <x v="1"/>
    <x v="0"/>
    <n v="4"/>
    <n v="44550"/>
    <n v="10"/>
    <n v="17820"/>
    <n v="28868.400000000001"/>
    <n v="449"/>
    <n v="189697.4"/>
    <x v="0"/>
    <x v="1"/>
    <s v="Mumbai"/>
    <x v="0"/>
    <x v="0"/>
    <n v="7"/>
    <x v="0"/>
    <n v="3"/>
    <s v="Returned"/>
  </r>
  <r>
    <s v="ORD00722"/>
    <x v="255"/>
    <s v="CUST711"/>
    <s v="Priya"/>
    <x v="1"/>
    <n v="35"/>
    <x v="9"/>
    <x v="0"/>
    <x v="9"/>
    <x v="6"/>
    <n v="3"/>
    <n v="17487"/>
    <n v="20"/>
    <n v="10492.2"/>
    <n v="7554.38"/>
    <n v="447"/>
    <n v="49970.18"/>
    <x v="3"/>
    <x v="0"/>
    <s v="Patiala"/>
    <x v="1"/>
    <x v="1"/>
    <n v="10"/>
    <x v="0"/>
    <n v="5"/>
    <s v="Delivered"/>
  </r>
  <r>
    <s v="ORD00723"/>
    <x v="105"/>
    <s v="CUST513"/>
    <s v="Sneha"/>
    <x v="0"/>
    <n v="20"/>
    <x v="1"/>
    <x v="0"/>
    <x v="1"/>
    <x v="4"/>
    <n v="3"/>
    <n v="32893"/>
    <n v="5"/>
    <n v="4933.95"/>
    <n v="16874.11"/>
    <n v="386"/>
    <n v="111005.16"/>
    <x v="2"/>
    <x v="1"/>
    <s v="Mumbai"/>
    <x v="0"/>
    <x v="0"/>
    <n v="7"/>
    <x v="0"/>
    <n v="4"/>
    <s v="Returned"/>
  </r>
  <r>
    <s v="ORD00724"/>
    <x v="102"/>
    <s v="CUST682"/>
    <s v="Amit"/>
    <x v="1"/>
    <n v="33"/>
    <x v="7"/>
    <x v="1"/>
    <x v="7"/>
    <x v="6"/>
    <n v="2"/>
    <n v="48999"/>
    <n v="10"/>
    <n v="9799.7999999999993"/>
    <n v="15875.68"/>
    <n v="136"/>
    <n v="104209.88"/>
    <x v="2"/>
    <x v="1"/>
    <s v="Mumbai"/>
    <x v="0"/>
    <x v="0"/>
    <n v="7"/>
    <x v="0"/>
    <n v="1"/>
    <s v="Delivered"/>
  </r>
  <r>
    <s v="ORD00725"/>
    <x v="314"/>
    <s v="CUST628"/>
    <s v="Amit"/>
    <x v="1"/>
    <n v="54"/>
    <x v="9"/>
    <x v="0"/>
    <x v="9"/>
    <x v="9"/>
    <n v="5"/>
    <n v="21651"/>
    <n v="15"/>
    <n v="16238.25"/>
    <n v="16563.009999999998"/>
    <n v="226"/>
    <n v="108805.75999999999"/>
    <x v="2"/>
    <x v="0"/>
    <s v="Patiala"/>
    <x v="1"/>
    <x v="1"/>
    <n v="2"/>
    <x v="0"/>
    <n v="3"/>
    <s v="Delivered"/>
  </r>
  <r>
    <s v="ORD00726"/>
    <x v="107"/>
    <s v="CUST112"/>
    <s v="Anjali"/>
    <x v="1"/>
    <n v="21"/>
    <x v="8"/>
    <x v="0"/>
    <x v="8"/>
    <x v="4"/>
    <n v="3"/>
    <n v="33508"/>
    <n v="10"/>
    <n v="10052.4"/>
    <n v="16284.89"/>
    <n v="103"/>
    <n v="106859.49"/>
    <x v="0"/>
    <x v="1"/>
    <s v="Pune"/>
    <x v="0"/>
    <x v="0"/>
    <n v="5"/>
    <x v="1"/>
    <n v="1"/>
    <s v="Returned"/>
  </r>
  <r>
    <s v="ORD00727"/>
    <x v="263"/>
    <s v="CUST889"/>
    <s v="Neha"/>
    <x v="0"/>
    <n v="41"/>
    <x v="9"/>
    <x v="0"/>
    <x v="9"/>
    <x v="8"/>
    <n v="2"/>
    <n v="43281"/>
    <n v="5"/>
    <n v="4328.1000000000004"/>
    <n v="14802.1"/>
    <n v="87"/>
    <n v="97123"/>
    <x v="1"/>
    <x v="1"/>
    <s v="Mumbai"/>
    <x v="0"/>
    <x v="0"/>
    <n v="7"/>
    <x v="1"/>
    <n v="1"/>
    <s v="Returned"/>
  </r>
  <r>
    <s v="ORD00728"/>
    <x v="109"/>
    <s v="CUST867"/>
    <s v="Vikas"/>
    <x v="0"/>
    <n v="30"/>
    <x v="0"/>
    <x v="0"/>
    <x v="0"/>
    <x v="6"/>
    <n v="2"/>
    <n v="41547"/>
    <n v="10"/>
    <n v="8309.4"/>
    <n v="13461.23"/>
    <n v="154"/>
    <n v="88399.83"/>
    <x v="1"/>
    <x v="1"/>
    <s v="Patiala"/>
    <x v="1"/>
    <x v="1"/>
    <n v="4"/>
    <x v="0"/>
    <n v="3"/>
    <s v="Cancelled"/>
  </r>
  <r>
    <s v="ORD00729"/>
    <x v="125"/>
    <s v="CUST403"/>
    <s v="Priya"/>
    <x v="0"/>
    <n v="26"/>
    <x v="4"/>
    <x v="0"/>
    <x v="4"/>
    <x v="7"/>
    <n v="3"/>
    <n v="27978"/>
    <n v="5"/>
    <n v="4196.7"/>
    <n v="14352.71"/>
    <n v="109"/>
    <n v="94199.01"/>
    <x v="2"/>
    <x v="1"/>
    <s v="Mumbai"/>
    <x v="0"/>
    <x v="0"/>
    <n v="7"/>
    <x v="0"/>
    <n v="2"/>
    <s v="Returned"/>
  </r>
  <r>
    <s v="ORD00730"/>
    <x v="245"/>
    <s v="CUST369"/>
    <s v="Priya"/>
    <x v="1"/>
    <n v="28"/>
    <x v="8"/>
    <x v="0"/>
    <x v="8"/>
    <x v="9"/>
    <n v="1"/>
    <n v="45792"/>
    <n v="20"/>
    <n v="9158.4"/>
    <n v="6594.05"/>
    <n v="224"/>
    <n v="43451.65"/>
    <x v="0"/>
    <x v="1"/>
    <s v="Lucknow"/>
    <x v="4"/>
    <x v="1"/>
    <n v="6"/>
    <x v="1"/>
    <n v="3"/>
    <s v="Cancelled"/>
  </r>
  <r>
    <s v="ORD00731"/>
    <x v="315"/>
    <s v="CUST307"/>
    <s v="Priya"/>
    <x v="0"/>
    <n v="46"/>
    <x v="7"/>
    <x v="1"/>
    <x v="7"/>
    <x v="0"/>
    <n v="3"/>
    <n v="42112"/>
    <n v="10"/>
    <n v="12633.6"/>
    <n v="20466.43"/>
    <n v="357"/>
    <n v="134525.82999999999"/>
    <x v="2"/>
    <x v="0"/>
    <s v="Lucknow"/>
    <x v="4"/>
    <x v="1"/>
    <n v="8"/>
    <x v="0"/>
    <n v="5"/>
    <s v="Shipped"/>
  </r>
  <r>
    <s v="ORD00732"/>
    <x v="204"/>
    <s v="CUST157"/>
    <s v="Karan"/>
    <x v="1"/>
    <n v="42"/>
    <x v="7"/>
    <x v="1"/>
    <x v="7"/>
    <x v="8"/>
    <n v="1"/>
    <n v="9485"/>
    <n v="15"/>
    <n v="1422.75"/>
    <n v="1451.2"/>
    <n v="167"/>
    <n v="9680.4500000000007"/>
    <x v="0"/>
    <x v="0"/>
    <s v="Bangalore"/>
    <x v="3"/>
    <x v="2"/>
    <n v="1"/>
    <x v="0"/>
    <n v="1"/>
    <s v="Cancelled"/>
  </r>
  <r>
    <s v="ORD00733"/>
    <x v="84"/>
    <s v="CUST192"/>
    <s v="Rahul"/>
    <x v="1"/>
    <n v="53"/>
    <x v="0"/>
    <x v="0"/>
    <x v="0"/>
    <x v="5"/>
    <n v="3"/>
    <n v="3588"/>
    <n v="15"/>
    <n v="1614.6"/>
    <n v="1646.89"/>
    <n v="206"/>
    <n v="11002.29"/>
    <x v="2"/>
    <x v="0"/>
    <s v="Delhi"/>
    <x v="5"/>
    <x v="1"/>
    <n v="10"/>
    <x v="0"/>
    <n v="4"/>
    <s v="Returned"/>
  </r>
  <r>
    <s v="ORD00734"/>
    <x v="212"/>
    <s v="CUST304"/>
    <s v="Priya"/>
    <x v="1"/>
    <n v="56"/>
    <x v="2"/>
    <x v="1"/>
    <x v="2"/>
    <x v="1"/>
    <n v="1"/>
    <n v="44046"/>
    <n v="20"/>
    <n v="8809.2000000000007"/>
    <n v="6342.62"/>
    <n v="311"/>
    <n v="41890.42"/>
    <x v="2"/>
    <x v="0"/>
    <s v="Delhi"/>
    <x v="5"/>
    <x v="1"/>
    <n v="5"/>
    <x v="1"/>
    <n v="4"/>
    <s v="Shipped"/>
  </r>
  <r>
    <s v="ORD00735"/>
    <x v="12"/>
    <s v="CUST693"/>
    <s v="Karan"/>
    <x v="1"/>
    <n v="25"/>
    <x v="2"/>
    <x v="1"/>
    <x v="2"/>
    <x v="8"/>
    <n v="5"/>
    <n v="6165"/>
    <n v="20"/>
    <n v="6165"/>
    <n v="4438.8"/>
    <n v="424"/>
    <n v="29522.799999999999"/>
    <x v="3"/>
    <x v="0"/>
    <s v="Delhi"/>
    <x v="5"/>
    <x v="1"/>
    <n v="8"/>
    <x v="0"/>
    <n v="5"/>
    <s v="Cancelled"/>
  </r>
  <r>
    <s v="ORD00736"/>
    <x v="118"/>
    <s v="CUST614"/>
    <s v="Amit"/>
    <x v="0"/>
    <n v="59"/>
    <x v="5"/>
    <x v="0"/>
    <x v="5"/>
    <x v="2"/>
    <n v="4"/>
    <n v="2086"/>
    <n v="20"/>
    <n v="1668.8"/>
    <n v="1201.54"/>
    <n v="360"/>
    <n v="8236.74"/>
    <x v="1"/>
    <x v="1"/>
    <s v="Delhi"/>
    <x v="5"/>
    <x v="1"/>
    <n v="2"/>
    <x v="1"/>
    <n v="4"/>
    <s v="Shipped"/>
  </r>
  <r>
    <s v="ORD00737"/>
    <x v="309"/>
    <s v="CUST932"/>
    <s v="Riya"/>
    <x v="1"/>
    <n v="47"/>
    <x v="2"/>
    <x v="1"/>
    <x v="2"/>
    <x v="6"/>
    <n v="1"/>
    <n v="1296"/>
    <n v="15"/>
    <n v="194.4"/>
    <n v="198.29"/>
    <n v="410"/>
    <n v="1709.89"/>
    <x v="2"/>
    <x v="0"/>
    <s v="Bangalore"/>
    <x v="3"/>
    <x v="2"/>
    <n v="5"/>
    <x v="0"/>
    <n v="3"/>
    <s v="Cancelled"/>
  </r>
  <r>
    <s v="ORD00738"/>
    <x v="316"/>
    <s v="CUST986"/>
    <s v="Anjali"/>
    <x v="0"/>
    <n v="26"/>
    <x v="0"/>
    <x v="0"/>
    <x v="0"/>
    <x v="1"/>
    <n v="1"/>
    <n v="43602"/>
    <n v="15"/>
    <n v="6540.3"/>
    <n v="6671.11"/>
    <n v="396"/>
    <n v="44128.81"/>
    <x v="3"/>
    <x v="0"/>
    <s v="Mumbai"/>
    <x v="0"/>
    <x v="0"/>
    <n v="1"/>
    <x v="1"/>
    <n v="5"/>
    <s v="Returned"/>
  </r>
  <r>
    <s v="ORD00739"/>
    <x v="264"/>
    <s v="CUST426"/>
    <s v="Riya"/>
    <x v="0"/>
    <n v="25"/>
    <x v="3"/>
    <x v="2"/>
    <x v="3"/>
    <x v="4"/>
    <n v="3"/>
    <n v="8837"/>
    <n v="20"/>
    <n v="5302.2"/>
    <n v="3817.58"/>
    <n v="344"/>
    <n v="25370.38"/>
    <x v="2"/>
    <x v="0"/>
    <s v="Delhi"/>
    <x v="5"/>
    <x v="1"/>
    <n v="8"/>
    <x v="1"/>
    <n v="3"/>
    <s v="Returned"/>
  </r>
  <r>
    <s v="ORD00740"/>
    <x v="58"/>
    <s v="CUST339"/>
    <s v="Amit"/>
    <x v="0"/>
    <n v="23"/>
    <x v="4"/>
    <x v="0"/>
    <x v="4"/>
    <x v="5"/>
    <n v="5"/>
    <n v="10552"/>
    <n v="0"/>
    <n v="0"/>
    <n v="9496.7999999999993"/>
    <n v="290"/>
    <n v="62546.8"/>
    <x v="3"/>
    <x v="0"/>
    <s v="Bangalore"/>
    <x v="3"/>
    <x v="2"/>
    <n v="8"/>
    <x v="0"/>
    <n v="3"/>
    <s v="Cancelled"/>
  </r>
  <r>
    <s v="ORD00741"/>
    <x v="48"/>
    <s v="CUST625"/>
    <s v="Anjali"/>
    <x v="0"/>
    <n v="52"/>
    <x v="1"/>
    <x v="0"/>
    <x v="1"/>
    <x v="6"/>
    <n v="3"/>
    <n v="31793"/>
    <n v="10"/>
    <n v="9537.9"/>
    <n v="15451.4"/>
    <n v="433"/>
    <n v="101725.5"/>
    <x v="2"/>
    <x v="0"/>
    <s v="Delhi"/>
    <x v="5"/>
    <x v="1"/>
    <n v="7"/>
    <x v="0"/>
    <n v="2"/>
    <s v="Returned"/>
  </r>
  <r>
    <s v="ORD00742"/>
    <x v="81"/>
    <s v="CUST950"/>
    <s v="Rahul"/>
    <x v="0"/>
    <n v="24"/>
    <x v="6"/>
    <x v="0"/>
    <x v="6"/>
    <x v="1"/>
    <n v="4"/>
    <n v="49840"/>
    <n v="10"/>
    <n v="19936"/>
    <n v="32296.32"/>
    <n v="58"/>
    <n v="211778.32"/>
    <x v="1"/>
    <x v="1"/>
    <s v="Delhi"/>
    <x v="5"/>
    <x v="1"/>
    <n v="6"/>
    <x v="1"/>
    <n v="2"/>
    <s v="Delivered"/>
  </r>
  <r>
    <s v="ORD00743"/>
    <x v="147"/>
    <s v="CUST930"/>
    <s v="Priya"/>
    <x v="1"/>
    <n v="53"/>
    <x v="7"/>
    <x v="1"/>
    <x v="7"/>
    <x v="4"/>
    <n v="4"/>
    <n v="5564"/>
    <n v="20"/>
    <n v="4451.2"/>
    <n v="3204.86"/>
    <n v="166"/>
    <n v="21175.66"/>
    <x v="2"/>
    <x v="0"/>
    <s v="Lucknow"/>
    <x v="4"/>
    <x v="1"/>
    <n v="10"/>
    <x v="1"/>
    <n v="4"/>
    <s v="Cancelled"/>
  </r>
  <r>
    <s v="ORD00744"/>
    <x v="240"/>
    <s v="CUST615"/>
    <s v="Neha"/>
    <x v="0"/>
    <n v="35"/>
    <x v="6"/>
    <x v="0"/>
    <x v="6"/>
    <x v="4"/>
    <n v="2"/>
    <n v="8094"/>
    <n v="5"/>
    <n v="809.4"/>
    <n v="2768.15"/>
    <n v="400"/>
    <n v="18546.75"/>
    <x v="0"/>
    <x v="0"/>
    <s v="Jaipur"/>
    <x v="2"/>
    <x v="1"/>
    <n v="9"/>
    <x v="1"/>
    <n v="5"/>
    <s v="Returned"/>
  </r>
  <r>
    <s v="ORD00745"/>
    <x v="107"/>
    <s v="CUST327"/>
    <s v="Anjali"/>
    <x v="1"/>
    <n v="41"/>
    <x v="9"/>
    <x v="0"/>
    <x v="9"/>
    <x v="3"/>
    <n v="1"/>
    <n v="32513"/>
    <n v="5"/>
    <n v="1625.65"/>
    <n v="5559.72"/>
    <n v="141"/>
    <n v="36588.07"/>
    <x v="0"/>
    <x v="1"/>
    <s v="Mumbai"/>
    <x v="0"/>
    <x v="0"/>
    <n v="8"/>
    <x v="0"/>
    <n v="5"/>
    <s v="Cancelled"/>
  </r>
  <r>
    <s v="ORD00746"/>
    <x v="317"/>
    <s v="CUST679"/>
    <s v="Neha"/>
    <x v="1"/>
    <n v="30"/>
    <x v="4"/>
    <x v="0"/>
    <x v="4"/>
    <x v="1"/>
    <n v="3"/>
    <n v="21815"/>
    <n v="0"/>
    <n v="0"/>
    <n v="11780.1"/>
    <n v="171"/>
    <n v="77396.100000000006"/>
    <x v="2"/>
    <x v="0"/>
    <s v="Lucknow"/>
    <x v="4"/>
    <x v="1"/>
    <n v="1"/>
    <x v="0"/>
    <n v="4"/>
    <s v="Delivered"/>
  </r>
  <r>
    <s v="ORD00747"/>
    <x v="318"/>
    <s v="CUST265"/>
    <s v="Arjun"/>
    <x v="0"/>
    <n v="22"/>
    <x v="9"/>
    <x v="0"/>
    <x v="9"/>
    <x v="3"/>
    <n v="5"/>
    <n v="35936"/>
    <n v="0"/>
    <n v="0"/>
    <n v="32342.400000000001"/>
    <n v="301"/>
    <n v="212323.4"/>
    <x v="0"/>
    <x v="0"/>
    <s v="Pune"/>
    <x v="0"/>
    <x v="0"/>
    <n v="2"/>
    <x v="1"/>
    <n v="3"/>
    <s v="Returned"/>
  </r>
  <r>
    <s v="ORD00748"/>
    <x v="223"/>
    <s v="CUST889"/>
    <s v="Vikas"/>
    <x v="0"/>
    <n v="24"/>
    <x v="7"/>
    <x v="1"/>
    <x v="7"/>
    <x v="6"/>
    <n v="2"/>
    <n v="44948"/>
    <n v="20"/>
    <n v="17979.2"/>
    <n v="12945.02"/>
    <n v="53"/>
    <n v="84914.82"/>
    <x v="0"/>
    <x v="1"/>
    <s v="Jaipur"/>
    <x v="2"/>
    <x v="1"/>
    <n v="5"/>
    <x v="0"/>
    <n v="1"/>
    <s v="Returned"/>
  </r>
  <r>
    <s v="ORD00749"/>
    <x v="254"/>
    <s v="CUST323"/>
    <s v="Neha"/>
    <x v="0"/>
    <n v="38"/>
    <x v="6"/>
    <x v="0"/>
    <x v="6"/>
    <x v="4"/>
    <n v="1"/>
    <n v="34893"/>
    <n v="20"/>
    <n v="6978.6"/>
    <n v="5024.59"/>
    <n v="137"/>
    <n v="33075.99"/>
    <x v="2"/>
    <x v="0"/>
    <s v="Mumbai"/>
    <x v="0"/>
    <x v="0"/>
    <n v="2"/>
    <x v="0"/>
    <n v="2"/>
    <s v="Returned"/>
  </r>
  <r>
    <s v="ORD00750"/>
    <x v="200"/>
    <s v="CUST630"/>
    <s v="Anjali"/>
    <x v="1"/>
    <n v="54"/>
    <x v="7"/>
    <x v="1"/>
    <x v="7"/>
    <x v="8"/>
    <n v="5"/>
    <n v="37161"/>
    <n v="15"/>
    <n v="27870.75"/>
    <n v="28428.16"/>
    <n v="83"/>
    <n v="186445.42"/>
    <x v="2"/>
    <x v="0"/>
    <s v="Delhi"/>
    <x v="5"/>
    <x v="1"/>
    <n v="8"/>
    <x v="0"/>
    <n v="5"/>
    <s v="Cancelled"/>
  </r>
  <r>
    <s v="ORD00751"/>
    <x v="170"/>
    <s v="CUST875"/>
    <s v="Priya"/>
    <x v="0"/>
    <n v="43"/>
    <x v="2"/>
    <x v="1"/>
    <x v="2"/>
    <x v="3"/>
    <n v="3"/>
    <n v="30146"/>
    <n v="10"/>
    <n v="9043.7999999999993"/>
    <n v="14650.96"/>
    <n v="175"/>
    <n v="96220.160000000003"/>
    <x v="3"/>
    <x v="1"/>
    <s v="Chandigarh"/>
    <x v="1"/>
    <x v="1"/>
    <n v="1"/>
    <x v="0"/>
    <n v="4"/>
    <s v="Cancelled"/>
  </r>
  <r>
    <s v="ORD00752"/>
    <x v="195"/>
    <s v="CUST735"/>
    <s v="Vikas"/>
    <x v="0"/>
    <n v="55"/>
    <x v="0"/>
    <x v="0"/>
    <x v="0"/>
    <x v="7"/>
    <n v="5"/>
    <n v="22055"/>
    <n v="0"/>
    <n v="0"/>
    <n v="19849.5"/>
    <n v="490"/>
    <n v="130614.5"/>
    <x v="2"/>
    <x v="0"/>
    <s v="Mumbai"/>
    <x v="0"/>
    <x v="0"/>
    <n v="1"/>
    <x v="0"/>
    <n v="3"/>
    <s v="Shipped"/>
  </r>
  <r>
    <s v="ORD00753"/>
    <x v="6"/>
    <s v="CUST840"/>
    <s v="Rahul"/>
    <x v="1"/>
    <n v="31"/>
    <x v="7"/>
    <x v="1"/>
    <x v="7"/>
    <x v="4"/>
    <n v="1"/>
    <n v="43437"/>
    <n v="5"/>
    <n v="2171.85"/>
    <n v="7427.73"/>
    <n v="286"/>
    <n v="48978.879999999997"/>
    <x v="2"/>
    <x v="0"/>
    <s v="Chandigarh"/>
    <x v="1"/>
    <x v="1"/>
    <n v="9"/>
    <x v="0"/>
    <n v="3"/>
    <s v="Cancelled"/>
  </r>
  <r>
    <s v="ORD00754"/>
    <x v="121"/>
    <s v="CUST631"/>
    <s v="Amit"/>
    <x v="0"/>
    <n v="18"/>
    <x v="2"/>
    <x v="1"/>
    <x v="2"/>
    <x v="9"/>
    <n v="1"/>
    <n v="16469"/>
    <n v="20"/>
    <n v="3293.8"/>
    <n v="2371.54"/>
    <n v="266"/>
    <n v="15812.74"/>
    <x v="2"/>
    <x v="0"/>
    <s v="Delhi"/>
    <x v="5"/>
    <x v="1"/>
    <n v="7"/>
    <x v="0"/>
    <n v="4"/>
    <s v="Returned"/>
  </r>
  <r>
    <s v="ORD00755"/>
    <x v="173"/>
    <s v="CUST701"/>
    <s v="Riya"/>
    <x v="0"/>
    <n v="48"/>
    <x v="2"/>
    <x v="1"/>
    <x v="2"/>
    <x v="8"/>
    <n v="1"/>
    <n v="44498"/>
    <n v="10"/>
    <n v="4449.8"/>
    <n v="7208.68"/>
    <n v="101"/>
    <n v="47357.88"/>
    <x v="1"/>
    <x v="0"/>
    <s v="Jaipur"/>
    <x v="2"/>
    <x v="1"/>
    <n v="7"/>
    <x v="0"/>
    <n v="2"/>
    <s v="Returned"/>
  </r>
  <r>
    <s v="ORD00756"/>
    <x v="78"/>
    <s v="CUST101"/>
    <s v="Rahul"/>
    <x v="0"/>
    <n v="33"/>
    <x v="8"/>
    <x v="0"/>
    <x v="8"/>
    <x v="5"/>
    <n v="5"/>
    <n v="31205"/>
    <n v="10"/>
    <n v="15602.5"/>
    <n v="25276.05"/>
    <n v="301"/>
    <n v="165999.54999999999"/>
    <x v="2"/>
    <x v="1"/>
    <s v="Chandigarh"/>
    <x v="1"/>
    <x v="1"/>
    <n v="5"/>
    <x v="0"/>
    <n v="3"/>
    <s v="Delivered"/>
  </r>
  <r>
    <s v="ORD00757"/>
    <x v="206"/>
    <s v="CUST371"/>
    <s v="Priya"/>
    <x v="1"/>
    <n v="41"/>
    <x v="2"/>
    <x v="1"/>
    <x v="2"/>
    <x v="6"/>
    <n v="2"/>
    <n v="48901"/>
    <n v="0"/>
    <n v="0"/>
    <n v="17604.36"/>
    <n v="80"/>
    <n v="115486.36"/>
    <x v="3"/>
    <x v="1"/>
    <s v="Chandigarh"/>
    <x v="1"/>
    <x v="1"/>
    <n v="8"/>
    <x v="1"/>
    <n v="4"/>
    <s v="Cancelled"/>
  </r>
  <r>
    <s v="ORD00758"/>
    <x v="22"/>
    <s v="CUST113"/>
    <s v="Rahul"/>
    <x v="0"/>
    <n v="27"/>
    <x v="1"/>
    <x v="0"/>
    <x v="1"/>
    <x v="7"/>
    <n v="3"/>
    <n v="2214"/>
    <n v="20"/>
    <n v="1328.4"/>
    <n v="956.45"/>
    <n v="182"/>
    <n v="6452.05"/>
    <x v="3"/>
    <x v="0"/>
    <s v="Mumbai"/>
    <x v="0"/>
    <x v="0"/>
    <n v="4"/>
    <x v="1"/>
    <n v="2"/>
    <s v="Shipped"/>
  </r>
  <r>
    <s v="ORD00759"/>
    <x v="295"/>
    <s v="CUST518"/>
    <s v="Karan"/>
    <x v="1"/>
    <n v="59"/>
    <x v="0"/>
    <x v="0"/>
    <x v="0"/>
    <x v="1"/>
    <n v="5"/>
    <n v="37151"/>
    <n v="5"/>
    <n v="9287.75"/>
    <n v="31764.1"/>
    <n v="164"/>
    <n v="208395.36"/>
    <x v="0"/>
    <x v="0"/>
    <s v="Jaipur"/>
    <x v="2"/>
    <x v="1"/>
    <n v="4"/>
    <x v="1"/>
    <n v="2"/>
    <s v="Shipped"/>
  </r>
  <r>
    <s v="ORD00760"/>
    <x v="239"/>
    <s v="CUST559"/>
    <s v="Vikas"/>
    <x v="1"/>
    <n v="37"/>
    <x v="4"/>
    <x v="0"/>
    <x v="4"/>
    <x v="4"/>
    <n v="3"/>
    <n v="37260"/>
    <n v="0"/>
    <n v="0"/>
    <n v="20120.400000000001"/>
    <n v="17"/>
    <n v="131917.4"/>
    <x v="1"/>
    <x v="0"/>
    <s v="Lucknow"/>
    <x v="4"/>
    <x v="1"/>
    <n v="2"/>
    <x v="0"/>
    <n v="3"/>
    <s v="Cancelled"/>
  </r>
  <r>
    <s v="ORD00761"/>
    <x v="69"/>
    <s v="CUST831"/>
    <s v="Karan"/>
    <x v="0"/>
    <n v="19"/>
    <x v="9"/>
    <x v="0"/>
    <x v="9"/>
    <x v="5"/>
    <n v="1"/>
    <n v="47891"/>
    <n v="0"/>
    <n v="0"/>
    <n v="8620.3799999999992"/>
    <n v="382"/>
    <n v="56893.38"/>
    <x v="1"/>
    <x v="1"/>
    <s v="Mumbai"/>
    <x v="0"/>
    <x v="0"/>
    <n v="3"/>
    <x v="0"/>
    <n v="2"/>
    <s v="Shipped"/>
  </r>
  <r>
    <s v="ORD00762"/>
    <x v="173"/>
    <s v="CUST715"/>
    <s v="Amit"/>
    <x v="0"/>
    <n v="55"/>
    <x v="4"/>
    <x v="0"/>
    <x v="4"/>
    <x v="1"/>
    <n v="5"/>
    <n v="16719"/>
    <n v="5"/>
    <n v="4179.75"/>
    <n v="14294.74"/>
    <n v="308"/>
    <n v="94017.99"/>
    <x v="1"/>
    <x v="0"/>
    <s v="Patiala"/>
    <x v="1"/>
    <x v="1"/>
    <n v="10"/>
    <x v="0"/>
    <n v="2"/>
    <s v="Returned"/>
  </r>
  <r>
    <s v="ORD00763"/>
    <x v="110"/>
    <s v="CUST836"/>
    <s v="Karan"/>
    <x v="1"/>
    <n v="29"/>
    <x v="2"/>
    <x v="1"/>
    <x v="2"/>
    <x v="5"/>
    <n v="2"/>
    <n v="35205"/>
    <n v="0"/>
    <n v="0"/>
    <n v="12673.8"/>
    <n v="27"/>
    <n v="83110.8"/>
    <x v="2"/>
    <x v="0"/>
    <s v="Mumbai"/>
    <x v="0"/>
    <x v="0"/>
    <n v="7"/>
    <x v="0"/>
    <n v="1"/>
    <s v="Returned"/>
  </r>
  <r>
    <s v="ORD00764"/>
    <x v="319"/>
    <s v="CUST299"/>
    <s v="Neha"/>
    <x v="0"/>
    <n v="56"/>
    <x v="1"/>
    <x v="0"/>
    <x v="1"/>
    <x v="8"/>
    <n v="5"/>
    <n v="1924"/>
    <n v="10"/>
    <n v="962"/>
    <n v="1558.44"/>
    <n v="474"/>
    <n v="10690.44"/>
    <x v="3"/>
    <x v="1"/>
    <s v="Patiala"/>
    <x v="1"/>
    <x v="1"/>
    <n v="1"/>
    <x v="1"/>
    <n v="3"/>
    <s v="Returned"/>
  </r>
  <r>
    <s v="ORD00765"/>
    <x v="129"/>
    <s v="CUST438"/>
    <s v="Arjun"/>
    <x v="0"/>
    <n v="40"/>
    <x v="5"/>
    <x v="0"/>
    <x v="5"/>
    <x v="5"/>
    <n v="5"/>
    <n v="1111"/>
    <n v="10"/>
    <n v="555.5"/>
    <n v="899.91"/>
    <n v="32"/>
    <n v="5931.41"/>
    <x v="2"/>
    <x v="0"/>
    <s v="Chandigarh"/>
    <x v="1"/>
    <x v="1"/>
    <n v="2"/>
    <x v="0"/>
    <n v="4"/>
    <s v="Returned"/>
  </r>
  <r>
    <s v="ORD00766"/>
    <x v="238"/>
    <s v="CUST287"/>
    <s v="Sneha"/>
    <x v="0"/>
    <n v="55"/>
    <x v="8"/>
    <x v="0"/>
    <x v="8"/>
    <x v="0"/>
    <n v="3"/>
    <n v="4451"/>
    <n v="10"/>
    <n v="1335.3"/>
    <n v="2163.19"/>
    <n v="484"/>
    <n v="14664.89"/>
    <x v="0"/>
    <x v="1"/>
    <s v="Lucknow"/>
    <x v="4"/>
    <x v="1"/>
    <n v="8"/>
    <x v="0"/>
    <n v="1"/>
    <s v="Shipped"/>
  </r>
  <r>
    <s v="ORD00767"/>
    <x v="155"/>
    <s v="CUST579"/>
    <s v="Amit"/>
    <x v="0"/>
    <n v="51"/>
    <x v="5"/>
    <x v="0"/>
    <x v="5"/>
    <x v="8"/>
    <n v="1"/>
    <n v="44909"/>
    <n v="20"/>
    <n v="8981.7999999999993"/>
    <n v="6466.9"/>
    <n v="384"/>
    <n v="42778.1"/>
    <x v="1"/>
    <x v="0"/>
    <s v="Delhi"/>
    <x v="5"/>
    <x v="1"/>
    <n v="9"/>
    <x v="1"/>
    <n v="1"/>
    <s v="Shipped"/>
  </r>
  <r>
    <s v="ORD00768"/>
    <x v="292"/>
    <s v="CUST989"/>
    <s v="Vikas"/>
    <x v="1"/>
    <n v="29"/>
    <x v="5"/>
    <x v="0"/>
    <x v="5"/>
    <x v="6"/>
    <n v="4"/>
    <n v="43820"/>
    <n v="10"/>
    <n v="17528"/>
    <n v="28395.360000000001"/>
    <n v="157"/>
    <n v="186304.36"/>
    <x v="1"/>
    <x v="1"/>
    <s v="Bangalore"/>
    <x v="3"/>
    <x v="2"/>
    <n v="10"/>
    <x v="1"/>
    <n v="4"/>
    <s v="Shipped"/>
  </r>
  <r>
    <s v="ORD00769"/>
    <x v="154"/>
    <s v="CUST849"/>
    <s v="Neha"/>
    <x v="0"/>
    <n v="40"/>
    <x v="2"/>
    <x v="1"/>
    <x v="2"/>
    <x v="9"/>
    <n v="3"/>
    <n v="13810"/>
    <n v="10"/>
    <n v="4143"/>
    <n v="6711.66"/>
    <n v="258"/>
    <n v="44256.66"/>
    <x v="2"/>
    <x v="0"/>
    <s v="Lucknow"/>
    <x v="4"/>
    <x v="1"/>
    <n v="9"/>
    <x v="0"/>
    <n v="1"/>
    <s v="Delivered"/>
  </r>
  <r>
    <s v="ORD00770"/>
    <x v="262"/>
    <s v="CUST972"/>
    <s v="Priya"/>
    <x v="1"/>
    <n v="40"/>
    <x v="1"/>
    <x v="0"/>
    <x v="1"/>
    <x v="0"/>
    <n v="2"/>
    <n v="46551"/>
    <n v="15"/>
    <n v="13965.3"/>
    <n v="14244.61"/>
    <n v="269"/>
    <n v="93650.31"/>
    <x v="1"/>
    <x v="1"/>
    <s v="Lucknow"/>
    <x v="4"/>
    <x v="1"/>
    <n v="10"/>
    <x v="0"/>
    <n v="3"/>
    <s v="Cancelled"/>
  </r>
  <r>
    <s v="ORD00771"/>
    <x v="198"/>
    <s v="CUST280"/>
    <s v="Karan"/>
    <x v="0"/>
    <n v="51"/>
    <x v="0"/>
    <x v="0"/>
    <x v="0"/>
    <x v="2"/>
    <n v="1"/>
    <n v="39927"/>
    <n v="20"/>
    <n v="7985.4"/>
    <n v="5749.49"/>
    <n v="5"/>
    <n v="37696.089999999997"/>
    <x v="1"/>
    <x v="0"/>
    <s v="Jaipur"/>
    <x v="2"/>
    <x v="1"/>
    <n v="1"/>
    <x v="0"/>
    <n v="5"/>
    <s v="Shipped"/>
  </r>
  <r>
    <s v="ORD00772"/>
    <x v="274"/>
    <s v="CUST492"/>
    <s v="Karan"/>
    <x v="0"/>
    <n v="24"/>
    <x v="7"/>
    <x v="1"/>
    <x v="7"/>
    <x v="1"/>
    <n v="4"/>
    <n v="26531"/>
    <n v="15"/>
    <n v="15918.6"/>
    <n v="16236.97"/>
    <n v="424"/>
    <n v="106866.37"/>
    <x v="3"/>
    <x v="0"/>
    <s v="Chandigarh"/>
    <x v="1"/>
    <x v="1"/>
    <n v="4"/>
    <x v="0"/>
    <n v="4"/>
    <s v="Shipped"/>
  </r>
  <r>
    <s v="ORD00773"/>
    <x v="33"/>
    <s v="CUST934"/>
    <s v="Neha"/>
    <x v="0"/>
    <n v="50"/>
    <x v="3"/>
    <x v="2"/>
    <x v="3"/>
    <x v="1"/>
    <n v="3"/>
    <n v="17924"/>
    <n v="5"/>
    <n v="2688.6"/>
    <n v="9195.01"/>
    <n v="37"/>
    <n v="60315.41"/>
    <x v="1"/>
    <x v="1"/>
    <s v="Pune"/>
    <x v="0"/>
    <x v="0"/>
    <n v="8"/>
    <x v="1"/>
    <n v="1"/>
    <s v="Cancelled"/>
  </r>
  <r>
    <s v="ORD00774"/>
    <x v="270"/>
    <s v="CUST936"/>
    <s v="Rahul"/>
    <x v="0"/>
    <n v="26"/>
    <x v="8"/>
    <x v="0"/>
    <x v="8"/>
    <x v="2"/>
    <n v="5"/>
    <n v="14793"/>
    <n v="0"/>
    <n v="0"/>
    <n v="13313.7"/>
    <n v="61"/>
    <n v="87339.7"/>
    <x v="3"/>
    <x v="1"/>
    <s v="Chandigarh"/>
    <x v="1"/>
    <x v="1"/>
    <n v="4"/>
    <x v="0"/>
    <n v="5"/>
    <s v="Delivered"/>
  </r>
  <r>
    <s v="ORD00775"/>
    <x v="320"/>
    <s v="CUST269"/>
    <s v="Riya"/>
    <x v="1"/>
    <n v="26"/>
    <x v="1"/>
    <x v="0"/>
    <x v="1"/>
    <x v="2"/>
    <n v="5"/>
    <n v="47888"/>
    <n v="10"/>
    <n v="23944"/>
    <n v="38789.279999999999"/>
    <n v="381"/>
    <n v="254666.28"/>
    <x v="2"/>
    <x v="1"/>
    <s v="Pune"/>
    <x v="0"/>
    <x v="0"/>
    <n v="1"/>
    <x v="0"/>
    <n v="3"/>
    <s v="Cancelled"/>
  </r>
  <r>
    <s v="ORD00776"/>
    <x v="310"/>
    <s v="CUST354"/>
    <s v="Rahul"/>
    <x v="1"/>
    <n v="42"/>
    <x v="9"/>
    <x v="0"/>
    <x v="9"/>
    <x v="5"/>
    <n v="4"/>
    <n v="9646"/>
    <n v="5"/>
    <n v="1929.2"/>
    <n v="6597.86"/>
    <n v="331"/>
    <n v="43583.66"/>
    <x v="2"/>
    <x v="1"/>
    <s v="Lucknow"/>
    <x v="4"/>
    <x v="1"/>
    <n v="8"/>
    <x v="1"/>
    <n v="5"/>
    <s v="Returned"/>
  </r>
  <r>
    <s v="ORD00777"/>
    <x v="230"/>
    <s v="CUST912"/>
    <s v="Priya"/>
    <x v="0"/>
    <n v="38"/>
    <x v="4"/>
    <x v="0"/>
    <x v="4"/>
    <x v="5"/>
    <n v="4"/>
    <n v="4941"/>
    <n v="20"/>
    <n v="3952.8"/>
    <n v="2846.02"/>
    <n v="305"/>
    <n v="18962.22"/>
    <x v="0"/>
    <x v="1"/>
    <s v="Mumbai"/>
    <x v="0"/>
    <x v="0"/>
    <n v="9"/>
    <x v="0"/>
    <n v="1"/>
    <s v="Delivered"/>
  </r>
  <r>
    <s v="ORD00778"/>
    <x v="146"/>
    <s v="CUST650"/>
    <s v="Rahul"/>
    <x v="0"/>
    <n v="52"/>
    <x v="7"/>
    <x v="1"/>
    <x v="7"/>
    <x v="2"/>
    <n v="3"/>
    <n v="39057"/>
    <n v="10"/>
    <n v="11717.1"/>
    <n v="18981.7"/>
    <n v="493"/>
    <n v="124928.6"/>
    <x v="2"/>
    <x v="1"/>
    <s v="Bangalore"/>
    <x v="3"/>
    <x v="2"/>
    <n v="1"/>
    <x v="0"/>
    <n v="3"/>
    <s v="Cancelled"/>
  </r>
  <r>
    <s v="ORD00779"/>
    <x v="147"/>
    <s v="CUST465"/>
    <s v="Rahul"/>
    <x v="0"/>
    <n v="49"/>
    <x v="0"/>
    <x v="0"/>
    <x v="0"/>
    <x v="7"/>
    <n v="3"/>
    <n v="1818"/>
    <n v="10"/>
    <n v="545.4"/>
    <n v="883.55"/>
    <n v="304"/>
    <n v="6096.15"/>
    <x v="2"/>
    <x v="1"/>
    <s v="Patiala"/>
    <x v="1"/>
    <x v="1"/>
    <n v="2"/>
    <x v="0"/>
    <n v="4"/>
    <s v="Shipped"/>
  </r>
  <r>
    <s v="ORD00780"/>
    <x v="85"/>
    <s v="CUST357"/>
    <s v="Vikas"/>
    <x v="1"/>
    <n v="18"/>
    <x v="5"/>
    <x v="0"/>
    <x v="5"/>
    <x v="5"/>
    <n v="2"/>
    <n v="18717"/>
    <n v="10"/>
    <n v="3743.4"/>
    <n v="6064.31"/>
    <n v="4"/>
    <n v="39758.910000000003"/>
    <x v="3"/>
    <x v="0"/>
    <s v="Pune"/>
    <x v="0"/>
    <x v="0"/>
    <n v="3"/>
    <x v="1"/>
    <n v="1"/>
    <s v="Shipped"/>
  </r>
  <r>
    <s v="ORD00781"/>
    <x v="321"/>
    <s v="CUST221"/>
    <s v="Karan"/>
    <x v="1"/>
    <n v="21"/>
    <x v="2"/>
    <x v="1"/>
    <x v="2"/>
    <x v="3"/>
    <n v="4"/>
    <n v="14573"/>
    <n v="0"/>
    <n v="0"/>
    <n v="10492.56"/>
    <n v="385"/>
    <n v="69169.56"/>
    <x v="2"/>
    <x v="1"/>
    <s v="Lucknow"/>
    <x v="4"/>
    <x v="1"/>
    <n v="10"/>
    <x v="0"/>
    <n v="3"/>
    <s v="Shipped"/>
  </r>
  <r>
    <s v="ORD00782"/>
    <x v="134"/>
    <s v="CUST249"/>
    <s v="Arjun"/>
    <x v="1"/>
    <n v="54"/>
    <x v="8"/>
    <x v="0"/>
    <x v="8"/>
    <x v="5"/>
    <n v="4"/>
    <n v="11813"/>
    <n v="10"/>
    <n v="4725.2"/>
    <n v="7654.82"/>
    <n v="205"/>
    <n v="50386.62"/>
    <x v="3"/>
    <x v="1"/>
    <s v="Jaipur"/>
    <x v="2"/>
    <x v="1"/>
    <n v="9"/>
    <x v="0"/>
    <n v="2"/>
    <s v="Returned"/>
  </r>
  <r>
    <s v="ORD00783"/>
    <x v="0"/>
    <s v="CUST417"/>
    <s v="Anjali"/>
    <x v="1"/>
    <n v="32"/>
    <x v="0"/>
    <x v="0"/>
    <x v="0"/>
    <x v="2"/>
    <n v="1"/>
    <n v="8738"/>
    <n v="5"/>
    <n v="436.9"/>
    <n v="1494.2"/>
    <n v="184"/>
    <n v="9979.2999999999993"/>
    <x v="3"/>
    <x v="1"/>
    <s v="Delhi"/>
    <x v="5"/>
    <x v="1"/>
    <n v="7"/>
    <x v="0"/>
    <n v="4"/>
    <s v="Shipped"/>
  </r>
  <r>
    <s v="ORD00784"/>
    <x v="204"/>
    <s v="CUST978"/>
    <s v="Riya"/>
    <x v="1"/>
    <n v="29"/>
    <x v="0"/>
    <x v="0"/>
    <x v="0"/>
    <x v="0"/>
    <n v="4"/>
    <n v="1489"/>
    <n v="20"/>
    <n v="1191.2"/>
    <n v="857.66"/>
    <n v="442"/>
    <n v="6064.46"/>
    <x v="1"/>
    <x v="1"/>
    <s v="Jaipur"/>
    <x v="2"/>
    <x v="1"/>
    <n v="5"/>
    <x v="1"/>
    <n v="5"/>
    <s v="Delivered"/>
  </r>
  <r>
    <s v="ORD00785"/>
    <x v="257"/>
    <s v="CUST624"/>
    <s v="Karan"/>
    <x v="1"/>
    <n v="29"/>
    <x v="7"/>
    <x v="1"/>
    <x v="7"/>
    <x v="2"/>
    <n v="1"/>
    <n v="9101"/>
    <n v="5"/>
    <n v="455.05"/>
    <n v="1556.27"/>
    <n v="408"/>
    <n v="10610.22"/>
    <x v="3"/>
    <x v="1"/>
    <s v="Bangalore"/>
    <x v="3"/>
    <x v="2"/>
    <n v="2"/>
    <x v="1"/>
    <n v="3"/>
    <s v="Shipped"/>
  </r>
  <r>
    <s v="ORD00786"/>
    <x v="290"/>
    <s v="CUST907"/>
    <s v="Neha"/>
    <x v="1"/>
    <n v="58"/>
    <x v="2"/>
    <x v="1"/>
    <x v="2"/>
    <x v="6"/>
    <n v="3"/>
    <n v="28364"/>
    <n v="20"/>
    <n v="17018.400000000001"/>
    <n v="12253.25"/>
    <n v="411"/>
    <n v="80737.850000000006"/>
    <x v="3"/>
    <x v="0"/>
    <s v="Jaipur"/>
    <x v="2"/>
    <x v="1"/>
    <n v="7"/>
    <x v="1"/>
    <n v="4"/>
    <s v="Returned"/>
  </r>
  <r>
    <s v="ORD00787"/>
    <x v="223"/>
    <s v="CUST942"/>
    <s v="Neha"/>
    <x v="1"/>
    <n v="25"/>
    <x v="4"/>
    <x v="0"/>
    <x v="4"/>
    <x v="2"/>
    <n v="3"/>
    <n v="26567"/>
    <n v="20"/>
    <n v="15940.2"/>
    <n v="11476.94"/>
    <n v="289"/>
    <n v="75526.740000000005"/>
    <x v="2"/>
    <x v="1"/>
    <s v="Delhi"/>
    <x v="5"/>
    <x v="1"/>
    <n v="8"/>
    <x v="1"/>
    <n v="2"/>
    <s v="Returned"/>
  </r>
  <r>
    <s v="ORD00788"/>
    <x v="35"/>
    <s v="CUST538"/>
    <s v="Arjun"/>
    <x v="1"/>
    <n v="40"/>
    <x v="4"/>
    <x v="0"/>
    <x v="4"/>
    <x v="0"/>
    <n v="4"/>
    <n v="36398"/>
    <n v="20"/>
    <n v="29118.400000000001"/>
    <n v="20965.25"/>
    <n v="62"/>
    <n v="137500.85"/>
    <x v="0"/>
    <x v="1"/>
    <s v="Delhi"/>
    <x v="5"/>
    <x v="1"/>
    <n v="8"/>
    <x v="0"/>
    <n v="2"/>
    <s v="Returned"/>
  </r>
  <r>
    <s v="ORD00789"/>
    <x v="306"/>
    <s v="CUST882"/>
    <s v="Neha"/>
    <x v="0"/>
    <n v="26"/>
    <x v="9"/>
    <x v="0"/>
    <x v="9"/>
    <x v="7"/>
    <n v="3"/>
    <n v="5708"/>
    <n v="10"/>
    <n v="1712.4"/>
    <n v="2774.09"/>
    <n v="270"/>
    <n v="18455.689999999999"/>
    <x v="3"/>
    <x v="0"/>
    <s v="Chandigarh"/>
    <x v="1"/>
    <x v="1"/>
    <n v="2"/>
    <x v="1"/>
    <n v="1"/>
    <s v="Shipped"/>
  </r>
  <r>
    <s v="ORD00790"/>
    <x v="322"/>
    <s v="CUST800"/>
    <s v="Arjun"/>
    <x v="1"/>
    <n v="34"/>
    <x v="1"/>
    <x v="0"/>
    <x v="1"/>
    <x v="6"/>
    <n v="5"/>
    <n v="41929"/>
    <n v="10"/>
    <n v="20964.5"/>
    <n v="33962.49"/>
    <n v="167"/>
    <n v="222809.99"/>
    <x v="1"/>
    <x v="1"/>
    <s v="Lucknow"/>
    <x v="4"/>
    <x v="1"/>
    <n v="7"/>
    <x v="0"/>
    <n v="3"/>
    <s v="Cancelled"/>
  </r>
  <r>
    <s v="ORD00791"/>
    <x v="222"/>
    <s v="CUST545"/>
    <s v="Riya"/>
    <x v="1"/>
    <n v="43"/>
    <x v="9"/>
    <x v="0"/>
    <x v="9"/>
    <x v="2"/>
    <n v="4"/>
    <n v="28575"/>
    <n v="15"/>
    <n v="17145"/>
    <n v="17487.900000000001"/>
    <n v="226"/>
    <n v="114868.9"/>
    <x v="1"/>
    <x v="1"/>
    <s v="Jaipur"/>
    <x v="2"/>
    <x v="1"/>
    <n v="1"/>
    <x v="0"/>
    <n v="5"/>
    <s v="Delivered"/>
  </r>
  <r>
    <s v="ORD00792"/>
    <x v="323"/>
    <s v="CUST426"/>
    <s v="Vikas"/>
    <x v="1"/>
    <n v="55"/>
    <x v="1"/>
    <x v="0"/>
    <x v="1"/>
    <x v="4"/>
    <n v="3"/>
    <n v="13660"/>
    <n v="20"/>
    <n v="8196"/>
    <n v="5901.12"/>
    <n v="12"/>
    <n v="38697.120000000003"/>
    <x v="2"/>
    <x v="1"/>
    <s v="Bangalore"/>
    <x v="3"/>
    <x v="2"/>
    <n v="6"/>
    <x v="1"/>
    <n v="1"/>
    <s v="Returned"/>
  </r>
  <r>
    <s v="ORD00793"/>
    <x v="42"/>
    <s v="CUST641"/>
    <s v="Arjun"/>
    <x v="0"/>
    <n v="23"/>
    <x v="2"/>
    <x v="1"/>
    <x v="2"/>
    <x v="6"/>
    <n v="2"/>
    <n v="24228"/>
    <n v="10"/>
    <n v="4845.6000000000004"/>
    <n v="7849.87"/>
    <n v="308"/>
    <n v="51768.27"/>
    <x v="1"/>
    <x v="0"/>
    <s v="Bangalore"/>
    <x v="3"/>
    <x v="2"/>
    <n v="10"/>
    <x v="1"/>
    <n v="5"/>
    <s v="Cancelled"/>
  </r>
  <r>
    <s v="ORD00794"/>
    <x v="123"/>
    <s v="CUST120"/>
    <s v="Anjali"/>
    <x v="0"/>
    <n v="47"/>
    <x v="1"/>
    <x v="0"/>
    <x v="1"/>
    <x v="2"/>
    <n v="3"/>
    <n v="39349"/>
    <n v="20"/>
    <n v="23609.4"/>
    <n v="16998.77"/>
    <n v="228"/>
    <n v="111664.37"/>
    <x v="0"/>
    <x v="0"/>
    <s v="Pune"/>
    <x v="0"/>
    <x v="0"/>
    <n v="2"/>
    <x v="1"/>
    <n v="2"/>
    <s v="Shipped"/>
  </r>
  <r>
    <s v="ORD00795"/>
    <x v="270"/>
    <s v="CUST861"/>
    <s v="Karan"/>
    <x v="0"/>
    <n v="37"/>
    <x v="9"/>
    <x v="0"/>
    <x v="9"/>
    <x v="0"/>
    <n v="5"/>
    <n v="10892"/>
    <n v="20"/>
    <n v="10892"/>
    <n v="7842.24"/>
    <n v="420"/>
    <n v="51830.239999999998"/>
    <x v="0"/>
    <x v="1"/>
    <s v="Mumbai"/>
    <x v="0"/>
    <x v="0"/>
    <n v="7"/>
    <x v="0"/>
    <n v="1"/>
    <s v="Cancelled"/>
  </r>
  <r>
    <s v="ORD00796"/>
    <x v="175"/>
    <s v="CUST414"/>
    <s v="Priya"/>
    <x v="1"/>
    <n v="37"/>
    <x v="5"/>
    <x v="0"/>
    <x v="5"/>
    <x v="0"/>
    <n v="1"/>
    <n v="22810"/>
    <n v="10"/>
    <n v="2281"/>
    <n v="3695.22"/>
    <n v="477"/>
    <n v="24701.22"/>
    <x v="2"/>
    <x v="1"/>
    <s v="Lucknow"/>
    <x v="4"/>
    <x v="1"/>
    <n v="5"/>
    <x v="1"/>
    <n v="4"/>
    <s v="Shipped"/>
  </r>
  <r>
    <s v="ORD00797"/>
    <x v="282"/>
    <s v="CUST487"/>
    <s v="Arjun"/>
    <x v="0"/>
    <n v="57"/>
    <x v="4"/>
    <x v="0"/>
    <x v="4"/>
    <x v="1"/>
    <n v="2"/>
    <n v="14573"/>
    <n v="20"/>
    <n v="5829.2"/>
    <n v="4197.0200000000004"/>
    <n v="237"/>
    <n v="27750.82"/>
    <x v="0"/>
    <x v="1"/>
    <s v="Bangalore"/>
    <x v="3"/>
    <x v="2"/>
    <n v="4"/>
    <x v="1"/>
    <n v="2"/>
    <s v="Cancelled"/>
  </r>
  <r>
    <s v="ORD00798"/>
    <x v="237"/>
    <s v="CUST633"/>
    <s v="Priya"/>
    <x v="1"/>
    <n v="31"/>
    <x v="3"/>
    <x v="2"/>
    <x v="3"/>
    <x v="4"/>
    <n v="5"/>
    <n v="24050"/>
    <n v="15"/>
    <n v="18037.5"/>
    <n v="18398.25"/>
    <n v="437"/>
    <n v="121047.75"/>
    <x v="0"/>
    <x v="1"/>
    <s v="Chandigarh"/>
    <x v="1"/>
    <x v="1"/>
    <n v="4"/>
    <x v="0"/>
    <n v="4"/>
    <s v="Returned"/>
  </r>
  <r>
    <s v="ORD00799"/>
    <x v="153"/>
    <s v="CUST552"/>
    <s v="Karan"/>
    <x v="0"/>
    <n v="47"/>
    <x v="1"/>
    <x v="0"/>
    <x v="1"/>
    <x v="6"/>
    <n v="5"/>
    <n v="48099"/>
    <n v="5"/>
    <n v="12024.75"/>
    <n v="41124.639999999999"/>
    <n v="491"/>
    <n v="270085.90000000002"/>
    <x v="1"/>
    <x v="1"/>
    <s v="Lucknow"/>
    <x v="4"/>
    <x v="1"/>
    <n v="2"/>
    <x v="1"/>
    <n v="5"/>
    <s v="Cancelled"/>
  </r>
  <r>
    <s v="ORD00800"/>
    <x v="289"/>
    <s v="CUST327"/>
    <s v="Amit"/>
    <x v="1"/>
    <n v="18"/>
    <x v="0"/>
    <x v="0"/>
    <x v="0"/>
    <x v="6"/>
    <n v="5"/>
    <n v="37475"/>
    <n v="10"/>
    <n v="18737.5"/>
    <n v="30354.75"/>
    <n v="279"/>
    <n v="199271.25"/>
    <x v="3"/>
    <x v="1"/>
    <s v="Patiala"/>
    <x v="1"/>
    <x v="1"/>
    <n v="6"/>
    <x v="1"/>
    <n v="4"/>
    <s v="Shipped"/>
  </r>
  <r>
    <s v="ORD00801"/>
    <x v="147"/>
    <s v="CUST179"/>
    <s v="Vikas"/>
    <x v="0"/>
    <n v="58"/>
    <x v="5"/>
    <x v="0"/>
    <x v="5"/>
    <x v="3"/>
    <n v="2"/>
    <n v="36204"/>
    <n v="0"/>
    <n v="0"/>
    <n v="13033.44"/>
    <n v="133"/>
    <n v="85574.44"/>
    <x v="1"/>
    <x v="1"/>
    <s v="Pune"/>
    <x v="0"/>
    <x v="0"/>
    <n v="6"/>
    <x v="0"/>
    <n v="3"/>
    <s v="Cancelled"/>
  </r>
  <r>
    <s v="ORD00802"/>
    <x v="232"/>
    <s v="CUST712"/>
    <s v="Sneha"/>
    <x v="0"/>
    <n v="26"/>
    <x v="8"/>
    <x v="0"/>
    <x v="8"/>
    <x v="1"/>
    <n v="4"/>
    <n v="38685"/>
    <n v="0"/>
    <n v="0"/>
    <n v="27853.200000000001"/>
    <n v="454"/>
    <n v="183047.2"/>
    <x v="0"/>
    <x v="0"/>
    <s v="Chandigarh"/>
    <x v="1"/>
    <x v="1"/>
    <n v="7"/>
    <x v="0"/>
    <n v="3"/>
    <s v="Returned"/>
  </r>
  <r>
    <s v="ORD00803"/>
    <x v="324"/>
    <s v="CUST818"/>
    <s v="Amit"/>
    <x v="0"/>
    <n v="52"/>
    <x v="4"/>
    <x v="0"/>
    <x v="4"/>
    <x v="7"/>
    <n v="3"/>
    <n v="14708"/>
    <n v="10"/>
    <n v="4412.3999999999996"/>
    <n v="7148.09"/>
    <n v="196"/>
    <n v="47055.69"/>
    <x v="2"/>
    <x v="0"/>
    <s v="Mumbai"/>
    <x v="0"/>
    <x v="0"/>
    <n v="8"/>
    <x v="1"/>
    <n v="3"/>
    <s v="Returned"/>
  </r>
  <r>
    <s v="ORD00804"/>
    <x v="144"/>
    <s v="CUST846"/>
    <s v="Rahul"/>
    <x v="1"/>
    <n v="24"/>
    <x v="7"/>
    <x v="1"/>
    <x v="7"/>
    <x v="0"/>
    <n v="3"/>
    <n v="14838"/>
    <n v="10"/>
    <n v="4451.3999999999996"/>
    <n v="7211.27"/>
    <n v="147"/>
    <n v="47420.87"/>
    <x v="2"/>
    <x v="0"/>
    <s v="Mumbai"/>
    <x v="0"/>
    <x v="0"/>
    <n v="10"/>
    <x v="1"/>
    <n v="2"/>
    <s v="Returned"/>
  </r>
  <r>
    <s v="ORD00805"/>
    <x v="110"/>
    <s v="CUST747"/>
    <s v="Vikas"/>
    <x v="0"/>
    <n v="26"/>
    <x v="0"/>
    <x v="0"/>
    <x v="0"/>
    <x v="5"/>
    <n v="4"/>
    <n v="34698"/>
    <n v="10"/>
    <n v="13879.2"/>
    <n v="22484.3"/>
    <n v="304"/>
    <n v="147701.1"/>
    <x v="2"/>
    <x v="0"/>
    <s v="Bangalore"/>
    <x v="3"/>
    <x v="2"/>
    <n v="1"/>
    <x v="1"/>
    <n v="2"/>
    <s v="Cancelled"/>
  </r>
  <r>
    <s v="ORD00806"/>
    <x v="204"/>
    <s v="CUST568"/>
    <s v="Vikas"/>
    <x v="0"/>
    <n v="47"/>
    <x v="4"/>
    <x v="0"/>
    <x v="4"/>
    <x v="1"/>
    <n v="5"/>
    <n v="46766"/>
    <n v="10"/>
    <n v="23383"/>
    <n v="37880.46"/>
    <n v="163"/>
    <n v="248490.46"/>
    <x v="3"/>
    <x v="0"/>
    <s v="Pune"/>
    <x v="0"/>
    <x v="0"/>
    <n v="4"/>
    <x v="0"/>
    <n v="3"/>
    <s v="Returned"/>
  </r>
  <r>
    <s v="ORD00807"/>
    <x v="117"/>
    <s v="CUST827"/>
    <s v="Neha"/>
    <x v="0"/>
    <n v="30"/>
    <x v="4"/>
    <x v="0"/>
    <x v="4"/>
    <x v="5"/>
    <n v="3"/>
    <n v="644"/>
    <n v="5"/>
    <n v="96.6"/>
    <n v="330.37"/>
    <n v="253"/>
    <n v="2418.77"/>
    <x v="0"/>
    <x v="1"/>
    <s v="Jaipur"/>
    <x v="2"/>
    <x v="1"/>
    <n v="10"/>
    <x v="0"/>
    <n v="1"/>
    <s v="Cancelled"/>
  </r>
  <r>
    <s v="ORD00808"/>
    <x v="274"/>
    <s v="CUST654"/>
    <s v="Neha"/>
    <x v="0"/>
    <n v="49"/>
    <x v="8"/>
    <x v="0"/>
    <x v="8"/>
    <x v="5"/>
    <n v="1"/>
    <n v="7604"/>
    <n v="10"/>
    <n v="760.4"/>
    <n v="1231.8499999999999"/>
    <n v="405"/>
    <n v="8480.4500000000007"/>
    <x v="2"/>
    <x v="1"/>
    <s v="Lucknow"/>
    <x v="4"/>
    <x v="1"/>
    <n v="8"/>
    <x v="0"/>
    <n v="2"/>
    <s v="Cancelled"/>
  </r>
  <r>
    <s v="ORD00809"/>
    <x v="95"/>
    <s v="CUST664"/>
    <s v="Amit"/>
    <x v="0"/>
    <n v="25"/>
    <x v="7"/>
    <x v="1"/>
    <x v="7"/>
    <x v="6"/>
    <n v="5"/>
    <n v="19653"/>
    <n v="0"/>
    <n v="0"/>
    <n v="17687.7"/>
    <n v="309"/>
    <n v="116261.7"/>
    <x v="1"/>
    <x v="0"/>
    <s v="Pune"/>
    <x v="0"/>
    <x v="0"/>
    <n v="4"/>
    <x v="1"/>
    <n v="3"/>
    <s v="Returned"/>
  </r>
  <r>
    <s v="ORD00810"/>
    <x v="325"/>
    <s v="CUST917"/>
    <s v="Vikas"/>
    <x v="0"/>
    <n v="37"/>
    <x v="4"/>
    <x v="0"/>
    <x v="4"/>
    <x v="7"/>
    <n v="2"/>
    <n v="42230"/>
    <n v="10"/>
    <n v="8446"/>
    <n v="13682.52"/>
    <n v="156"/>
    <n v="89852.52"/>
    <x v="3"/>
    <x v="1"/>
    <s v="Jaipur"/>
    <x v="2"/>
    <x v="1"/>
    <n v="1"/>
    <x v="1"/>
    <n v="2"/>
    <s v="Delivered"/>
  </r>
  <r>
    <s v="ORD00811"/>
    <x v="69"/>
    <s v="CUST745"/>
    <s v="Arjun"/>
    <x v="0"/>
    <n v="23"/>
    <x v="7"/>
    <x v="1"/>
    <x v="7"/>
    <x v="1"/>
    <n v="2"/>
    <n v="29934"/>
    <n v="20"/>
    <n v="11973.6"/>
    <n v="8620.99"/>
    <n v="362"/>
    <n v="56877.39"/>
    <x v="0"/>
    <x v="1"/>
    <s v="Mumbai"/>
    <x v="0"/>
    <x v="0"/>
    <n v="6"/>
    <x v="0"/>
    <n v="5"/>
    <s v="Cancelled"/>
  </r>
  <r>
    <s v="ORD00812"/>
    <x v="52"/>
    <s v="CUST253"/>
    <s v="Riya"/>
    <x v="0"/>
    <n v="27"/>
    <x v="3"/>
    <x v="2"/>
    <x v="3"/>
    <x v="2"/>
    <n v="1"/>
    <n v="28168"/>
    <n v="10"/>
    <n v="2816.8"/>
    <n v="4563.22"/>
    <n v="158"/>
    <n v="30072.42"/>
    <x v="0"/>
    <x v="1"/>
    <s v="Lucknow"/>
    <x v="4"/>
    <x v="1"/>
    <n v="5"/>
    <x v="1"/>
    <n v="2"/>
    <s v="Returned"/>
  </r>
  <r>
    <s v="ORD00813"/>
    <x v="326"/>
    <s v="CUST765"/>
    <s v="Arjun"/>
    <x v="1"/>
    <n v="36"/>
    <x v="0"/>
    <x v="0"/>
    <x v="0"/>
    <x v="8"/>
    <n v="4"/>
    <n v="35314"/>
    <n v="5"/>
    <n v="7062.8"/>
    <n v="24154.78"/>
    <n v="456"/>
    <n v="158803.98000000001"/>
    <x v="2"/>
    <x v="0"/>
    <s v="Patiala"/>
    <x v="1"/>
    <x v="1"/>
    <n v="2"/>
    <x v="0"/>
    <n v="5"/>
    <s v="Shipped"/>
  </r>
  <r>
    <s v="ORD00814"/>
    <x v="129"/>
    <s v="CUST537"/>
    <s v="Arjun"/>
    <x v="1"/>
    <n v="55"/>
    <x v="6"/>
    <x v="0"/>
    <x v="6"/>
    <x v="4"/>
    <n v="1"/>
    <n v="27249"/>
    <n v="20"/>
    <n v="5449.8"/>
    <n v="3923.86"/>
    <n v="475"/>
    <n v="26198.06"/>
    <x v="0"/>
    <x v="1"/>
    <s v="Delhi"/>
    <x v="5"/>
    <x v="1"/>
    <n v="5"/>
    <x v="0"/>
    <n v="1"/>
    <s v="Delivered"/>
  </r>
  <r>
    <s v="ORD00815"/>
    <x v="76"/>
    <s v="CUST323"/>
    <s v="Priya"/>
    <x v="1"/>
    <n v="29"/>
    <x v="2"/>
    <x v="1"/>
    <x v="2"/>
    <x v="8"/>
    <n v="3"/>
    <n v="49236"/>
    <n v="10"/>
    <n v="14770.8"/>
    <n v="23928.7"/>
    <n v="256"/>
    <n v="157121.9"/>
    <x v="2"/>
    <x v="0"/>
    <s v="Chandigarh"/>
    <x v="1"/>
    <x v="1"/>
    <n v="3"/>
    <x v="0"/>
    <n v="3"/>
    <s v="Shipped"/>
  </r>
  <r>
    <s v="ORD00816"/>
    <x v="168"/>
    <s v="CUST259"/>
    <s v="Priya"/>
    <x v="1"/>
    <n v="26"/>
    <x v="3"/>
    <x v="2"/>
    <x v="3"/>
    <x v="7"/>
    <n v="1"/>
    <n v="30859"/>
    <n v="5"/>
    <n v="1542.95"/>
    <n v="5276.89"/>
    <n v="480"/>
    <n v="35072.94"/>
    <x v="2"/>
    <x v="1"/>
    <s v="Mumbai"/>
    <x v="0"/>
    <x v="0"/>
    <n v="4"/>
    <x v="0"/>
    <n v="4"/>
    <s v="Cancelled"/>
  </r>
  <r>
    <s v="ORD00817"/>
    <x v="327"/>
    <s v="CUST957"/>
    <s v="Karan"/>
    <x v="1"/>
    <n v="44"/>
    <x v="7"/>
    <x v="1"/>
    <x v="7"/>
    <x v="4"/>
    <n v="4"/>
    <n v="37642"/>
    <n v="15"/>
    <n v="22585.200000000001"/>
    <n v="23036.9"/>
    <n v="32"/>
    <n v="151051.70000000001"/>
    <x v="1"/>
    <x v="0"/>
    <s v="Patiala"/>
    <x v="1"/>
    <x v="1"/>
    <n v="1"/>
    <x v="0"/>
    <n v="5"/>
    <s v="Delivered"/>
  </r>
  <r>
    <s v="ORD00818"/>
    <x v="72"/>
    <s v="CUST514"/>
    <s v="Anjali"/>
    <x v="0"/>
    <n v="23"/>
    <x v="6"/>
    <x v="0"/>
    <x v="6"/>
    <x v="5"/>
    <n v="5"/>
    <n v="48628"/>
    <n v="15"/>
    <n v="36471"/>
    <n v="37200.42"/>
    <n v="224"/>
    <n v="244093.42"/>
    <x v="2"/>
    <x v="0"/>
    <s v="Chandigarh"/>
    <x v="1"/>
    <x v="1"/>
    <n v="9"/>
    <x v="1"/>
    <n v="2"/>
    <s v="Delivered"/>
  </r>
  <r>
    <s v="ORD00819"/>
    <x v="117"/>
    <s v="CUST387"/>
    <s v="Riya"/>
    <x v="0"/>
    <n v="49"/>
    <x v="9"/>
    <x v="0"/>
    <x v="9"/>
    <x v="0"/>
    <n v="5"/>
    <n v="16368"/>
    <n v="15"/>
    <n v="12276"/>
    <n v="12521.52"/>
    <n v="443"/>
    <n v="82528.52"/>
    <x v="1"/>
    <x v="1"/>
    <s v="Patiala"/>
    <x v="1"/>
    <x v="1"/>
    <n v="8"/>
    <x v="1"/>
    <n v="2"/>
    <s v="Returned"/>
  </r>
  <r>
    <s v="ORD00820"/>
    <x v="38"/>
    <s v="CUST306"/>
    <s v="Rahul"/>
    <x v="0"/>
    <n v="37"/>
    <x v="1"/>
    <x v="0"/>
    <x v="1"/>
    <x v="6"/>
    <n v="2"/>
    <n v="31757"/>
    <n v="0"/>
    <n v="0"/>
    <n v="11432.52"/>
    <n v="191"/>
    <n v="75137.52"/>
    <x v="1"/>
    <x v="0"/>
    <s v="Chandigarh"/>
    <x v="1"/>
    <x v="1"/>
    <n v="3"/>
    <x v="0"/>
    <n v="3"/>
    <s v="Returned"/>
  </r>
  <r>
    <s v="ORD00821"/>
    <x v="127"/>
    <s v="CUST190"/>
    <s v="Sneha"/>
    <x v="1"/>
    <n v="29"/>
    <x v="5"/>
    <x v="0"/>
    <x v="5"/>
    <x v="4"/>
    <n v="4"/>
    <n v="37757"/>
    <n v="10"/>
    <n v="15102.8"/>
    <n v="24466.54"/>
    <n v="430"/>
    <n v="160821.74"/>
    <x v="3"/>
    <x v="1"/>
    <s v="Patiala"/>
    <x v="1"/>
    <x v="1"/>
    <n v="3"/>
    <x v="1"/>
    <n v="4"/>
    <s v="Returned"/>
  </r>
  <r>
    <s v="ORD00822"/>
    <x v="160"/>
    <s v="CUST551"/>
    <s v="Arjun"/>
    <x v="1"/>
    <n v="55"/>
    <x v="9"/>
    <x v="0"/>
    <x v="9"/>
    <x v="8"/>
    <n v="2"/>
    <n v="42743"/>
    <n v="5"/>
    <n v="4274.3"/>
    <n v="14618.11"/>
    <n v="473"/>
    <n v="96302.81"/>
    <x v="2"/>
    <x v="1"/>
    <s v="Patiala"/>
    <x v="1"/>
    <x v="1"/>
    <n v="9"/>
    <x v="1"/>
    <n v="4"/>
    <s v="Shipped"/>
  </r>
  <r>
    <s v="ORD00823"/>
    <x v="146"/>
    <s v="CUST705"/>
    <s v="Priya"/>
    <x v="0"/>
    <n v="58"/>
    <x v="4"/>
    <x v="0"/>
    <x v="4"/>
    <x v="5"/>
    <n v="3"/>
    <n v="20225"/>
    <n v="10"/>
    <n v="6067.5"/>
    <n v="9829.35"/>
    <n v="463"/>
    <n v="64899.85"/>
    <x v="1"/>
    <x v="1"/>
    <s v="Patiala"/>
    <x v="1"/>
    <x v="1"/>
    <n v="9"/>
    <x v="1"/>
    <n v="1"/>
    <s v="Cancelled"/>
  </r>
  <r>
    <s v="ORD00824"/>
    <x v="294"/>
    <s v="CUST362"/>
    <s v="Rahul"/>
    <x v="1"/>
    <n v="49"/>
    <x v="2"/>
    <x v="1"/>
    <x v="2"/>
    <x v="6"/>
    <n v="2"/>
    <n v="8375"/>
    <n v="15"/>
    <n v="2512.5"/>
    <n v="2562.75"/>
    <n v="470"/>
    <n v="17270.25"/>
    <x v="1"/>
    <x v="0"/>
    <s v="Bangalore"/>
    <x v="3"/>
    <x v="2"/>
    <n v="1"/>
    <x v="0"/>
    <n v="3"/>
    <s v="Shipped"/>
  </r>
  <r>
    <s v="ORD00825"/>
    <x v="233"/>
    <s v="CUST869"/>
    <s v="Sneha"/>
    <x v="1"/>
    <n v="58"/>
    <x v="5"/>
    <x v="0"/>
    <x v="5"/>
    <x v="1"/>
    <n v="1"/>
    <n v="5347"/>
    <n v="10"/>
    <n v="534.70000000000005"/>
    <n v="866.21"/>
    <n v="428"/>
    <n v="6106.51"/>
    <x v="3"/>
    <x v="1"/>
    <s v="Lucknow"/>
    <x v="4"/>
    <x v="1"/>
    <n v="2"/>
    <x v="0"/>
    <n v="4"/>
    <s v="Shipped"/>
  </r>
  <r>
    <s v="ORD00826"/>
    <x v="172"/>
    <s v="CUST730"/>
    <s v="Sneha"/>
    <x v="1"/>
    <n v="19"/>
    <x v="7"/>
    <x v="1"/>
    <x v="7"/>
    <x v="5"/>
    <n v="2"/>
    <n v="24967"/>
    <n v="10"/>
    <n v="4993.3999999999996"/>
    <n v="8089.31"/>
    <n v="104"/>
    <n v="53133.91"/>
    <x v="2"/>
    <x v="0"/>
    <s v="Jaipur"/>
    <x v="2"/>
    <x v="1"/>
    <n v="1"/>
    <x v="0"/>
    <n v="4"/>
    <s v="Cancelled"/>
  </r>
  <r>
    <s v="ORD00827"/>
    <x v="128"/>
    <s v="CUST914"/>
    <s v="Amit"/>
    <x v="1"/>
    <n v="38"/>
    <x v="2"/>
    <x v="1"/>
    <x v="2"/>
    <x v="1"/>
    <n v="4"/>
    <n v="33363"/>
    <n v="0"/>
    <n v="0"/>
    <n v="24021.360000000001"/>
    <n v="353"/>
    <n v="157826.35999999999"/>
    <x v="3"/>
    <x v="1"/>
    <s v="Patiala"/>
    <x v="1"/>
    <x v="1"/>
    <n v="1"/>
    <x v="0"/>
    <n v="2"/>
    <s v="Shipped"/>
  </r>
  <r>
    <s v="ORD00828"/>
    <x v="291"/>
    <s v="CUST158"/>
    <s v="Neha"/>
    <x v="1"/>
    <n v="38"/>
    <x v="2"/>
    <x v="1"/>
    <x v="2"/>
    <x v="9"/>
    <n v="3"/>
    <n v="11118"/>
    <n v="15"/>
    <n v="5003.1000000000004"/>
    <n v="5103.16"/>
    <n v="443"/>
    <n v="33897.06"/>
    <x v="3"/>
    <x v="1"/>
    <s v="Bangalore"/>
    <x v="3"/>
    <x v="2"/>
    <n v="8"/>
    <x v="0"/>
    <n v="3"/>
    <s v="Shipped"/>
  </r>
  <r>
    <s v="ORD00829"/>
    <x v="210"/>
    <s v="CUST773"/>
    <s v="Vikas"/>
    <x v="1"/>
    <n v="59"/>
    <x v="7"/>
    <x v="1"/>
    <x v="7"/>
    <x v="0"/>
    <n v="1"/>
    <n v="34518"/>
    <n v="0"/>
    <n v="0"/>
    <n v="6213.24"/>
    <n v="91"/>
    <n v="40822.239999999998"/>
    <x v="2"/>
    <x v="1"/>
    <s v="Jaipur"/>
    <x v="2"/>
    <x v="1"/>
    <n v="8"/>
    <x v="1"/>
    <n v="5"/>
    <s v="Shipped"/>
  </r>
  <r>
    <s v="ORD00830"/>
    <x v="328"/>
    <s v="CUST325"/>
    <s v="Riya"/>
    <x v="0"/>
    <n v="56"/>
    <x v="0"/>
    <x v="0"/>
    <x v="0"/>
    <x v="1"/>
    <n v="3"/>
    <n v="30273"/>
    <n v="10"/>
    <n v="9081.9"/>
    <n v="14712.68"/>
    <n v="294"/>
    <n v="96743.78"/>
    <x v="0"/>
    <x v="1"/>
    <s v="Pune"/>
    <x v="0"/>
    <x v="0"/>
    <n v="8"/>
    <x v="1"/>
    <n v="5"/>
    <s v="Returned"/>
  </r>
  <r>
    <s v="ORD00831"/>
    <x v="25"/>
    <s v="CUST421"/>
    <s v="Sneha"/>
    <x v="0"/>
    <n v="42"/>
    <x v="4"/>
    <x v="0"/>
    <x v="4"/>
    <x v="6"/>
    <n v="2"/>
    <n v="11342"/>
    <n v="10"/>
    <n v="2268.4"/>
    <n v="3674.81"/>
    <n v="459"/>
    <n v="24549.41"/>
    <x v="0"/>
    <x v="0"/>
    <s v="Lucknow"/>
    <x v="4"/>
    <x v="1"/>
    <n v="7"/>
    <x v="0"/>
    <n v="1"/>
    <s v="Cancelled"/>
  </r>
  <r>
    <s v="ORD00832"/>
    <x v="206"/>
    <s v="CUST690"/>
    <s v="Arjun"/>
    <x v="1"/>
    <n v="58"/>
    <x v="6"/>
    <x v="0"/>
    <x v="6"/>
    <x v="4"/>
    <n v="1"/>
    <n v="48064"/>
    <n v="20"/>
    <n v="9612.7999999999993"/>
    <n v="6921.22"/>
    <n v="115"/>
    <n v="45487.42"/>
    <x v="0"/>
    <x v="0"/>
    <s v="Delhi"/>
    <x v="5"/>
    <x v="1"/>
    <n v="1"/>
    <x v="1"/>
    <n v="3"/>
    <s v="Delivered"/>
  </r>
  <r>
    <s v="ORD00833"/>
    <x v="21"/>
    <s v="CUST330"/>
    <s v="Karan"/>
    <x v="1"/>
    <n v="35"/>
    <x v="5"/>
    <x v="0"/>
    <x v="5"/>
    <x v="9"/>
    <n v="5"/>
    <n v="32836"/>
    <n v="15"/>
    <n v="24627"/>
    <n v="25119.54"/>
    <n v="464"/>
    <n v="165136.54"/>
    <x v="0"/>
    <x v="1"/>
    <s v="Mumbai"/>
    <x v="0"/>
    <x v="0"/>
    <n v="3"/>
    <x v="0"/>
    <n v="2"/>
    <s v="Returned"/>
  </r>
  <r>
    <s v="ORD00834"/>
    <x v="14"/>
    <s v="CUST934"/>
    <s v="Sneha"/>
    <x v="1"/>
    <n v="40"/>
    <x v="1"/>
    <x v="0"/>
    <x v="1"/>
    <x v="1"/>
    <n v="5"/>
    <n v="43163"/>
    <n v="10"/>
    <n v="21581.5"/>
    <n v="34962.03"/>
    <n v="202"/>
    <n v="229397.53"/>
    <x v="2"/>
    <x v="1"/>
    <s v="Pune"/>
    <x v="0"/>
    <x v="0"/>
    <n v="1"/>
    <x v="0"/>
    <n v="5"/>
    <s v="Shipped"/>
  </r>
  <r>
    <s v="ORD00835"/>
    <x v="236"/>
    <s v="CUST594"/>
    <s v="Anjali"/>
    <x v="0"/>
    <n v="29"/>
    <x v="6"/>
    <x v="0"/>
    <x v="6"/>
    <x v="4"/>
    <n v="1"/>
    <n v="31573"/>
    <n v="10"/>
    <n v="3157.3"/>
    <n v="5114.83"/>
    <n v="152"/>
    <n v="33682.53"/>
    <x v="2"/>
    <x v="0"/>
    <s v="Chandigarh"/>
    <x v="1"/>
    <x v="1"/>
    <n v="4"/>
    <x v="1"/>
    <n v="1"/>
    <s v="Delivered"/>
  </r>
  <r>
    <s v="ORD00836"/>
    <x v="134"/>
    <s v="CUST305"/>
    <s v="Karan"/>
    <x v="1"/>
    <n v="29"/>
    <x v="3"/>
    <x v="2"/>
    <x v="3"/>
    <x v="8"/>
    <n v="1"/>
    <n v="48245"/>
    <n v="20"/>
    <n v="9649"/>
    <n v="6947.28"/>
    <n v="5"/>
    <n v="45548.28"/>
    <x v="1"/>
    <x v="0"/>
    <s v="Patiala"/>
    <x v="1"/>
    <x v="1"/>
    <n v="6"/>
    <x v="0"/>
    <n v="3"/>
    <s v="Shipped"/>
  </r>
  <r>
    <s v="ORD00837"/>
    <x v="78"/>
    <s v="CUST586"/>
    <s v="Vikas"/>
    <x v="1"/>
    <n v="27"/>
    <x v="8"/>
    <x v="0"/>
    <x v="8"/>
    <x v="3"/>
    <n v="4"/>
    <n v="47145"/>
    <n v="20"/>
    <n v="37716"/>
    <n v="27155.52"/>
    <n v="457"/>
    <n v="178476.52"/>
    <x v="2"/>
    <x v="1"/>
    <s v="Delhi"/>
    <x v="5"/>
    <x v="1"/>
    <n v="1"/>
    <x v="1"/>
    <n v="5"/>
    <s v="Returned"/>
  </r>
  <r>
    <s v="ORD00838"/>
    <x v="34"/>
    <s v="CUST266"/>
    <s v="Vikas"/>
    <x v="1"/>
    <n v="56"/>
    <x v="2"/>
    <x v="1"/>
    <x v="2"/>
    <x v="7"/>
    <n v="5"/>
    <n v="25380"/>
    <n v="0"/>
    <n v="0"/>
    <n v="22842"/>
    <n v="309"/>
    <n v="150051"/>
    <x v="1"/>
    <x v="0"/>
    <s v="Pune"/>
    <x v="0"/>
    <x v="0"/>
    <n v="1"/>
    <x v="1"/>
    <n v="2"/>
    <s v="Cancelled"/>
  </r>
  <r>
    <s v="ORD00839"/>
    <x v="37"/>
    <s v="CUST636"/>
    <s v="Rahul"/>
    <x v="0"/>
    <n v="22"/>
    <x v="8"/>
    <x v="0"/>
    <x v="8"/>
    <x v="0"/>
    <n v="1"/>
    <n v="40566"/>
    <n v="10"/>
    <n v="4056.6"/>
    <n v="6571.69"/>
    <n v="112"/>
    <n v="43193.09"/>
    <x v="1"/>
    <x v="1"/>
    <s v="Chandigarh"/>
    <x v="1"/>
    <x v="1"/>
    <n v="8"/>
    <x v="1"/>
    <n v="2"/>
    <s v="Returned"/>
  </r>
  <r>
    <s v="ORD00840"/>
    <x v="244"/>
    <s v="CUST260"/>
    <s v="Vikas"/>
    <x v="1"/>
    <n v="37"/>
    <x v="0"/>
    <x v="0"/>
    <x v="0"/>
    <x v="9"/>
    <n v="1"/>
    <n v="6815"/>
    <n v="20"/>
    <n v="1363"/>
    <n v="981.36"/>
    <n v="338"/>
    <n v="6771.36"/>
    <x v="0"/>
    <x v="0"/>
    <s v="Lucknow"/>
    <x v="4"/>
    <x v="1"/>
    <n v="8"/>
    <x v="1"/>
    <n v="5"/>
    <s v="Returned"/>
  </r>
  <r>
    <s v="ORD00841"/>
    <x v="135"/>
    <s v="CUST397"/>
    <s v="Rahul"/>
    <x v="0"/>
    <n v="51"/>
    <x v="0"/>
    <x v="0"/>
    <x v="0"/>
    <x v="3"/>
    <n v="3"/>
    <n v="49678"/>
    <n v="15"/>
    <n v="22355.1"/>
    <n v="22802.2"/>
    <n v="277"/>
    <n v="149758.1"/>
    <x v="1"/>
    <x v="0"/>
    <s v="Chandigarh"/>
    <x v="1"/>
    <x v="1"/>
    <n v="8"/>
    <x v="0"/>
    <n v="5"/>
    <s v="Returned"/>
  </r>
  <r>
    <s v="ORD00842"/>
    <x v="30"/>
    <s v="CUST288"/>
    <s v="Anjali"/>
    <x v="1"/>
    <n v="46"/>
    <x v="9"/>
    <x v="0"/>
    <x v="9"/>
    <x v="2"/>
    <n v="4"/>
    <n v="21247"/>
    <n v="5"/>
    <n v="4249.3999999999996"/>
    <n v="14532.95"/>
    <n v="439"/>
    <n v="95710.55"/>
    <x v="3"/>
    <x v="1"/>
    <s v="Patiala"/>
    <x v="1"/>
    <x v="1"/>
    <n v="5"/>
    <x v="0"/>
    <n v="2"/>
    <s v="Returned"/>
  </r>
  <r>
    <s v="ORD00843"/>
    <x v="2"/>
    <s v="CUST836"/>
    <s v="Riya"/>
    <x v="1"/>
    <n v="31"/>
    <x v="2"/>
    <x v="1"/>
    <x v="2"/>
    <x v="6"/>
    <n v="2"/>
    <n v="10921"/>
    <n v="5"/>
    <n v="1092.0999999999999"/>
    <n v="3734.98"/>
    <n v="395"/>
    <n v="24879.88"/>
    <x v="3"/>
    <x v="0"/>
    <s v="Patiala"/>
    <x v="1"/>
    <x v="1"/>
    <n v="6"/>
    <x v="0"/>
    <n v="2"/>
    <s v="Cancelled"/>
  </r>
  <r>
    <s v="ORD00844"/>
    <x v="68"/>
    <s v="CUST523"/>
    <s v="Arjun"/>
    <x v="1"/>
    <n v="20"/>
    <x v="3"/>
    <x v="2"/>
    <x v="3"/>
    <x v="0"/>
    <n v="2"/>
    <n v="41264"/>
    <n v="5"/>
    <n v="4126.3999999999996"/>
    <n v="14112.29"/>
    <n v="7"/>
    <n v="92520.89"/>
    <x v="2"/>
    <x v="0"/>
    <s v="Delhi"/>
    <x v="5"/>
    <x v="1"/>
    <n v="6"/>
    <x v="1"/>
    <n v="5"/>
    <s v="Shipped"/>
  </r>
  <r>
    <s v="ORD00845"/>
    <x v="165"/>
    <s v="CUST162"/>
    <s v="Anjali"/>
    <x v="1"/>
    <n v="37"/>
    <x v="9"/>
    <x v="0"/>
    <x v="9"/>
    <x v="6"/>
    <n v="5"/>
    <n v="15722"/>
    <n v="20"/>
    <n v="15722"/>
    <n v="11319.84"/>
    <n v="333"/>
    <n v="74540.84"/>
    <x v="3"/>
    <x v="0"/>
    <s v="Bangalore"/>
    <x v="3"/>
    <x v="2"/>
    <n v="7"/>
    <x v="0"/>
    <n v="3"/>
    <s v="Delivered"/>
  </r>
  <r>
    <s v="ORD00846"/>
    <x v="50"/>
    <s v="CUST459"/>
    <s v="Sneha"/>
    <x v="0"/>
    <n v="26"/>
    <x v="0"/>
    <x v="0"/>
    <x v="0"/>
    <x v="9"/>
    <n v="4"/>
    <n v="48345"/>
    <n v="5"/>
    <n v="9669"/>
    <n v="33067.980000000003"/>
    <n v="107"/>
    <n v="216885.98"/>
    <x v="1"/>
    <x v="1"/>
    <s v="Mumbai"/>
    <x v="0"/>
    <x v="0"/>
    <n v="9"/>
    <x v="0"/>
    <n v="3"/>
    <s v="Returned"/>
  </r>
  <r>
    <s v="ORD00847"/>
    <x v="84"/>
    <s v="CUST499"/>
    <s v="Amit"/>
    <x v="1"/>
    <n v="59"/>
    <x v="4"/>
    <x v="0"/>
    <x v="4"/>
    <x v="9"/>
    <n v="2"/>
    <n v="32961"/>
    <n v="0"/>
    <n v="0"/>
    <n v="11865.96"/>
    <n v="103"/>
    <n v="77890.960000000006"/>
    <x v="3"/>
    <x v="0"/>
    <s v="Delhi"/>
    <x v="5"/>
    <x v="1"/>
    <n v="8"/>
    <x v="0"/>
    <n v="1"/>
    <s v="Returned"/>
  </r>
  <r>
    <s v="ORD00848"/>
    <x v="71"/>
    <s v="CUST891"/>
    <s v="Arjun"/>
    <x v="1"/>
    <n v="36"/>
    <x v="7"/>
    <x v="1"/>
    <x v="7"/>
    <x v="0"/>
    <n v="3"/>
    <n v="20711"/>
    <n v="20"/>
    <n v="12426.6"/>
    <n v="8947.15"/>
    <n v="216"/>
    <n v="58869.55"/>
    <x v="0"/>
    <x v="1"/>
    <s v="Mumbai"/>
    <x v="0"/>
    <x v="0"/>
    <n v="5"/>
    <x v="1"/>
    <n v="5"/>
    <s v="Shipped"/>
  </r>
  <r>
    <s v="ORD00849"/>
    <x v="71"/>
    <s v="CUST681"/>
    <s v="Priya"/>
    <x v="0"/>
    <n v="49"/>
    <x v="8"/>
    <x v="0"/>
    <x v="8"/>
    <x v="2"/>
    <n v="5"/>
    <n v="19707"/>
    <n v="10"/>
    <n v="9853.5"/>
    <n v="15962.67"/>
    <n v="346"/>
    <n v="104990.17"/>
    <x v="3"/>
    <x v="1"/>
    <s v="Jaipur"/>
    <x v="2"/>
    <x v="1"/>
    <n v="4"/>
    <x v="1"/>
    <n v="1"/>
    <s v="Returned"/>
  </r>
  <r>
    <s v="ORD00850"/>
    <x v="223"/>
    <s v="CUST201"/>
    <s v="Sneha"/>
    <x v="1"/>
    <n v="45"/>
    <x v="3"/>
    <x v="2"/>
    <x v="3"/>
    <x v="9"/>
    <n v="1"/>
    <n v="37289"/>
    <n v="20"/>
    <n v="7457.8"/>
    <n v="5369.62"/>
    <n v="297"/>
    <n v="35497.82"/>
    <x v="1"/>
    <x v="1"/>
    <s v="Bangalore"/>
    <x v="3"/>
    <x v="2"/>
    <n v="6"/>
    <x v="0"/>
    <n v="2"/>
    <s v="Delivered"/>
  </r>
  <r>
    <s v="ORD00851"/>
    <x v="285"/>
    <s v="CUST356"/>
    <s v="Rahul"/>
    <x v="0"/>
    <n v="53"/>
    <x v="3"/>
    <x v="2"/>
    <x v="3"/>
    <x v="9"/>
    <n v="5"/>
    <n v="35009"/>
    <n v="0"/>
    <n v="0"/>
    <n v="31508.1"/>
    <n v="316"/>
    <n v="206869.1"/>
    <x v="1"/>
    <x v="0"/>
    <s v="Pune"/>
    <x v="0"/>
    <x v="0"/>
    <n v="1"/>
    <x v="1"/>
    <n v="3"/>
    <s v="Cancelled"/>
  </r>
  <r>
    <s v="ORD00852"/>
    <x v="329"/>
    <s v="CUST495"/>
    <s v="Amit"/>
    <x v="0"/>
    <n v="30"/>
    <x v="8"/>
    <x v="0"/>
    <x v="8"/>
    <x v="8"/>
    <n v="3"/>
    <n v="26210"/>
    <n v="20"/>
    <n v="15726"/>
    <n v="11322.72"/>
    <n v="459"/>
    <n v="74685.72"/>
    <x v="3"/>
    <x v="0"/>
    <s v="Mumbai"/>
    <x v="0"/>
    <x v="0"/>
    <n v="2"/>
    <x v="0"/>
    <n v="1"/>
    <s v="Returned"/>
  </r>
  <r>
    <s v="ORD00853"/>
    <x v="184"/>
    <s v="CUST310"/>
    <s v="Vikas"/>
    <x v="0"/>
    <n v="49"/>
    <x v="2"/>
    <x v="1"/>
    <x v="2"/>
    <x v="0"/>
    <n v="4"/>
    <n v="13804"/>
    <n v="5"/>
    <n v="2760.8"/>
    <n v="9441.94"/>
    <n v="349"/>
    <n v="62246.14"/>
    <x v="0"/>
    <x v="0"/>
    <s v="Patiala"/>
    <x v="1"/>
    <x v="1"/>
    <n v="7"/>
    <x v="1"/>
    <n v="5"/>
    <s v="Returned"/>
  </r>
  <r>
    <s v="ORD00854"/>
    <x v="330"/>
    <s v="CUST117"/>
    <s v="Karan"/>
    <x v="1"/>
    <n v="59"/>
    <x v="1"/>
    <x v="0"/>
    <x v="1"/>
    <x v="6"/>
    <n v="2"/>
    <n v="20640"/>
    <n v="0"/>
    <n v="0"/>
    <n v="7430.4"/>
    <n v="97"/>
    <n v="48807.4"/>
    <x v="1"/>
    <x v="0"/>
    <s v="Mumbai"/>
    <x v="0"/>
    <x v="0"/>
    <n v="6"/>
    <x v="1"/>
    <n v="1"/>
    <s v="Returned"/>
  </r>
  <r>
    <s v="ORD00855"/>
    <x v="133"/>
    <s v="CUST177"/>
    <s v="Rahul"/>
    <x v="1"/>
    <n v="47"/>
    <x v="3"/>
    <x v="2"/>
    <x v="3"/>
    <x v="0"/>
    <n v="4"/>
    <n v="32637"/>
    <n v="15"/>
    <n v="19582.2"/>
    <n v="19973.84"/>
    <n v="162"/>
    <n v="131101.64000000001"/>
    <x v="1"/>
    <x v="1"/>
    <s v="Patiala"/>
    <x v="1"/>
    <x v="1"/>
    <n v="3"/>
    <x v="0"/>
    <n v="4"/>
    <s v="Shipped"/>
  </r>
  <r>
    <s v="ORD00856"/>
    <x v="290"/>
    <s v="CUST219"/>
    <s v="Anjali"/>
    <x v="0"/>
    <n v="18"/>
    <x v="3"/>
    <x v="2"/>
    <x v="3"/>
    <x v="4"/>
    <n v="5"/>
    <n v="30196"/>
    <n v="5"/>
    <n v="7549"/>
    <n v="25817.58"/>
    <n v="472"/>
    <n v="169720.58"/>
    <x v="2"/>
    <x v="1"/>
    <s v="Patiala"/>
    <x v="1"/>
    <x v="1"/>
    <n v="6"/>
    <x v="0"/>
    <n v="1"/>
    <s v="Returned"/>
  </r>
  <r>
    <s v="ORD00857"/>
    <x v="112"/>
    <s v="CUST763"/>
    <s v="Anjali"/>
    <x v="1"/>
    <n v="21"/>
    <x v="6"/>
    <x v="0"/>
    <x v="6"/>
    <x v="8"/>
    <n v="2"/>
    <n v="22407"/>
    <n v="5"/>
    <n v="2240.6999999999998"/>
    <n v="7663.19"/>
    <n v="46"/>
    <n v="50282.49"/>
    <x v="2"/>
    <x v="0"/>
    <s v="Lucknow"/>
    <x v="4"/>
    <x v="1"/>
    <n v="4"/>
    <x v="0"/>
    <n v="1"/>
    <s v="Returned"/>
  </r>
  <r>
    <s v="ORD00858"/>
    <x v="299"/>
    <s v="CUST418"/>
    <s v="Rahul"/>
    <x v="1"/>
    <n v="25"/>
    <x v="8"/>
    <x v="0"/>
    <x v="8"/>
    <x v="7"/>
    <n v="4"/>
    <n v="21850"/>
    <n v="15"/>
    <n v="13110"/>
    <n v="13372.2"/>
    <n v="303"/>
    <n v="87965.2"/>
    <x v="1"/>
    <x v="0"/>
    <s v="Lucknow"/>
    <x v="4"/>
    <x v="1"/>
    <n v="9"/>
    <x v="1"/>
    <n v="3"/>
    <s v="Shipped"/>
  </r>
  <r>
    <s v="ORD00859"/>
    <x v="56"/>
    <s v="CUST830"/>
    <s v="Riya"/>
    <x v="0"/>
    <n v="31"/>
    <x v="5"/>
    <x v="0"/>
    <x v="5"/>
    <x v="3"/>
    <n v="1"/>
    <n v="24965"/>
    <n v="20"/>
    <n v="4993"/>
    <n v="3594.96"/>
    <n v="431"/>
    <n v="23997.96"/>
    <x v="0"/>
    <x v="0"/>
    <s v="Patiala"/>
    <x v="1"/>
    <x v="1"/>
    <n v="1"/>
    <x v="1"/>
    <n v="1"/>
    <s v="Delivered"/>
  </r>
  <r>
    <s v="ORD00860"/>
    <x v="95"/>
    <s v="CUST564"/>
    <s v="Sneha"/>
    <x v="1"/>
    <n v="24"/>
    <x v="8"/>
    <x v="0"/>
    <x v="8"/>
    <x v="8"/>
    <n v="2"/>
    <n v="44956"/>
    <n v="15"/>
    <n v="13486.8"/>
    <n v="13756.54"/>
    <n v="136"/>
    <n v="90317.74"/>
    <x v="2"/>
    <x v="1"/>
    <s v="Mumbai"/>
    <x v="0"/>
    <x v="0"/>
    <n v="1"/>
    <x v="0"/>
    <n v="2"/>
    <s v="Delivered"/>
  </r>
  <r>
    <s v="ORD00861"/>
    <x v="236"/>
    <s v="CUST312"/>
    <s v="Riya"/>
    <x v="0"/>
    <n v="57"/>
    <x v="5"/>
    <x v="0"/>
    <x v="5"/>
    <x v="0"/>
    <n v="3"/>
    <n v="42360"/>
    <n v="15"/>
    <n v="19062"/>
    <n v="19443.240000000002"/>
    <n v="46"/>
    <n v="127507.24"/>
    <x v="1"/>
    <x v="0"/>
    <s v="Patiala"/>
    <x v="1"/>
    <x v="1"/>
    <n v="6"/>
    <x v="1"/>
    <n v="1"/>
    <s v="Shipped"/>
  </r>
  <r>
    <s v="ORD00862"/>
    <x v="176"/>
    <s v="CUST246"/>
    <s v="Priya"/>
    <x v="1"/>
    <n v="39"/>
    <x v="7"/>
    <x v="1"/>
    <x v="7"/>
    <x v="2"/>
    <n v="2"/>
    <n v="26834"/>
    <n v="20"/>
    <n v="10733.6"/>
    <n v="7728.19"/>
    <n v="488"/>
    <n v="51150.59"/>
    <x v="2"/>
    <x v="0"/>
    <s v="Mumbai"/>
    <x v="0"/>
    <x v="0"/>
    <n v="8"/>
    <x v="1"/>
    <n v="4"/>
    <s v="Shipped"/>
  </r>
  <r>
    <s v="ORD00863"/>
    <x v="57"/>
    <s v="CUST635"/>
    <s v="Riya"/>
    <x v="1"/>
    <n v="52"/>
    <x v="1"/>
    <x v="0"/>
    <x v="1"/>
    <x v="0"/>
    <n v="4"/>
    <n v="43417"/>
    <n v="20"/>
    <n v="34733.599999999999"/>
    <n v="25008.19"/>
    <n v="360"/>
    <n v="164302.59"/>
    <x v="0"/>
    <x v="1"/>
    <s v="Mumbai"/>
    <x v="0"/>
    <x v="0"/>
    <n v="5"/>
    <x v="0"/>
    <n v="1"/>
    <s v="Shipped"/>
  </r>
  <r>
    <s v="ORD00864"/>
    <x v="317"/>
    <s v="CUST293"/>
    <s v="Anjali"/>
    <x v="0"/>
    <n v="33"/>
    <x v="3"/>
    <x v="2"/>
    <x v="3"/>
    <x v="4"/>
    <n v="5"/>
    <n v="36728"/>
    <n v="10"/>
    <n v="18364"/>
    <n v="29749.68"/>
    <n v="119"/>
    <n v="195144.68"/>
    <x v="2"/>
    <x v="1"/>
    <s v="Delhi"/>
    <x v="5"/>
    <x v="1"/>
    <n v="1"/>
    <x v="1"/>
    <n v="4"/>
    <s v="Delivered"/>
  </r>
  <r>
    <s v="ORD00865"/>
    <x v="236"/>
    <s v="CUST482"/>
    <s v="Anjali"/>
    <x v="0"/>
    <n v="25"/>
    <x v="6"/>
    <x v="0"/>
    <x v="6"/>
    <x v="7"/>
    <n v="1"/>
    <n v="41533"/>
    <n v="0"/>
    <n v="0"/>
    <n v="7475.94"/>
    <n v="229"/>
    <n v="49237.94"/>
    <x v="3"/>
    <x v="0"/>
    <s v="Pune"/>
    <x v="0"/>
    <x v="0"/>
    <n v="2"/>
    <x v="1"/>
    <n v="5"/>
    <s v="Shipped"/>
  </r>
  <r>
    <s v="ORD00866"/>
    <x v="26"/>
    <s v="CUST379"/>
    <s v="Rahul"/>
    <x v="0"/>
    <n v="55"/>
    <x v="5"/>
    <x v="0"/>
    <x v="5"/>
    <x v="6"/>
    <n v="5"/>
    <n v="30419"/>
    <n v="10"/>
    <n v="15209.5"/>
    <n v="24639.39"/>
    <n v="45"/>
    <n v="161569.89000000001"/>
    <x v="1"/>
    <x v="0"/>
    <s v="Pune"/>
    <x v="0"/>
    <x v="0"/>
    <n v="3"/>
    <x v="0"/>
    <n v="4"/>
    <s v="Shipped"/>
  </r>
  <r>
    <s v="ORD00867"/>
    <x v="310"/>
    <s v="CUST366"/>
    <s v="Sneha"/>
    <x v="1"/>
    <n v="24"/>
    <x v="4"/>
    <x v="0"/>
    <x v="4"/>
    <x v="5"/>
    <n v="3"/>
    <n v="41505"/>
    <n v="20"/>
    <n v="24903"/>
    <n v="17930.16"/>
    <n v="297"/>
    <n v="117839.16"/>
    <x v="0"/>
    <x v="1"/>
    <s v="Mumbai"/>
    <x v="0"/>
    <x v="0"/>
    <n v="1"/>
    <x v="0"/>
    <n v="3"/>
    <s v="Delivered"/>
  </r>
  <r>
    <s v="ORD00868"/>
    <x v="195"/>
    <s v="CUST770"/>
    <s v="Neha"/>
    <x v="0"/>
    <n v="49"/>
    <x v="2"/>
    <x v="1"/>
    <x v="2"/>
    <x v="0"/>
    <n v="3"/>
    <n v="5310"/>
    <n v="10"/>
    <n v="1593"/>
    <n v="2580.66"/>
    <n v="400"/>
    <n v="17317.66"/>
    <x v="0"/>
    <x v="1"/>
    <s v="Delhi"/>
    <x v="5"/>
    <x v="1"/>
    <n v="6"/>
    <x v="0"/>
    <n v="5"/>
    <s v="Returned"/>
  </r>
  <r>
    <s v="ORD00869"/>
    <x v="252"/>
    <s v="CUST580"/>
    <s v="Anjali"/>
    <x v="1"/>
    <n v="32"/>
    <x v="8"/>
    <x v="0"/>
    <x v="8"/>
    <x v="8"/>
    <n v="4"/>
    <n v="14528"/>
    <n v="20"/>
    <n v="11622.4"/>
    <n v="8368.1299999999992"/>
    <n v="121"/>
    <n v="54978.73"/>
    <x v="1"/>
    <x v="0"/>
    <s v="Chandigarh"/>
    <x v="1"/>
    <x v="1"/>
    <n v="7"/>
    <x v="0"/>
    <n v="5"/>
    <s v="Cancelled"/>
  </r>
  <r>
    <s v="ORD00870"/>
    <x v="122"/>
    <s v="CUST103"/>
    <s v="Priya"/>
    <x v="1"/>
    <n v="34"/>
    <x v="7"/>
    <x v="1"/>
    <x v="7"/>
    <x v="8"/>
    <n v="4"/>
    <n v="29992"/>
    <n v="5"/>
    <n v="5998.4"/>
    <n v="20514.53"/>
    <n v="338"/>
    <n v="134822.13"/>
    <x v="3"/>
    <x v="1"/>
    <s v="Patiala"/>
    <x v="1"/>
    <x v="1"/>
    <n v="4"/>
    <x v="1"/>
    <n v="2"/>
    <s v="Cancelled"/>
  </r>
  <r>
    <s v="ORD00871"/>
    <x v="6"/>
    <s v="CUST210"/>
    <s v="Arjun"/>
    <x v="0"/>
    <n v="28"/>
    <x v="1"/>
    <x v="0"/>
    <x v="1"/>
    <x v="8"/>
    <n v="4"/>
    <n v="29117"/>
    <n v="15"/>
    <n v="17470.2"/>
    <n v="17819.599999999999"/>
    <n v="300"/>
    <n v="117117.4"/>
    <x v="1"/>
    <x v="0"/>
    <s v="Pune"/>
    <x v="0"/>
    <x v="0"/>
    <n v="9"/>
    <x v="0"/>
    <n v="5"/>
    <s v="Cancelled"/>
  </r>
  <r>
    <s v="ORD00872"/>
    <x v="96"/>
    <s v="CUST685"/>
    <s v="Rahul"/>
    <x v="0"/>
    <n v="32"/>
    <x v="1"/>
    <x v="0"/>
    <x v="1"/>
    <x v="0"/>
    <n v="1"/>
    <n v="6441"/>
    <n v="20"/>
    <n v="1288.2"/>
    <n v="927.5"/>
    <n v="124"/>
    <n v="6204.3"/>
    <x v="1"/>
    <x v="0"/>
    <s v="Jaipur"/>
    <x v="2"/>
    <x v="1"/>
    <n v="7"/>
    <x v="0"/>
    <n v="3"/>
    <s v="Shipped"/>
  </r>
  <r>
    <s v="ORD00873"/>
    <x v="112"/>
    <s v="CUST376"/>
    <s v="Vikas"/>
    <x v="0"/>
    <n v="25"/>
    <x v="3"/>
    <x v="2"/>
    <x v="3"/>
    <x v="6"/>
    <n v="3"/>
    <n v="23228"/>
    <n v="15"/>
    <n v="10452.6"/>
    <n v="10661.65"/>
    <n v="74"/>
    <n v="69967.05"/>
    <x v="2"/>
    <x v="1"/>
    <s v="Bangalore"/>
    <x v="3"/>
    <x v="2"/>
    <n v="4"/>
    <x v="1"/>
    <n v="2"/>
    <s v="Returned"/>
  </r>
  <r>
    <s v="ORD00874"/>
    <x v="301"/>
    <s v="CUST528"/>
    <s v="Karan"/>
    <x v="0"/>
    <n v="53"/>
    <x v="0"/>
    <x v="0"/>
    <x v="0"/>
    <x v="2"/>
    <n v="5"/>
    <n v="13705"/>
    <n v="20"/>
    <n v="13705"/>
    <n v="9867.6"/>
    <n v="26"/>
    <n v="64713.599999999999"/>
    <x v="0"/>
    <x v="0"/>
    <s v="Jaipur"/>
    <x v="2"/>
    <x v="1"/>
    <n v="4"/>
    <x v="1"/>
    <n v="3"/>
    <s v="Shipped"/>
  </r>
  <r>
    <s v="ORD00875"/>
    <x v="331"/>
    <s v="CUST894"/>
    <s v="Neha"/>
    <x v="0"/>
    <n v="38"/>
    <x v="3"/>
    <x v="2"/>
    <x v="3"/>
    <x v="2"/>
    <n v="2"/>
    <n v="48561"/>
    <n v="20"/>
    <n v="19424.400000000001"/>
    <n v="13985.57"/>
    <n v="179"/>
    <n v="91862.17"/>
    <x v="1"/>
    <x v="0"/>
    <s v="Bangalore"/>
    <x v="3"/>
    <x v="2"/>
    <n v="1"/>
    <x v="1"/>
    <n v="2"/>
    <s v="Cancelled"/>
  </r>
  <r>
    <s v="ORD00876"/>
    <x v="305"/>
    <s v="CUST458"/>
    <s v="Anjali"/>
    <x v="1"/>
    <n v="28"/>
    <x v="2"/>
    <x v="1"/>
    <x v="2"/>
    <x v="7"/>
    <n v="2"/>
    <n v="17048"/>
    <n v="10"/>
    <n v="3409.6"/>
    <n v="5523.55"/>
    <n v="126"/>
    <n v="36335.949999999997"/>
    <x v="0"/>
    <x v="1"/>
    <s v="Jaipur"/>
    <x v="2"/>
    <x v="1"/>
    <n v="6"/>
    <x v="0"/>
    <n v="2"/>
    <s v="Delivered"/>
  </r>
  <r>
    <s v="ORD00877"/>
    <x v="172"/>
    <s v="CUST929"/>
    <s v="Priya"/>
    <x v="0"/>
    <n v="55"/>
    <x v="1"/>
    <x v="0"/>
    <x v="1"/>
    <x v="7"/>
    <n v="2"/>
    <n v="46981"/>
    <n v="0"/>
    <n v="0"/>
    <n v="16913.16"/>
    <n v="252"/>
    <n v="111127.16"/>
    <x v="3"/>
    <x v="0"/>
    <s v="Mumbai"/>
    <x v="0"/>
    <x v="0"/>
    <n v="4"/>
    <x v="1"/>
    <n v="1"/>
    <s v="Delivered"/>
  </r>
  <r>
    <s v="ORD00878"/>
    <x v="206"/>
    <s v="CUST537"/>
    <s v="Sneha"/>
    <x v="0"/>
    <n v="59"/>
    <x v="4"/>
    <x v="0"/>
    <x v="4"/>
    <x v="7"/>
    <n v="3"/>
    <n v="42665"/>
    <n v="10"/>
    <n v="12799.5"/>
    <n v="20735.189999999999"/>
    <n v="452"/>
    <n v="136382.69"/>
    <x v="0"/>
    <x v="1"/>
    <s v="Delhi"/>
    <x v="5"/>
    <x v="1"/>
    <n v="1"/>
    <x v="0"/>
    <n v="3"/>
    <s v="Cancelled"/>
  </r>
  <r>
    <s v="ORD00879"/>
    <x v="216"/>
    <s v="CUST419"/>
    <s v="Sneha"/>
    <x v="0"/>
    <n v="42"/>
    <x v="4"/>
    <x v="0"/>
    <x v="4"/>
    <x v="8"/>
    <n v="3"/>
    <n v="33362"/>
    <n v="0"/>
    <n v="0"/>
    <n v="18015.48"/>
    <n v="429"/>
    <n v="118530.48"/>
    <x v="0"/>
    <x v="1"/>
    <s v="Lucknow"/>
    <x v="4"/>
    <x v="1"/>
    <n v="1"/>
    <x v="0"/>
    <n v="2"/>
    <s v="Returned"/>
  </r>
  <r>
    <s v="ORD00880"/>
    <x v="239"/>
    <s v="CUST510"/>
    <s v="Riya"/>
    <x v="0"/>
    <n v="45"/>
    <x v="8"/>
    <x v="0"/>
    <x v="8"/>
    <x v="4"/>
    <n v="1"/>
    <n v="4860"/>
    <n v="10"/>
    <n v="486"/>
    <n v="787.32"/>
    <n v="245"/>
    <n v="5406.32"/>
    <x v="0"/>
    <x v="1"/>
    <s v="Delhi"/>
    <x v="5"/>
    <x v="1"/>
    <n v="9"/>
    <x v="1"/>
    <n v="5"/>
    <s v="Cancelled"/>
  </r>
  <r>
    <s v="ORD00881"/>
    <x v="1"/>
    <s v="CUST979"/>
    <s v="Rahul"/>
    <x v="1"/>
    <n v="34"/>
    <x v="0"/>
    <x v="0"/>
    <x v="0"/>
    <x v="9"/>
    <n v="3"/>
    <n v="39078"/>
    <n v="15"/>
    <n v="17585.099999999999"/>
    <n v="17936.8"/>
    <n v="64"/>
    <n v="117649.7"/>
    <x v="2"/>
    <x v="1"/>
    <s v="Pune"/>
    <x v="0"/>
    <x v="0"/>
    <n v="7"/>
    <x v="0"/>
    <n v="1"/>
    <s v="Shipped"/>
  </r>
  <r>
    <s v="ORD00882"/>
    <x v="290"/>
    <s v="CUST999"/>
    <s v="Neha"/>
    <x v="1"/>
    <n v="47"/>
    <x v="7"/>
    <x v="1"/>
    <x v="7"/>
    <x v="1"/>
    <n v="5"/>
    <n v="5258"/>
    <n v="15"/>
    <n v="3943.5"/>
    <n v="4022.37"/>
    <n v="359"/>
    <n v="26727.87"/>
    <x v="0"/>
    <x v="1"/>
    <s v="Patiala"/>
    <x v="1"/>
    <x v="1"/>
    <n v="10"/>
    <x v="0"/>
    <n v="2"/>
    <s v="Cancelled"/>
  </r>
  <r>
    <s v="ORD00883"/>
    <x v="319"/>
    <s v="CUST321"/>
    <s v="Priya"/>
    <x v="0"/>
    <n v="31"/>
    <x v="1"/>
    <x v="0"/>
    <x v="1"/>
    <x v="0"/>
    <n v="5"/>
    <n v="13845"/>
    <n v="15"/>
    <n v="10383.75"/>
    <n v="10591.42"/>
    <n v="169"/>
    <n v="69601.679999999993"/>
    <x v="2"/>
    <x v="1"/>
    <s v="Pune"/>
    <x v="0"/>
    <x v="0"/>
    <n v="10"/>
    <x v="0"/>
    <n v="5"/>
    <s v="Returned"/>
  </r>
  <r>
    <s v="ORD00884"/>
    <x v="65"/>
    <s v="CUST575"/>
    <s v="Karan"/>
    <x v="0"/>
    <n v="19"/>
    <x v="0"/>
    <x v="0"/>
    <x v="0"/>
    <x v="6"/>
    <n v="3"/>
    <n v="39216"/>
    <n v="20"/>
    <n v="23529.599999999999"/>
    <n v="16941.310000000001"/>
    <n v="13"/>
    <n v="111072.71"/>
    <x v="0"/>
    <x v="1"/>
    <s v="Delhi"/>
    <x v="5"/>
    <x v="1"/>
    <n v="1"/>
    <x v="1"/>
    <n v="4"/>
    <s v="Delivered"/>
  </r>
  <r>
    <s v="ORD00885"/>
    <x v="141"/>
    <s v="CUST250"/>
    <s v="Neha"/>
    <x v="1"/>
    <n v="40"/>
    <x v="2"/>
    <x v="1"/>
    <x v="2"/>
    <x v="3"/>
    <n v="5"/>
    <n v="21764"/>
    <n v="20"/>
    <n v="21764"/>
    <n v="15670.08"/>
    <n v="260"/>
    <n v="102986.08"/>
    <x v="2"/>
    <x v="0"/>
    <s v="Patiala"/>
    <x v="1"/>
    <x v="1"/>
    <n v="2"/>
    <x v="1"/>
    <n v="4"/>
    <s v="Delivered"/>
  </r>
  <r>
    <s v="ORD00886"/>
    <x v="88"/>
    <s v="CUST916"/>
    <s v="Priya"/>
    <x v="0"/>
    <n v="21"/>
    <x v="9"/>
    <x v="0"/>
    <x v="9"/>
    <x v="2"/>
    <n v="1"/>
    <n v="35662"/>
    <n v="20"/>
    <n v="7132.4"/>
    <n v="5135.33"/>
    <n v="390"/>
    <n v="34054.93"/>
    <x v="0"/>
    <x v="1"/>
    <s v="Lucknow"/>
    <x v="4"/>
    <x v="1"/>
    <n v="5"/>
    <x v="1"/>
    <n v="3"/>
    <s v="Returned"/>
  </r>
  <r>
    <s v="ORD00887"/>
    <x v="22"/>
    <s v="CUST553"/>
    <s v="Anjali"/>
    <x v="0"/>
    <n v="26"/>
    <x v="9"/>
    <x v="0"/>
    <x v="9"/>
    <x v="7"/>
    <n v="2"/>
    <n v="32832"/>
    <n v="10"/>
    <n v="6566.4"/>
    <n v="10637.57"/>
    <n v="492"/>
    <n v="70227.17"/>
    <x v="1"/>
    <x v="1"/>
    <s v="Delhi"/>
    <x v="5"/>
    <x v="1"/>
    <n v="3"/>
    <x v="1"/>
    <n v="4"/>
    <s v="Delivered"/>
  </r>
  <r>
    <s v="ORD00888"/>
    <x v="128"/>
    <s v="CUST957"/>
    <s v="Anjali"/>
    <x v="1"/>
    <n v="51"/>
    <x v="9"/>
    <x v="0"/>
    <x v="9"/>
    <x v="2"/>
    <n v="5"/>
    <n v="42505"/>
    <n v="15"/>
    <n v="31878.75"/>
    <n v="32516.32"/>
    <n v="414"/>
    <n v="213576.58"/>
    <x v="1"/>
    <x v="0"/>
    <s v="Mumbai"/>
    <x v="0"/>
    <x v="0"/>
    <n v="7"/>
    <x v="0"/>
    <n v="2"/>
    <s v="Returned"/>
  </r>
  <r>
    <s v="ORD00889"/>
    <x v="149"/>
    <s v="CUST179"/>
    <s v="Neha"/>
    <x v="0"/>
    <n v="60"/>
    <x v="0"/>
    <x v="0"/>
    <x v="0"/>
    <x v="5"/>
    <n v="4"/>
    <n v="42685"/>
    <n v="20"/>
    <n v="34148"/>
    <n v="24586.560000000001"/>
    <n v="281"/>
    <n v="161459.56"/>
    <x v="2"/>
    <x v="0"/>
    <s v="Patiala"/>
    <x v="1"/>
    <x v="1"/>
    <n v="4"/>
    <x v="1"/>
    <n v="4"/>
    <s v="Delivered"/>
  </r>
  <r>
    <s v="ORD00890"/>
    <x v="244"/>
    <s v="CUST935"/>
    <s v="Rahul"/>
    <x v="0"/>
    <n v="42"/>
    <x v="6"/>
    <x v="0"/>
    <x v="6"/>
    <x v="8"/>
    <n v="4"/>
    <n v="38588"/>
    <n v="5"/>
    <n v="7717.6"/>
    <n v="26394.19"/>
    <n v="304"/>
    <n v="173332.59"/>
    <x v="1"/>
    <x v="0"/>
    <s v="Jaipur"/>
    <x v="2"/>
    <x v="1"/>
    <n v="10"/>
    <x v="1"/>
    <n v="3"/>
    <s v="Cancelled"/>
  </r>
  <r>
    <s v="ORD00891"/>
    <x v="324"/>
    <s v="CUST512"/>
    <s v="Priya"/>
    <x v="1"/>
    <n v="27"/>
    <x v="1"/>
    <x v="0"/>
    <x v="1"/>
    <x v="2"/>
    <n v="4"/>
    <n v="13547"/>
    <n v="15"/>
    <n v="8128.2"/>
    <n v="8290.76"/>
    <n v="303"/>
    <n v="54653.56"/>
    <x v="0"/>
    <x v="0"/>
    <s v="Delhi"/>
    <x v="5"/>
    <x v="1"/>
    <n v="3"/>
    <x v="1"/>
    <n v="4"/>
    <s v="Delivered"/>
  </r>
  <r>
    <s v="ORD00892"/>
    <x v="58"/>
    <s v="CUST271"/>
    <s v="Rahul"/>
    <x v="1"/>
    <n v="53"/>
    <x v="7"/>
    <x v="1"/>
    <x v="7"/>
    <x v="2"/>
    <n v="3"/>
    <n v="21239"/>
    <n v="0"/>
    <n v="0"/>
    <n v="11469.06"/>
    <n v="442"/>
    <n v="75628.06"/>
    <x v="1"/>
    <x v="0"/>
    <s v="Jaipur"/>
    <x v="2"/>
    <x v="1"/>
    <n v="2"/>
    <x v="1"/>
    <n v="3"/>
    <s v="Shipped"/>
  </r>
  <r>
    <s v="ORD00893"/>
    <x v="205"/>
    <s v="CUST485"/>
    <s v="Riya"/>
    <x v="1"/>
    <n v="31"/>
    <x v="1"/>
    <x v="0"/>
    <x v="1"/>
    <x v="1"/>
    <n v="5"/>
    <n v="29270"/>
    <n v="5"/>
    <n v="7317.5"/>
    <n v="25025.85"/>
    <n v="96"/>
    <n v="164154.35"/>
    <x v="0"/>
    <x v="0"/>
    <s v="Chandigarh"/>
    <x v="1"/>
    <x v="1"/>
    <n v="3"/>
    <x v="1"/>
    <n v="5"/>
    <s v="Cancelled"/>
  </r>
  <r>
    <s v="ORD00894"/>
    <x v="269"/>
    <s v="CUST325"/>
    <s v="Neha"/>
    <x v="0"/>
    <n v="50"/>
    <x v="8"/>
    <x v="0"/>
    <x v="8"/>
    <x v="6"/>
    <n v="2"/>
    <n v="21419"/>
    <n v="5"/>
    <n v="2141.9"/>
    <n v="7325.3"/>
    <n v="117"/>
    <n v="48138.400000000001"/>
    <x v="1"/>
    <x v="0"/>
    <s v="Patiala"/>
    <x v="1"/>
    <x v="1"/>
    <n v="4"/>
    <x v="0"/>
    <n v="5"/>
    <s v="Cancelled"/>
  </r>
  <r>
    <s v="ORD00895"/>
    <x v="218"/>
    <s v="CUST900"/>
    <s v="Rahul"/>
    <x v="1"/>
    <n v="32"/>
    <x v="2"/>
    <x v="1"/>
    <x v="2"/>
    <x v="4"/>
    <n v="1"/>
    <n v="49049"/>
    <n v="0"/>
    <n v="0"/>
    <n v="8828.82"/>
    <n v="224"/>
    <n v="58101.82"/>
    <x v="1"/>
    <x v="1"/>
    <s v="Chandigarh"/>
    <x v="1"/>
    <x v="1"/>
    <n v="5"/>
    <x v="1"/>
    <n v="1"/>
    <s v="Delivered"/>
  </r>
  <r>
    <s v="ORD00896"/>
    <x v="140"/>
    <s v="CUST908"/>
    <s v="Anjali"/>
    <x v="1"/>
    <n v="19"/>
    <x v="5"/>
    <x v="0"/>
    <x v="5"/>
    <x v="5"/>
    <n v="3"/>
    <n v="49307"/>
    <n v="5"/>
    <n v="7396.05"/>
    <n v="25294.49"/>
    <n v="113"/>
    <n v="165932.44"/>
    <x v="2"/>
    <x v="0"/>
    <s v="Jaipur"/>
    <x v="2"/>
    <x v="1"/>
    <n v="8"/>
    <x v="0"/>
    <n v="3"/>
    <s v="Delivered"/>
  </r>
  <r>
    <s v="ORD00897"/>
    <x v="265"/>
    <s v="CUST694"/>
    <s v="Neha"/>
    <x v="1"/>
    <n v="50"/>
    <x v="0"/>
    <x v="0"/>
    <x v="0"/>
    <x v="1"/>
    <n v="1"/>
    <n v="16899"/>
    <n v="15"/>
    <n v="2534.85"/>
    <n v="2585.5500000000002"/>
    <n v="2"/>
    <n v="16951.7"/>
    <x v="2"/>
    <x v="0"/>
    <s v="Patiala"/>
    <x v="1"/>
    <x v="1"/>
    <n v="10"/>
    <x v="0"/>
    <n v="4"/>
    <s v="Delivered"/>
  </r>
  <r>
    <s v="ORD00898"/>
    <x v="139"/>
    <s v="CUST546"/>
    <s v="Priya"/>
    <x v="1"/>
    <n v="30"/>
    <x v="7"/>
    <x v="1"/>
    <x v="7"/>
    <x v="2"/>
    <n v="3"/>
    <n v="48086"/>
    <n v="5"/>
    <n v="7212.9"/>
    <n v="24668.12"/>
    <n v="82"/>
    <n v="161795.22"/>
    <x v="3"/>
    <x v="1"/>
    <s v="Pune"/>
    <x v="0"/>
    <x v="0"/>
    <n v="6"/>
    <x v="1"/>
    <n v="1"/>
    <s v="Shipped"/>
  </r>
  <r>
    <s v="ORD00899"/>
    <x v="309"/>
    <s v="CUST804"/>
    <s v="Amit"/>
    <x v="1"/>
    <n v="59"/>
    <x v="6"/>
    <x v="0"/>
    <x v="6"/>
    <x v="6"/>
    <n v="2"/>
    <n v="39784"/>
    <n v="10"/>
    <n v="7956.8"/>
    <n v="12890.02"/>
    <n v="184"/>
    <n v="84685.22"/>
    <x v="1"/>
    <x v="1"/>
    <s v="Pune"/>
    <x v="0"/>
    <x v="0"/>
    <n v="6"/>
    <x v="0"/>
    <n v="3"/>
    <s v="Shipped"/>
  </r>
  <r>
    <s v="ORD00900"/>
    <x v="1"/>
    <s v="CUST294"/>
    <s v="Neha"/>
    <x v="0"/>
    <n v="58"/>
    <x v="8"/>
    <x v="0"/>
    <x v="8"/>
    <x v="7"/>
    <n v="1"/>
    <n v="17849"/>
    <n v="15"/>
    <n v="2677.35"/>
    <n v="2730.9"/>
    <n v="268"/>
    <n v="18170.55"/>
    <x v="3"/>
    <x v="1"/>
    <s v="Pune"/>
    <x v="0"/>
    <x v="0"/>
    <n v="3"/>
    <x v="0"/>
    <n v="4"/>
    <s v="Shipped"/>
  </r>
  <r>
    <s v="ORD00901"/>
    <x v="53"/>
    <s v="CUST345"/>
    <s v="Neha"/>
    <x v="0"/>
    <n v="18"/>
    <x v="2"/>
    <x v="1"/>
    <x v="2"/>
    <x v="5"/>
    <n v="4"/>
    <n v="22659"/>
    <n v="15"/>
    <n v="13595.4"/>
    <n v="13867.31"/>
    <n v="374"/>
    <n v="91281.91"/>
    <x v="0"/>
    <x v="0"/>
    <s v="Chandigarh"/>
    <x v="1"/>
    <x v="1"/>
    <n v="6"/>
    <x v="1"/>
    <n v="5"/>
    <s v="Shipped"/>
  </r>
  <r>
    <s v="ORD00902"/>
    <x v="220"/>
    <s v="CUST943"/>
    <s v="Amit"/>
    <x v="0"/>
    <n v="32"/>
    <x v="5"/>
    <x v="0"/>
    <x v="5"/>
    <x v="0"/>
    <n v="4"/>
    <n v="34273"/>
    <n v="0"/>
    <n v="0"/>
    <n v="24676.560000000001"/>
    <n v="420"/>
    <n v="162188.56"/>
    <x v="3"/>
    <x v="1"/>
    <s v="Bangalore"/>
    <x v="3"/>
    <x v="2"/>
    <n v="10"/>
    <x v="1"/>
    <n v="2"/>
    <s v="Returned"/>
  </r>
  <r>
    <s v="ORD00903"/>
    <x v="209"/>
    <s v="CUST120"/>
    <s v="Riya"/>
    <x v="1"/>
    <n v="26"/>
    <x v="2"/>
    <x v="1"/>
    <x v="2"/>
    <x v="0"/>
    <n v="1"/>
    <n v="5894"/>
    <n v="20"/>
    <n v="1178.8"/>
    <n v="848.74"/>
    <n v="203"/>
    <n v="5766.94"/>
    <x v="2"/>
    <x v="1"/>
    <s v="Delhi"/>
    <x v="5"/>
    <x v="1"/>
    <n v="10"/>
    <x v="0"/>
    <n v="2"/>
    <s v="Delivered"/>
  </r>
  <r>
    <s v="ORD00904"/>
    <x v="290"/>
    <s v="CUST702"/>
    <s v="Amit"/>
    <x v="1"/>
    <n v="53"/>
    <x v="1"/>
    <x v="0"/>
    <x v="1"/>
    <x v="1"/>
    <n v="5"/>
    <n v="31840"/>
    <n v="20"/>
    <n v="31840"/>
    <n v="22924.799999999999"/>
    <n v="434"/>
    <n v="150718.79999999999"/>
    <x v="2"/>
    <x v="0"/>
    <s v="Jaipur"/>
    <x v="2"/>
    <x v="1"/>
    <n v="7"/>
    <x v="0"/>
    <n v="1"/>
    <s v="Returned"/>
  </r>
  <r>
    <s v="ORD00905"/>
    <x v="260"/>
    <s v="CUST703"/>
    <s v="Amit"/>
    <x v="1"/>
    <n v="44"/>
    <x v="3"/>
    <x v="2"/>
    <x v="3"/>
    <x v="0"/>
    <n v="1"/>
    <n v="3751"/>
    <n v="10"/>
    <n v="375.1"/>
    <n v="607.66"/>
    <n v="21"/>
    <n v="4004.56"/>
    <x v="2"/>
    <x v="1"/>
    <s v="Lucknow"/>
    <x v="4"/>
    <x v="1"/>
    <n v="6"/>
    <x v="1"/>
    <n v="5"/>
    <s v="Delivered"/>
  </r>
  <r>
    <s v="ORD00906"/>
    <x v="10"/>
    <s v="CUST344"/>
    <s v="Neha"/>
    <x v="0"/>
    <n v="43"/>
    <x v="0"/>
    <x v="0"/>
    <x v="0"/>
    <x v="2"/>
    <n v="1"/>
    <n v="9225"/>
    <n v="5"/>
    <n v="461.25"/>
    <n v="1577.47"/>
    <n v="455"/>
    <n v="10796.23"/>
    <x v="0"/>
    <x v="0"/>
    <s v="Lucknow"/>
    <x v="4"/>
    <x v="1"/>
    <n v="1"/>
    <x v="1"/>
    <n v="3"/>
    <s v="Shipped"/>
  </r>
  <r>
    <s v="ORD00907"/>
    <x v="169"/>
    <s v="CUST917"/>
    <s v="Riya"/>
    <x v="1"/>
    <n v="44"/>
    <x v="8"/>
    <x v="0"/>
    <x v="8"/>
    <x v="5"/>
    <n v="1"/>
    <n v="6372"/>
    <n v="0"/>
    <n v="0"/>
    <n v="1146.96"/>
    <n v="422"/>
    <n v="7940.96"/>
    <x v="2"/>
    <x v="0"/>
    <s v="Pune"/>
    <x v="0"/>
    <x v="0"/>
    <n v="8"/>
    <x v="0"/>
    <n v="1"/>
    <s v="Shipped"/>
  </r>
  <r>
    <s v="ORD00908"/>
    <x v="332"/>
    <s v="CUST853"/>
    <s v="Sneha"/>
    <x v="0"/>
    <n v="24"/>
    <x v="2"/>
    <x v="1"/>
    <x v="2"/>
    <x v="0"/>
    <n v="5"/>
    <n v="49982"/>
    <n v="10"/>
    <n v="24991"/>
    <n v="40485.42"/>
    <n v="205"/>
    <n v="265609.42"/>
    <x v="1"/>
    <x v="1"/>
    <s v="Delhi"/>
    <x v="5"/>
    <x v="1"/>
    <n v="1"/>
    <x v="1"/>
    <n v="1"/>
    <s v="Shipped"/>
  </r>
  <r>
    <s v="ORD00909"/>
    <x v="225"/>
    <s v="CUST948"/>
    <s v="Rahul"/>
    <x v="0"/>
    <n v="44"/>
    <x v="3"/>
    <x v="2"/>
    <x v="3"/>
    <x v="0"/>
    <n v="5"/>
    <n v="35237"/>
    <n v="10"/>
    <n v="17618.5"/>
    <n v="28541.97"/>
    <n v="14"/>
    <n v="187122.47"/>
    <x v="1"/>
    <x v="1"/>
    <s v="Pune"/>
    <x v="0"/>
    <x v="0"/>
    <n v="1"/>
    <x v="1"/>
    <n v="4"/>
    <s v="Returned"/>
  </r>
  <r>
    <s v="ORD00910"/>
    <x v="123"/>
    <s v="CUST763"/>
    <s v="Arjun"/>
    <x v="1"/>
    <n v="47"/>
    <x v="2"/>
    <x v="1"/>
    <x v="2"/>
    <x v="7"/>
    <n v="4"/>
    <n v="26654"/>
    <n v="15"/>
    <n v="15992.4"/>
    <n v="16312.25"/>
    <n v="222"/>
    <n v="107157.85"/>
    <x v="0"/>
    <x v="1"/>
    <s v="Mumbai"/>
    <x v="0"/>
    <x v="0"/>
    <n v="3"/>
    <x v="0"/>
    <n v="2"/>
    <s v="Delivered"/>
  </r>
  <r>
    <s v="ORD00911"/>
    <x v="98"/>
    <s v="CUST287"/>
    <s v="Amit"/>
    <x v="0"/>
    <n v="25"/>
    <x v="8"/>
    <x v="0"/>
    <x v="8"/>
    <x v="5"/>
    <n v="3"/>
    <n v="12886"/>
    <n v="5"/>
    <n v="1932.9"/>
    <n v="6610.52"/>
    <n v="485"/>
    <n v="43820.62"/>
    <x v="3"/>
    <x v="0"/>
    <s v="Chandigarh"/>
    <x v="1"/>
    <x v="1"/>
    <n v="2"/>
    <x v="1"/>
    <n v="3"/>
    <s v="Cancelled"/>
  </r>
  <r>
    <s v="ORD00912"/>
    <x v="106"/>
    <s v="CUST164"/>
    <s v="Riya"/>
    <x v="1"/>
    <n v="28"/>
    <x v="2"/>
    <x v="1"/>
    <x v="2"/>
    <x v="3"/>
    <n v="4"/>
    <n v="35630"/>
    <n v="15"/>
    <n v="21378"/>
    <n v="21805.56"/>
    <n v="107"/>
    <n v="143054.56"/>
    <x v="1"/>
    <x v="1"/>
    <s v="Mumbai"/>
    <x v="0"/>
    <x v="0"/>
    <n v="3"/>
    <x v="0"/>
    <n v="1"/>
    <s v="Returned"/>
  </r>
  <r>
    <s v="ORD00913"/>
    <x v="70"/>
    <s v="CUST107"/>
    <s v="Neha"/>
    <x v="1"/>
    <n v="59"/>
    <x v="9"/>
    <x v="0"/>
    <x v="9"/>
    <x v="8"/>
    <n v="2"/>
    <n v="36760"/>
    <n v="20"/>
    <n v="14704"/>
    <n v="10586.88"/>
    <n v="454"/>
    <n v="69856.88"/>
    <x v="2"/>
    <x v="0"/>
    <s v="Chandigarh"/>
    <x v="1"/>
    <x v="1"/>
    <n v="8"/>
    <x v="1"/>
    <n v="2"/>
    <s v="Shipped"/>
  </r>
  <r>
    <s v="ORD00914"/>
    <x v="233"/>
    <s v="CUST344"/>
    <s v="Riya"/>
    <x v="1"/>
    <n v="49"/>
    <x v="8"/>
    <x v="0"/>
    <x v="8"/>
    <x v="5"/>
    <n v="1"/>
    <n v="18286"/>
    <n v="20"/>
    <n v="3657.2"/>
    <n v="2633.18"/>
    <n v="99"/>
    <n v="17360.98"/>
    <x v="2"/>
    <x v="0"/>
    <s v="Patiala"/>
    <x v="1"/>
    <x v="1"/>
    <n v="3"/>
    <x v="1"/>
    <n v="3"/>
    <s v="Returned"/>
  </r>
  <r>
    <s v="ORD00915"/>
    <x v="205"/>
    <s v="CUST605"/>
    <s v="Karan"/>
    <x v="0"/>
    <n v="52"/>
    <x v="2"/>
    <x v="1"/>
    <x v="2"/>
    <x v="0"/>
    <n v="2"/>
    <n v="25487"/>
    <n v="20"/>
    <n v="10194.799999999999"/>
    <n v="7340.26"/>
    <n v="126"/>
    <n v="48245.46"/>
    <x v="0"/>
    <x v="1"/>
    <s v="Delhi"/>
    <x v="5"/>
    <x v="1"/>
    <n v="4"/>
    <x v="1"/>
    <n v="5"/>
    <s v="Returned"/>
  </r>
  <r>
    <s v="ORD00916"/>
    <x v="296"/>
    <s v="CUST763"/>
    <s v="Riya"/>
    <x v="1"/>
    <n v="51"/>
    <x v="4"/>
    <x v="0"/>
    <x v="4"/>
    <x v="3"/>
    <n v="3"/>
    <n v="3238"/>
    <n v="0"/>
    <n v="0"/>
    <n v="1748.52"/>
    <n v="121"/>
    <n v="11583.52"/>
    <x v="2"/>
    <x v="0"/>
    <s v="Delhi"/>
    <x v="5"/>
    <x v="1"/>
    <n v="3"/>
    <x v="0"/>
    <n v="3"/>
    <s v="Shipped"/>
  </r>
  <r>
    <s v="ORD00917"/>
    <x v="117"/>
    <s v="CUST223"/>
    <s v="Rahul"/>
    <x v="1"/>
    <n v="59"/>
    <x v="7"/>
    <x v="1"/>
    <x v="7"/>
    <x v="8"/>
    <n v="4"/>
    <n v="9369"/>
    <n v="5"/>
    <n v="1873.8"/>
    <n v="6408.4"/>
    <n v="483"/>
    <n v="42493.599999999999"/>
    <x v="0"/>
    <x v="0"/>
    <s v="Bangalore"/>
    <x v="3"/>
    <x v="2"/>
    <n v="2"/>
    <x v="0"/>
    <n v="2"/>
    <s v="Cancelled"/>
  </r>
  <r>
    <s v="ORD00918"/>
    <x v="11"/>
    <s v="CUST283"/>
    <s v="Sneha"/>
    <x v="1"/>
    <n v="20"/>
    <x v="3"/>
    <x v="2"/>
    <x v="3"/>
    <x v="1"/>
    <n v="5"/>
    <n v="7487"/>
    <n v="20"/>
    <n v="7487"/>
    <n v="5390.64"/>
    <n v="492"/>
    <n v="35830.639999999999"/>
    <x v="3"/>
    <x v="0"/>
    <s v="Chandigarh"/>
    <x v="1"/>
    <x v="1"/>
    <n v="4"/>
    <x v="0"/>
    <n v="4"/>
    <s v="Returned"/>
  </r>
  <r>
    <s v="ORD00919"/>
    <x v="68"/>
    <s v="CUST652"/>
    <s v="Anjali"/>
    <x v="0"/>
    <n v="42"/>
    <x v="5"/>
    <x v="0"/>
    <x v="5"/>
    <x v="4"/>
    <n v="5"/>
    <n v="8615"/>
    <n v="5"/>
    <n v="2153.75"/>
    <n v="7365.82"/>
    <n v="143"/>
    <n v="48430.07"/>
    <x v="2"/>
    <x v="0"/>
    <s v="Mumbai"/>
    <x v="0"/>
    <x v="0"/>
    <n v="7"/>
    <x v="0"/>
    <n v="5"/>
    <s v="Delivered"/>
  </r>
  <r>
    <s v="ORD00920"/>
    <x v="169"/>
    <s v="CUST688"/>
    <s v="Amit"/>
    <x v="0"/>
    <n v="47"/>
    <x v="0"/>
    <x v="0"/>
    <x v="0"/>
    <x v="4"/>
    <n v="1"/>
    <n v="17074"/>
    <n v="15"/>
    <n v="2561.1"/>
    <n v="2612.3200000000002"/>
    <n v="197"/>
    <n v="17322.22"/>
    <x v="3"/>
    <x v="1"/>
    <s v="Delhi"/>
    <x v="5"/>
    <x v="1"/>
    <n v="10"/>
    <x v="1"/>
    <n v="2"/>
    <s v="Delivered"/>
  </r>
  <r>
    <s v="ORD00921"/>
    <x v="124"/>
    <s v="CUST454"/>
    <s v="Karan"/>
    <x v="0"/>
    <n v="22"/>
    <x v="6"/>
    <x v="0"/>
    <x v="6"/>
    <x v="4"/>
    <n v="5"/>
    <n v="31555"/>
    <n v="0"/>
    <n v="0"/>
    <n v="28399.5"/>
    <n v="290"/>
    <n v="186464.5"/>
    <x v="3"/>
    <x v="0"/>
    <s v="Jaipur"/>
    <x v="2"/>
    <x v="1"/>
    <n v="5"/>
    <x v="1"/>
    <n v="2"/>
    <s v="Delivered"/>
  </r>
  <r>
    <s v="ORD00922"/>
    <x v="71"/>
    <s v="CUST251"/>
    <s v="Sneha"/>
    <x v="1"/>
    <n v="42"/>
    <x v="5"/>
    <x v="0"/>
    <x v="5"/>
    <x v="8"/>
    <n v="2"/>
    <n v="36468"/>
    <n v="10"/>
    <n v="7293.6"/>
    <n v="11815.63"/>
    <n v="106"/>
    <n v="77564.03"/>
    <x v="0"/>
    <x v="1"/>
    <s v="Lucknow"/>
    <x v="4"/>
    <x v="1"/>
    <n v="7"/>
    <x v="0"/>
    <n v="1"/>
    <s v="Delivered"/>
  </r>
  <r>
    <s v="ORD00923"/>
    <x v="266"/>
    <s v="CUST613"/>
    <s v="Neha"/>
    <x v="0"/>
    <n v="19"/>
    <x v="7"/>
    <x v="1"/>
    <x v="7"/>
    <x v="7"/>
    <n v="1"/>
    <n v="17001"/>
    <n v="20"/>
    <n v="3400.2"/>
    <n v="2448.14"/>
    <n v="72"/>
    <n v="16120.94"/>
    <x v="2"/>
    <x v="0"/>
    <s v="Patiala"/>
    <x v="1"/>
    <x v="1"/>
    <n v="3"/>
    <x v="0"/>
    <n v="4"/>
    <s v="Delivered"/>
  </r>
  <r>
    <s v="ORD00924"/>
    <x v="333"/>
    <s v="CUST764"/>
    <s v="Vikas"/>
    <x v="1"/>
    <n v="24"/>
    <x v="7"/>
    <x v="1"/>
    <x v="7"/>
    <x v="2"/>
    <n v="1"/>
    <n v="2091"/>
    <n v="10"/>
    <n v="209.1"/>
    <n v="338.74"/>
    <n v="95"/>
    <n v="2315.64"/>
    <x v="1"/>
    <x v="1"/>
    <s v="Pune"/>
    <x v="0"/>
    <x v="0"/>
    <n v="4"/>
    <x v="1"/>
    <n v="4"/>
    <s v="Cancelled"/>
  </r>
  <r>
    <s v="ORD00925"/>
    <x v="299"/>
    <s v="CUST685"/>
    <s v="Riya"/>
    <x v="0"/>
    <n v="24"/>
    <x v="4"/>
    <x v="0"/>
    <x v="4"/>
    <x v="9"/>
    <n v="5"/>
    <n v="27061"/>
    <n v="15"/>
    <n v="20295.75"/>
    <n v="20701.669999999998"/>
    <n v="389"/>
    <n v="136099.92000000001"/>
    <x v="2"/>
    <x v="1"/>
    <s v="Jaipur"/>
    <x v="2"/>
    <x v="1"/>
    <n v="4"/>
    <x v="0"/>
    <n v="2"/>
    <s v="Cancelled"/>
  </r>
  <r>
    <s v="ORD00926"/>
    <x v="267"/>
    <s v="CUST300"/>
    <s v="Priya"/>
    <x v="0"/>
    <n v="35"/>
    <x v="4"/>
    <x v="0"/>
    <x v="4"/>
    <x v="5"/>
    <n v="3"/>
    <n v="9812"/>
    <n v="20"/>
    <n v="5887.2"/>
    <n v="4238.78"/>
    <n v="136"/>
    <n v="27923.58"/>
    <x v="1"/>
    <x v="0"/>
    <s v="Delhi"/>
    <x v="5"/>
    <x v="1"/>
    <n v="5"/>
    <x v="1"/>
    <n v="5"/>
    <s v="Cancelled"/>
  </r>
  <r>
    <s v="ORD00927"/>
    <x v="103"/>
    <s v="CUST542"/>
    <s v="Arjun"/>
    <x v="0"/>
    <n v="48"/>
    <x v="8"/>
    <x v="0"/>
    <x v="8"/>
    <x v="1"/>
    <n v="2"/>
    <n v="42773"/>
    <n v="0"/>
    <n v="0"/>
    <n v="15398.28"/>
    <n v="254"/>
    <n v="101198.28"/>
    <x v="1"/>
    <x v="0"/>
    <s v="Pune"/>
    <x v="0"/>
    <x v="0"/>
    <n v="3"/>
    <x v="1"/>
    <n v="2"/>
    <s v="Cancelled"/>
  </r>
  <r>
    <s v="ORD00928"/>
    <x v="304"/>
    <s v="CUST512"/>
    <s v="Priya"/>
    <x v="1"/>
    <n v="42"/>
    <x v="5"/>
    <x v="0"/>
    <x v="5"/>
    <x v="7"/>
    <n v="1"/>
    <n v="14852"/>
    <n v="15"/>
    <n v="2227.8000000000002"/>
    <n v="2272.36"/>
    <n v="109"/>
    <n v="15005.56"/>
    <x v="3"/>
    <x v="1"/>
    <s v="Delhi"/>
    <x v="5"/>
    <x v="1"/>
    <n v="5"/>
    <x v="0"/>
    <n v="5"/>
    <s v="Returned"/>
  </r>
  <r>
    <s v="ORD00929"/>
    <x v="298"/>
    <s v="CUST876"/>
    <s v="Anjali"/>
    <x v="1"/>
    <n v="58"/>
    <x v="9"/>
    <x v="0"/>
    <x v="9"/>
    <x v="3"/>
    <n v="3"/>
    <n v="8496"/>
    <n v="15"/>
    <n v="3823.2"/>
    <n v="3899.66"/>
    <n v="138"/>
    <n v="25702.46"/>
    <x v="0"/>
    <x v="0"/>
    <s v="Delhi"/>
    <x v="5"/>
    <x v="1"/>
    <n v="9"/>
    <x v="0"/>
    <n v="3"/>
    <s v="Shipped"/>
  </r>
  <r>
    <s v="ORD00930"/>
    <x v="250"/>
    <s v="CUST222"/>
    <s v="Anjali"/>
    <x v="1"/>
    <n v="49"/>
    <x v="9"/>
    <x v="0"/>
    <x v="9"/>
    <x v="2"/>
    <n v="3"/>
    <n v="8963"/>
    <n v="20"/>
    <n v="5377.8"/>
    <n v="3872.02"/>
    <n v="168"/>
    <n v="25551.22"/>
    <x v="1"/>
    <x v="0"/>
    <s v="Delhi"/>
    <x v="5"/>
    <x v="1"/>
    <n v="8"/>
    <x v="1"/>
    <n v="1"/>
    <s v="Shipped"/>
  </r>
  <r>
    <s v="ORD00931"/>
    <x v="129"/>
    <s v="CUST108"/>
    <s v="Sneha"/>
    <x v="1"/>
    <n v="41"/>
    <x v="4"/>
    <x v="0"/>
    <x v="4"/>
    <x v="3"/>
    <n v="5"/>
    <n v="13929"/>
    <n v="0"/>
    <n v="0"/>
    <n v="12536.1"/>
    <n v="429"/>
    <n v="82610.100000000006"/>
    <x v="3"/>
    <x v="0"/>
    <s v="Mumbai"/>
    <x v="0"/>
    <x v="0"/>
    <n v="1"/>
    <x v="0"/>
    <n v="2"/>
    <s v="Delivered"/>
  </r>
  <r>
    <s v="ORD00932"/>
    <x v="172"/>
    <s v="CUST917"/>
    <s v="Rahul"/>
    <x v="1"/>
    <n v="20"/>
    <x v="6"/>
    <x v="0"/>
    <x v="6"/>
    <x v="4"/>
    <n v="3"/>
    <n v="5257"/>
    <n v="0"/>
    <n v="0"/>
    <n v="2838.78"/>
    <n v="305"/>
    <n v="18914.78"/>
    <x v="1"/>
    <x v="1"/>
    <s v="Pune"/>
    <x v="0"/>
    <x v="0"/>
    <n v="8"/>
    <x v="1"/>
    <n v="1"/>
    <s v="Cancelled"/>
  </r>
  <r>
    <s v="ORD00933"/>
    <x v="148"/>
    <s v="CUST730"/>
    <s v="Neha"/>
    <x v="0"/>
    <n v="34"/>
    <x v="3"/>
    <x v="2"/>
    <x v="3"/>
    <x v="4"/>
    <n v="5"/>
    <n v="38726"/>
    <n v="10"/>
    <n v="19363"/>
    <n v="31368.06"/>
    <n v="69"/>
    <n v="205704.06"/>
    <x v="1"/>
    <x v="0"/>
    <s v="Bangalore"/>
    <x v="3"/>
    <x v="2"/>
    <n v="5"/>
    <x v="0"/>
    <n v="3"/>
    <s v="Shipped"/>
  </r>
  <r>
    <s v="ORD00934"/>
    <x v="319"/>
    <s v="CUST802"/>
    <s v="Rahul"/>
    <x v="0"/>
    <n v="37"/>
    <x v="9"/>
    <x v="0"/>
    <x v="9"/>
    <x v="3"/>
    <n v="3"/>
    <n v="36827"/>
    <n v="20"/>
    <n v="22096.2"/>
    <n v="15909.26"/>
    <n v="406"/>
    <n v="104700.06"/>
    <x v="3"/>
    <x v="1"/>
    <s v="Jaipur"/>
    <x v="2"/>
    <x v="1"/>
    <n v="2"/>
    <x v="0"/>
    <n v="1"/>
    <s v="Cancelled"/>
  </r>
  <r>
    <s v="ORD00935"/>
    <x v="97"/>
    <s v="CUST176"/>
    <s v="Neha"/>
    <x v="1"/>
    <n v="41"/>
    <x v="4"/>
    <x v="0"/>
    <x v="4"/>
    <x v="4"/>
    <n v="5"/>
    <n v="41450"/>
    <n v="15"/>
    <n v="31087.5"/>
    <n v="31709.25"/>
    <n v="432"/>
    <n v="208303.75"/>
    <x v="3"/>
    <x v="1"/>
    <s v="Lucknow"/>
    <x v="4"/>
    <x v="1"/>
    <n v="10"/>
    <x v="1"/>
    <n v="3"/>
    <s v="Shipped"/>
  </r>
  <r>
    <s v="ORD00936"/>
    <x v="91"/>
    <s v="CUST368"/>
    <s v="Anjali"/>
    <x v="0"/>
    <n v="49"/>
    <x v="7"/>
    <x v="1"/>
    <x v="7"/>
    <x v="1"/>
    <n v="4"/>
    <n v="26576"/>
    <n v="5"/>
    <n v="5315.2"/>
    <n v="18177.98"/>
    <n v="152"/>
    <n v="119318.78"/>
    <x v="1"/>
    <x v="1"/>
    <s v="Delhi"/>
    <x v="5"/>
    <x v="1"/>
    <n v="9"/>
    <x v="1"/>
    <n v="4"/>
    <s v="Shipped"/>
  </r>
  <r>
    <s v="ORD00937"/>
    <x v="108"/>
    <s v="CUST910"/>
    <s v="Arjun"/>
    <x v="1"/>
    <n v="29"/>
    <x v="0"/>
    <x v="0"/>
    <x v="0"/>
    <x v="5"/>
    <n v="1"/>
    <n v="24845"/>
    <n v="5"/>
    <n v="1242.25"/>
    <n v="4248.49"/>
    <n v="17"/>
    <n v="27868.240000000002"/>
    <x v="1"/>
    <x v="0"/>
    <s v="Mumbai"/>
    <x v="0"/>
    <x v="0"/>
    <n v="9"/>
    <x v="1"/>
    <n v="4"/>
    <s v="Delivered"/>
  </r>
  <r>
    <s v="ORD00938"/>
    <x v="189"/>
    <s v="CUST635"/>
    <s v="Riya"/>
    <x v="1"/>
    <n v="55"/>
    <x v="0"/>
    <x v="0"/>
    <x v="0"/>
    <x v="1"/>
    <n v="2"/>
    <n v="49886"/>
    <n v="15"/>
    <n v="14965.8"/>
    <n v="15265.12"/>
    <n v="266"/>
    <n v="100337.32"/>
    <x v="2"/>
    <x v="0"/>
    <s v="Chandigarh"/>
    <x v="1"/>
    <x v="1"/>
    <n v="1"/>
    <x v="0"/>
    <n v="5"/>
    <s v="Shipped"/>
  </r>
  <r>
    <s v="ORD00939"/>
    <x v="334"/>
    <s v="CUST755"/>
    <s v="Anjali"/>
    <x v="0"/>
    <n v="52"/>
    <x v="6"/>
    <x v="0"/>
    <x v="6"/>
    <x v="0"/>
    <n v="5"/>
    <n v="31838"/>
    <n v="15"/>
    <n v="23878.5"/>
    <n v="24356.07"/>
    <n v="154"/>
    <n v="159821.57"/>
    <x v="0"/>
    <x v="0"/>
    <s v="Jaipur"/>
    <x v="2"/>
    <x v="1"/>
    <n v="4"/>
    <x v="0"/>
    <n v="1"/>
    <s v="Shipped"/>
  </r>
  <r>
    <s v="ORD00940"/>
    <x v="282"/>
    <s v="CUST232"/>
    <s v="Riya"/>
    <x v="0"/>
    <n v="43"/>
    <x v="2"/>
    <x v="1"/>
    <x v="2"/>
    <x v="9"/>
    <n v="5"/>
    <n v="41624"/>
    <n v="5"/>
    <n v="10406"/>
    <n v="35588.519999999997"/>
    <n v="290"/>
    <n v="233592.52"/>
    <x v="0"/>
    <x v="0"/>
    <s v="Bangalore"/>
    <x v="3"/>
    <x v="2"/>
    <n v="3"/>
    <x v="0"/>
    <n v="2"/>
    <s v="Shipped"/>
  </r>
  <r>
    <s v="ORD00941"/>
    <x v="67"/>
    <s v="CUST928"/>
    <s v="Karan"/>
    <x v="0"/>
    <n v="40"/>
    <x v="2"/>
    <x v="1"/>
    <x v="2"/>
    <x v="9"/>
    <n v="5"/>
    <n v="7734"/>
    <n v="0"/>
    <n v="0"/>
    <n v="6960.6"/>
    <n v="264"/>
    <n v="45894.6"/>
    <x v="2"/>
    <x v="1"/>
    <s v="Mumbai"/>
    <x v="0"/>
    <x v="0"/>
    <n v="5"/>
    <x v="0"/>
    <n v="5"/>
    <s v="Delivered"/>
  </r>
  <r>
    <s v="ORD00942"/>
    <x v="15"/>
    <s v="CUST468"/>
    <s v="Priya"/>
    <x v="0"/>
    <n v="46"/>
    <x v="3"/>
    <x v="2"/>
    <x v="3"/>
    <x v="9"/>
    <n v="1"/>
    <n v="13846"/>
    <n v="5"/>
    <n v="692.3"/>
    <n v="2367.67"/>
    <n v="300"/>
    <n v="15821.37"/>
    <x v="2"/>
    <x v="1"/>
    <s v="Chandigarh"/>
    <x v="1"/>
    <x v="1"/>
    <n v="6"/>
    <x v="1"/>
    <n v="5"/>
    <s v="Cancelled"/>
  </r>
  <r>
    <s v="ORD00943"/>
    <x v="335"/>
    <s v="CUST272"/>
    <s v="Neha"/>
    <x v="1"/>
    <n v="51"/>
    <x v="3"/>
    <x v="2"/>
    <x v="3"/>
    <x v="9"/>
    <n v="3"/>
    <n v="7577"/>
    <n v="10"/>
    <n v="2273.1"/>
    <n v="3682.42"/>
    <n v="242"/>
    <n v="24382.32"/>
    <x v="0"/>
    <x v="0"/>
    <s v="Patiala"/>
    <x v="1"/>
    <x v="1"/>
    <n v="1"/>
    <x v="0"/>
    <n v="2"/>
    <s v="Returned"/>
  </r>
  <r>
    <s v="ORD00944"/>
    <x v="304"/>
    <s v="CUST621"/>
    <s v="Priya"/>
    <x v="0"/>
    <n v="20"/>
    <x v="1"/>
    <x v="0"/>
    <x v="1"/>
    <x v="1"/>
    <n v="5"/>
    <n v="32146"/>
    <n v="10"/>
    <n v="16073"/>
    <n v="26038.26"/>
    <n v="38"/>
    <n v="170733.26"/>
    <x v="0"/>
    <x v="1"/>
    <s v="Patiala"/>
    <x v="1"/>
    <x v="1"/>
    <n v="3"/>
    <x v="1"/>
    <n v="1"/>
    <s v="Returned"/>
  </r>
  <r>
    <s v="ORD00945"/>
    <x v="336"/>
    <s v="CUST101"/>
    <s v="Priya"/>
    <x v="0"/>
    <n v="37"/>
    <x v="8"/>
    <x v="0"/>
    <x v="8"/>
    <x v="0"/>
    <n v="2"/>
    <n v="36331"/>
    <n v="15"/>
    <n v="10899.3"/>
    <n v="11117.29"/>
    <n v="386"/>
    <n v="73265.990000000005"/>
    <x v="1"/>
    <x v="0"/>
    <s v="Mumbai"/>
    <x v="0"/>
    <x v="0"/>
    <n v="3"/>
    <x v="1"/>
    <n v="5"/>
    <s v="Shipped"/>
  </r>
  <r>
    <s v="ORD00946"/>
    <x v="12"/>
    <s v="CUST501"/>
    <s v="Priya"/>
    <x v="1"/>
    <n v="54"/>
    <x v="3"/>
    <x v="2"/>
    <x v="3"/>
    <x v="2"/>
    <n v="3"/>
    <n v="30863"/>
    <n v="0"/>
    <n v="0"/>
    <n v="16666.02"/>
    <n v="493"/>
    <n v="109748.02"/>
    <x v="3"/>
    <x v="1"/>
    <s v="Patiala"/>
    <x v="1"/>
    <x v="1"/>
    <n v="10"/>
    <x v="0"/>
    <n v="3"/>
    <s v="Cancelled"/>
  </r>
  <r>
    <s v="ORD00947"/>
    <x v="97"/>
    <s v="CUST195"/>
    <s v="Neha"/>
    <x v="1"/>
    <n v="18"/>
    <x v="8"/>
    <x v="0"/>
    <x v="8"/>
    <x v="3"/>
    <n v="1"/>
    <n v="14652"/>
    <n v="0"/>
    <n v="0"/>
    <n v="2637.36"/>
    <n v="24"/>
    <n v="17313.36"/>
    <x v="3"/>
    <x v="1"/>
    <s v="Chandigarh"/>
    <x v="1"/>
    <x v="1"/>
    <n v="4"/>
    <x v="0"/>
    <n v="4"/>
    <s v="Returned"/>
  </r>
  <r>
    <s v="ORD00948"/>
    <x v="214"/>
    <s v="CUST810"/>
    <s v="Amit"/>
    <x v="1"/>
    <n v="21"/>
    <x v="0"/>
    <x v="0"/>
    <x v="0"/>
    <x v="9"/>
    <n v="5"/>
    <n v="1032"/>
    <n v="10"/>
    <n v="516"/>
    <n v="835.92"/>
    <n v="234"/>
    <n v="5713.92"/>
    <x v="3"/>
    <x v="0"/>
    <s v="Mumbai"/>
    <x v="0"/>
    <x v="0"/>
    <n v="4"/>
    <x v="0"/>
    <n v="3"/>
    <s v="Delivered"/>
  </r>
  <r>
    <s v="ORD00949"/>
    <x v="217"/>
    <s v="CUST787"/>
    <s v="Karan"/>
    <x v="0"/>
    <n v="42"/>
    <x v="5"/>
    <x v="0"/>
    <x v="5"/>
    <x v="2"/>
    <n v="5"/>
    <n v="4697"/>
    <n v="0"/>
    <n v="0"/>
    <n v="4227.3"/>
    <n v="377"/>
    <n v="28089.3"/>
    <x v="3"/>
    <x v="1"/>
    <s v="Pune"/>
    <x v="0"/>
    <x v="0"/>
    <n v="7"/>
    <x v="0"/>
    <n v="3"/>
    <s v="Delivered"/>
  </r>
  <r>
    <s v="ORD00950"/>
    <x v="22"/>
    <s v="CUST171"/>
    <s v="Sneha"/>
    <x v="1"/>
    <n v="44"/>
    <x v="9"/>
    <x v="0"/>
    <x v="9"/>
    <x v="4"/>
    <n v="1"/>
    <n v="5912"/>
    <n v="10"/>
    <n v="591.20000000000005"/>
    <n v="957.74"/>
    <n v="45"/>
    <n v="6323.54"/>
    <x v="0"/>
    <x v="0"/>
    <s v="Mumbai"/>
    <x v="0"/>
    <x v="0"/>
    <n v="2"/>
    <x v="1"/>
    <n v="2"/>
    <s v="Delivered"/>
  </r>
  <r>
    <s v="ORD00951"/>
    <x v="167"/>
    <s v="CUST398"/>
    <s v="Amit"/>
    <x v="0"/>
    <n v="39"/>
    <x v="2"/>
    <x v="1"/>
    <x v="2"/>
    <x v="1"/>
    <n v="2"/>
    <n v="43132"/>
    <n v="0"/>
    <n v="0"/>
    <n v="15527.52"/>
    <n v="296"/>
    <n v="102087.52"/>
    <x v="1"/>
    <x v="0"/>
    <s v="Chandigarh"/>
    <x v="1"/>
    <x v="1"/>
    <n v="7"/>
    <x v="1"/>
    <n v="1"/>
    <s v="Delivered"/>
  </r>
  <r>
    <s v="ORD00952"/>
    <x v="123"/>
    <s v="CUST858"/>
    <s v="Vikas"/>
    <x v="1"/>
    <n v="23"/>
    <x v="9"/>
    <x v="0"/>
    <x v="9"/>
    <x v="3"/>
    <n v="1"/>
    <n v="47653"/>
    <n v="5"/>
    <n v="2382.65"/>
    <n v="8148.66"/>
    <n v="319"/>
    <n v="53738.01"/>
    <x v="0"/>
    <x v="0"/>
    <s v="Bangalore"/>
    <x v="3"/>
    <x v="2"/>
    <n v="9"/>
    <x v="1"/>
    <n v="3"/>
    <s v="Delivered"/>
  </r>
  <r>
    <s v="ORD00953"/>
    <x v="294"/>
    <s v="CUST827"/>
    <s v="Anjali"/>
    <x v="1"/>
    <n v="49"/>
    <x v="9"/>
    <x v="0"/>
    <x v="9"/>
    <x v="4"/>
    <n v="5"/>
    <n v="34519"/>
    <n v="10"/>
    <n v="17259.5"/>
    <n v="27960.39"/>
    <n v="202"/>
    <n v="183497.89"/>
    <x v="0"/>
    <x v="0"/>
    <s v="Pune"/>
    <x v="0"/>
    <x v="0"/>
    <n v="4"/>
    <x v="0"/>
    <n v="1"/>
    <s v="Cancelled"/>
  </r>
  <r>
    <s v="ORD00954"/>
    <x v="337"/>
    <s v="CUST761"/>
    <s v="Amit"/>
    <x v="0"/>
    <n v="23"/>
    <x v="7"/>
    <x v="1"/>
    <x v="7"/>
    <x v="8"/>
    <n v="3"/>
    <n v="39182"/>
    <n v="15"/>
    <n v="17631.900000000001"/>
    <n v="17984.54"/>
    <n v="76"/>
    <n v="117974.64"/>
    <x v="2"/>
    <x v="0"/>
    <s v="Jaipur"/>
    <x v="2"/>
    <x v="1"/>
    <n v="6"/>
    <x v="0"/>
    <n v="5"/>
    <s v="Delivered"/>
  </r>
  <r>
    <s v="ORD00955"/>
    <x v="86"/>
    <s v="CUST420"/>
    <s v="Arjun"/>
    <x v="0"/>
    <n v="51"/>
    <x v="9"/>
    <x v="0"/>
    <x v="9"/>
    <x v="0"/>
    <n v="4"/>
    <n v="34291"/>
    <n v="20"/>
    <n v="27432.799999999999"/>
    <n v="19751.62"/>
    <n v="458"/>
    <n v="129940.82"/>
    <x v="3"/>
    <x v="1"/>
    <s v="Mumbai"/>
    <x v="0"/>
    <x v="0"/>
    <n v="7"/>
    <x v="1"/>
    <n v="4"/>
    <s v="Delivered"/>
  </r>
  <r>
    <s v="ORD00956"/>
    <x v="177"/>
    <s v="CUST382"/>
    <s v="Priya"/>
    <x v="1"/>
    <n v="44"/>
    <x v="7"/>
    <x v="1"/>
    <x v="7"/>
    <x v="2"/>
    <n v="4"/>
    <n v="30226"/>
    <n v="0"/>
    <n v="0"/>
    <n v="21762.720000000001"/>
    <n v="174"/>
    <n v="142840.72"/>
    <x v="0"/>
    <x v="1"/>
    <s v="Jaipur"/>
    <x v="2"/>
    <x v="1"/>
    <n v="7"/>
    <x v="0"/>
    <n v="3"/>
    <s v="Returned"/>
  </r>
  <r>
    <s v="ORD00957"/>
    <x v="191"/>
    <s v="CUST302"/>
    <s v="Anjali"/>
    <x v="0"/>
    <n v="54"/>
    <x v="5"/>
    <x v="0"/>
    <x v="5"/>
    <x v="8"/>
    <n v="3"/>
    <n v="3452"/>
    <n v="20"/>
    <n v="2071.1999999999998"/>
    <n v="1491.26"/>
    <n v="219"/>
    <n v="9995.06"/>
    <x v="1"/>
    <x v="0"/>
    <s v="Jaipur"/>
    <x v="2"/>
    <x v="1"/>
    <n v="5"/>
    <x v="1"/>
    <n v="3"/>
    <s v="Shipped"/>
  </r>
  <r>
    <s v="ORD00958"/>
    <x v="101"/>
    <s v="CUST170"/>
    <s v="Neha"/>
    <x v="1"/>
    <n v="24"/>
    <x v="6"/>
    <x v="0"/>
    <x v="6"/>
    <x v="3"/>
    <n v="4"/>
    <n v="29812"/>
    <n v="5"/>
    <n v="5962.4"/>
    <n v="20391.41"/>
    <n v="257"/>
    <n v="133934.01"/>
    <x v="3"/>
    <x v="0"/>
    <s v="Bangalore"/>
    <x v="3"/>
    <x v="2"/>
    <n v="7"/>
    <x v="1"/>
    <n v="3"/>
    <s v="Delivered"/>
  </r>
  <r>
    <s v="ORD00959"/>
    <x v="322"/>
    <s v="CUST305"/>
    <s v="Anjali"/>
    <x v="0"/>
    <n v="33"/>
    <x v="6"/>
    <x v="0"/>
    <x v="6"/>
    <x v="7"/>
    <n v="4"/>
    <n v="12665"/>
    <n v="10"/>
    <n v="5066"/>
    <n v="8206.92"/>
    <n v="304"/>
    <n v="54104.92"/>
    <x v="0"/>
    <x v="0"/>
    <s v="Jaipur"/>
    <x v="2"/>
    <x v="1"/>
    <n v="9"/>
    <x v="1"/>
    <n v="3"/>
    <s v="Returned"/>
  </r>
  <r>
    <s v="ORD00960"/>
    <x v="279"/>
    <s v="CUST108"/>
    <s v="Sneha"/>
    <x v="1"/>
    <n v="34"/>
    <x v="0"/>
    <x v="0"/>
    <x v="0"/>
    <x v="3"/>
    <n v="2"/>
    <n v="19888"/>
    <n v="5"/>
    <n v="1988.8"/>
    <n v="6801.7"/>
    <n v="174"/>
    <n v="44762.9"/>
    <x v="1"/>
    <x v="1"/>
    <s v="Delhi"/>
    <x v="5"/>
    <x v="1"/>
    <n v="7"/>
    <x v="1"/>
    <n v="3"/>
    <s v="Shipped"/>
  </r>
  <r>
    <s v="ORD00961"/>
    <x v="34"/>
    <s v="CUST808"/>
    <s v="Priya"/>
    <x v="1"/>
    <n v="58"/>
    <x v="1"/>
    <x v="0"/>
    <x v="1"/>
    <x v="9"/>
    <n v="5"/>
    <n v="24187"/>
    <n v="20"/>
    <n v="24187"/>
    <n v="17414.64"/>
    <n v="271"/>
    <n v="114433.64"/>
    <x v="0"/>
    <x v="1"/>
    <s v="Delhi"/>
    <x v="5"/>
    <x v="1"/>
    <n v="9"/>
    <x v="1"/>
    <n v="2"/>
    <s v="Delivered"/>
  </r>
  <r>
    <s v="ORD00962"/>
    <x v="51"/>
    <s v="CUST203"/>
    <s v="Sneha"/>
    <x v="1"/>
    <n v="21"/>
    <x v="2"/>
    <x v="1"/>
    <x v="2"/>
    <x v="4"/>
    <n v="1"/>
    <n v="27343"/>
    <n v="5"/>
    <n v="1367.15"/>
    <n v="4675.6499999999996"/>
    <n v="427"/>
    <n v="31078.5"/>
    <x v="3"/>
    <x v="0"/>
    <s v="Chandigarh"/>
    <x v="1"/>
    <x v="1"/>
    <n v="6"/>
    <x v="0"/>
    <n v="1"/>
    <s v="Shipped"/>
  </r>
  <r>
    <s v="ORD00963"/>
    <x v="64"/>
    <s v="CUST992"/>
    <s v="Priya"/>
    <x v="0"/>
    <n v="23"/>
    <x v="4"/>
    <x v="0"/>
    <x v="4"/>
    <x v="2"/>
    <n v="1"/>
    <n v="36253"/>
    <n v="0"/>
    <n v="0"/>
    <n v="6525.54"/>
    <n v="493"/>
    <n v="43271.54"/>
    <x v="2"/>
    <x v="0"/>
    <s v="Patiala"/>
    <x v="1"/>
    <x v="1"/>
    <n v="7"/>
    <x v="0"/>
    <n v="2"/>
    <s v="Delivered"/>
  </r>
  <r>
    <s v="ORD00964"/>
    <x v="242"/>
    <s v="CUST363"/>
    <s v="Sneha"/>
    <x v="1"/>
    <n v="47"/>
    <x v="6"/>
    <x v="0"/>
    <x v="6"/>
    <x v="3"/>
    <n v="2"/>
    <n v="6461"/>
    <n v="0"/>
    <n v="0"/>
    <n v="2325.96"/>
    <n v="137"/>
    <n v="15384.96"/>
    <x v="0"/>
    <x v="1"/>
    <s v="Mumbai"/>
    <x v="0"/>
    <x v="0"/>
    <n v="4"/>
    <x v="1"/>
    <n v="2"/>
    <s v="Cancelled"/>
  </r>
  <r>
    <s v="ORD00965"/>
    <x v="181"/>
    <s v="CUST175"/>
    <s v="Neha"/>
    <x v="0"/>
    <n v="26"/>
    <x v="0"/>
    <x v="0"/>
    <x v="0"/>
    <x v="0"/>
    <n v="5"/>
    <n v="34990"/>
    <n v="20"/>
    <n v="34990"/>
    <n v="25192.799999999999"/>
    <n v="340"/>
    <n v="165492.79999999999"/>
    <x v="3"/>
    <x v="0"/>
    <s v="Lucknow"/>
    <x v="4"/>
    <x v="1"/>
    <n v="2"/>
    <x v="1"/>
    <n v="1"/>
    <s v="Shipped"/>
  </r>
  <r>
    <s v="ORD00966"/>
    <x v="99"/>
    <s v="CUST509"/>
    <s v="Arjun"/>
    <x v="1"/>
    <n v="33"/>
    <x v="1"/>
    <x v="0"/>
    <x v="1"/>
    <x v="1"/>
    <n v="3"/>
    <n v="6736"/>
    <n v="15"/>
    <n v="3031.2"/>
    <n v="3091.82"/>
    <n v="130"/>
    <n v="20398.62"/>
    <x v="2"/>
    <x v="0"/>
    <s v="Delhi"/>
    <x v="5"/>
    <x v="1"/>
    <n v="8"/>
    <x v="1"/>
    <n v="3"/>
    <s v="Cancelled"/>
  </r>
  <r>
    <s v="ORD00967"/>
    <x v="268"/>
    <s v="CUST151"/>
    <s v="Amit"/>
    <x v="0"/>
    <n v="27"/>
    <x v="0"/>
    <x v="0"/>
    <x v="0"/>
    <x v="6"/>
    <n v="1"/>
    <n v="24799"/>
    <n v="0"/>
    <n v="0"/>
    <n v="4463.82"/>
    <n v="488"/>
    <n v="29750.82"/>
    <x v="3"/>
    <x v="1"/>
    <s v="Chandigarh"/>
    <x v="1"/>
    <x v="1"/>
    <n v="1"/>
    <x v="1"/>
    <n v="4"/>
    <s v="Shipped"/>
  </r>
  <r>
    <s v="ORD00968"/>
    <x v="177"/>
    <s v="CUST611"/>
    <s v="Rahul"/>
    <x v="1"/>
    <n v="47"/>
    <x v="9"/>
    <x v="0"/>
    <x v="9"/>
    <x v="6"/>
    <n v="1"/>
    <n v="9195"/>
    <n v="20"/>
    <n v="1839"/>
    <n v="1324.08"/>
    <n v="174"/>
    <n v="8854.08"/>
    <x v="2"/>
    <x v="0"/>
    <s v="Delhi"/>
    <x v="5"/>
    <x v="1"/>
    <n v="2"/>
    <x v="1"/>
    <n v="5"/>
    <s v="Returned"/>
  </r>
  <r>
    <s v="ORD00969"/>
    <x v="304"/>
    <s v="CUST466"/>
    <s v="Riya"/>
    <x v="0"/>
    <n v="41"/>
    <x v="1"/>
    <x v="0"/>
    <x v="1"/>
    <x v="9"/>
    <n v="3"/>
    <n v="46281"/>
    <n v="5"/>
    <n v="6942.15"/>
    <n v="23742.15"/>
    <n v="54"/>
    <n v="155697"/>
    <x v="2"/>
    <x v="1"/>
    <s v="Mumbai"/>
    <x v="0"/>
    <x v="0"/>
    <n v="8"/>
    <x v="1"/>
    <n v="2"/>
    <s v="Cancelled"/>
  </r>
  <r>
    <s v="ORD00970"/>
    <x v="267"/>
    <s v="CUST886"/>
    <s v="Sneha"/>
    <x v="1"/>
    <n v="47"/>
    <x v="1"/>
    <x v="0"/>
    <x v="1"/>
    <x v="8"/>
    <n v="3"/>
    <n v="11665"/>
    <n v="15"/>
    <n v="5249.25"/>
    <n v="5354.23"/>
    <n v="392"/>
    <n v="35491.99"/>
    <x v="3"/>
    <x v="1"/>
    <s v="Jaipur"/>
    <x v="2"/>
    <x v="1"/>
    <n v="6"/>
    <x v="0"/>
    <n v="5"/>
    <s v="Returned"/>
  </r>
  <r>
    <s v="ORD00971"/>
    <x v="8"/>
    <s v="CUST692"/>
    <s v="Neha"/>
    <x v="0"/>
    <n v="23"/>
    <x v="1"/>
    <x v="0"/>
    <x v="1"/>
    <x v="0"/>
    <n v="2"/>
    <n v="41905"/>
    <n v="20"/>
    <n v="16762"/>
    <n v="12068.64"/>
    <n v="427"/>
    <n v="79543.64"/>
    <x v="2"/>
    <x v="1"/>
    <s v="Patiala"/>
    <x v="1"/>
    <x v="1"/>
    <n v="5"/>
    <x v="0"/>
    <n v="1"/>
    <s v="Cancelled"/>
  </r>
  <r>
    <s v="ORD00972"/>
    <x v="203"/>
    <s v="CUST251"/>
    <s v="Arjun"/>
    <x v="1"/>
    <n v="38"/>
    <x v="1"/>
    <x v="0"/>
    <x v="1"/>
    <x v="4"/>
    <n v="1"/>
    <n v="13855"/>
    <n v="15"/>
    <n v="2078.25"/>
    <n v="2119.8200000000002"/>
    <n v="127"/>
    <n v="14023.57"/>
    <x v="1"/>
    <x v="0"/>
    <s v="Jaipur"/>
    <x v="2"/>
    <x v="1"/>
    <n v="7"/>
    <x v="1"/>
    <n v="5"/>
    <s v="Delivered"/>
  </r>
  <r>
    <s v="ORD00973"/>
    <x v="316"/>
    <s v="CUST798"/>
    <s v="Sneha"/>
    <x v="1"/>
    <n v="51"/>
    <x v="2"/>
    <x v="1"/>
    <x v="2"/>
    <x v="0"/>
    <n v="4"/>
    <n v="29217"/>
    <n v="0"/>
    <n v="0"/>
    <n v="21036.240000000002"/>
    <n v="188"/>
    <n v="138092.24"/>
    <x v="2"/>
    <x v="1"/>
    <s v="Mumbai"/>
    <x v="0"/>
    <x v="0"/>
    <n v="10"/>
    <x v="0"/>
    <n v="1"/>
    <s v="Delivered"/>
  </r>
  <r>
    <s v="ORD00974"/>
    <x v="192"/>
    <s v="CUST431"/>
    <s v="Priya"/>
    <x v="0"/>
    <n v="19"/>
    <x v="3"/>
    <x v="2"/>
    <x v="3"/>
    <x v="6"/>
    <n v="3"/>
    <n v="34047"/>
    <n v="0"/>
    <n v="0"/>
    <n v="18385.38"/>
    <n v="42"/>
    <n v="120568.38"/>
    <x v="2"/>
    <x v="1"/>
    <s v="Delhi"/>
    <x v="5"/>
    <x v="1"/>
    <n v="3"/>
    <x v="0"/>
    <n v="5"/>
    <s v="Delivered"/>
  </r>
  <r>
    <s v="ORD00975"/>
    <x v="338"/>
    <s v="CUST242"/>
    <s v="Riya"/>
    <x v="1"/>
    <n v="47"/>
    <x v="7"/>
    <x v="1"/>
    <x v="7"/>
    <x v="1"/>
    <n v="4"/>
    <n v="40544"/>
    <n v="5"/>
    <n v="8108.8"/>
    <n v="27732.1"/>
    <n v="384"/>
    <n v="182183.3"/>
    <x v="1"/>
    <x v="0"/>
    <s v="Delhi"/>
    <x v="5"/>
    <x v="1"/>
    <n v="10"/>
    <x v="1"/>
    <n v="1"/>
    <s v="Cancelled"/>
  </r>
  <r>
    <s v="ORD00976"/>
    <x v="56"/>
    <s v="CUST276"/>
    <s v="Rahul"/>
    <x v="1"/>
    <n v="23"/>
    <x v="0"/>
    <x v="0"/>
    <x v="0"/>
    <x v="6"/>
    <n v="1"/>
    <n v="34177"/>
    <n v="15"/>
    <n v="5126.55"/>
    <n v="5229.08"/>
    <n v="114"/>
    <n v="34393.53"/>
    <x v="3"/>
    <x v="0"/>
    <s v="Bangalore"/>
    <x v="3"/>
    <x v="2"/>
    <n v="7"/>
    <x v="0"/>
    <n v="5"/>
    <s v="Cancelled"/>
  </r>
  <r>
    <s v="ORD00977"/>
    <x v="111"/>
    <s v="CUST137"/>
    <s v="Neha"/>
    <x v="1"/>
    <n v="35"/>
    <x v="7"/>
    <x v="1"/>
    <x v="7"/>
    <x v="0"/>
    <n v="4"/>
    <n v="32481"/>
    <n v="20"/>
    <n v="25984.799999999999"/>
    <n v="18709.060000000001"/>
    <n v="431"/>
    <n v="123079.26"/>
    <x v="2"/>
    <x v="1"/>
    <s v="Mumbai"/>
    <x v="0"/>
    <x v="0"/>
    <n v="5"/>
    <x v="1"/>
    <n v="3"/>
    <s v="Cancelled"/>
  </r>
  <r>
    <s v="ORD00978"/>
    <x v="23"/>
    <s v="CUST947"/>
    <s v="Anjali"/>
    <x v="1"/>
    <n v="45"/>
    <x v="5"/>
    <x v="0"/>
    <x v="5"/>
    <x v="2"/>
    <n v="4"/>
    <n v="26540"/>
    <n v="10"/>
    <n v="10616"/>
    <n v="17197.919999999998"/>
    <n v="448"/>
    <n v="113189.92"/>
    <x v="0"/>
    <x v="1"/>
    <s v="Bangalore"/>
    <x v="3"/>
    <x v="2"/>
    <n v="8"/>
    <x v="1"/>
    <n v="5"/>
    <s v="Shipped"/>
  </r>
  <r>
    <s v="ORD00979"/>
    <x v="251"/>
    <s v="CUST468"/>
    <s v="Neha"/>
    <x v="0"/>
    <n v="57"/>
    <x v="1"/>
    <x v="0"/>
    <x v="1"/>
    <x v="1"/>
    <n v="2"/>
    <n v="7396"/>
    <n v="20"/>
    <n v="2958.4"/>
    <n v="2130.0500000000002"/>
    <n v="160"/>
    <n v="14123.65"/>
    <x v="0"/>
    <x v="1"/>
    <s v="Chandigarh"/>
    <x v="1"/>
    <x v="1"/>
    <n v="2"/>
    <x v="1"/>
    <n v="4"/>
    <s v="Returned"/>
  </r>
  <r>
    <s v="ORD00980"/>
    <x v="97"/>
    <s v="CUST944"/>
    <s v="Riya"/>
    <x v="1"/>
    <n v="19"/>
    <x v="4"/>
    <x v="0"/>
    <x v="4"/>
    <x v="5"/>
    <n v="4"/>
    <n v="12010"/>
    <n v="5"/>
    <n v="2402"/>
    <n v="8214.84"/>
    <n v="40"/>
    <n v="53892.84"/>
    <x v="1"/>
    <x v="1"/>
    <s v="Mumbai"/>
    <x v="0"/>
    <x v="0"/>
    <n v="2"/>
    <x v="1"/>
    <n v="1"/>
    <s v="Returned"/>
  </r>
  <r>
    <s v="ORD00981"/>
    <x v="327"/>
    <s v="CUST139"/>
    <s v="Riya"/>
    <x v="1"/>
    <n v="26"/>
    <x v="8"/>
    <x v="0"/>
    <x v="8"/>
    <x v="8"/>
    <n v="2"/>
    <n v="2315"/>
    <n v="20"/>
    <n v="926"/>
    <n v="666.72"/>
    <n v="203"/>
    <n v="4573.72"/>
    <x v="2"/>
    <x v="1"/>
    <s v="Pune"/>
    <x v="0"/>
    <x v="0"/>
    <n v="10"/>
    <x v="0"/>
    <n v="4"/>
    <s v="Returned"/>
  </r>
  <r>
    <s v="ORD00982"/>
    <x v="92"/>
    <s v="CUST106"/>
    <s v="Sneha"/>
    <x v="1"/>
    <n v="59"/>
    <x v="4"/>
    <x v="0"/>
    <x v="4"/>
    <x v="7"/>
    <n v="2"/>
    <n v="14022"/>
    <n v="20"/>
    <n v="5608.8"/>
    <n v="4038.34"/>
    <n v="455"/>
    <n v="26928.54"/>
    <x v="3"/>
    <x v="0"/>
    <s v="Delhi"/>
    <x v="5"/>
    <x v="1"/>
    <n v="1"/>
    <x v="0"/>
    <n v="3"/>
    <s v="Returned"/>
  </r>
  <r>
    <s v="ORD00983"/>
    <x v="272"/>
    <s v="CUST518"/>
    <s v="Rahul"/>
    <x v="1"/>
    <n v="58"/>
    <x v="3"/>
    <x v="2"/>
    <x v="3"/>
    <x v="0"/>
    <n v="3"/>
    <n v="31885"/>
    <n v="5"/>
    <n v="4782.75"/>
    <n v="16357"/>
    <n v="220"/>
    <n v="107449.26"/>
    <x v="0"/>
    <x v="0"/>
    <s v="Jaipur"/>
    <x v="2"/>
    <x v="1"/>
    <n v="8"/>
    <x v="0"/>
    <n v="1"/>
    <s v="Returned"/>
  </r>
  <r>
    <s v="ORD00984"/>
    <x v="244"/>
    <s v="CUST396"/>
    <s v="Rahul"/>
    <x v="1"/>
    <n v="32"/>
    <x v="3"/>
    <x v="2"/>
    <x v="3"/>
    <x v="3"/>
    <n v="2"/>
    <n v="12286"/>
    <n v="20"/>
    <n v="4914.3999999999996"/>
    <n v="3538.37"/>
    <n v="422"/>
    <n v="23617.97"/>
    <x v="3"/>
    <x v="1"/>
    <s v="Patiala"/>
    <x v="1"/>
    <x v="1"/>
    <n v="4"/>
    <x v="0"/>
    <n v="3"/>
    <s v="Cancelled"/>
  </r>
  <r>
    <s v="ORD00985"/>
    <x v="88"/>
    <s v="CUST376"/>
    <s v="Riya"/>
    <x v="0"/>
    <n v="23"/>
    <x v="8"/>
    <x v="0"/>
    <x v="8"/>
    <x v="6"/>
    <n v="3"/>
    <n v="49317"/>
    <n v="20"/>
    <n v="29590.2"/>
    <n v="21304.94"/>
    <n v="76"/>
    <n v="139741.74"/>
    <x v="1"/>
    <x v="0"/>
    <s v="Pune"/>
    <x v="0"/>
    <x v="0"/>
    <n v="7"/>
    <x v="0"/>
    <n v="4"/>
    <s v="Shipped"/>
  </r>
  <r>
    <s v="ORD00986"/>
    <x v="285"/>
    <s v="CUST180"/>
    <s v="Rahul"/>
    <x v="1"/>
    <n v="59"/>
    <x v="6"/>
    <x v="0"/>
    <x v="6"/>
    <x v="3"/>
    <n v="1"/>
    <n v="2308"/>
    <n v="20"/>
    <n v="461.6"/>
    <n v="332.35"/>
    <n v="445"/>
    <n v="2623.75"/>
    <x v="1"/>
    <x v="1"/>
    <s v="Bangalore"/>
    <x v="3"/>
    <x v="2"/>
    <n v="6"/>
    <x v="0"/>
    <n v="5"/>
    <s v="Shipped"/>
  </r>
  <r>
    <s v="ORD00987"/>
    <x v="304"/>
    <s v="CUST544"/>
    <s v="Sneha"/>
    <x v="1"/>
    <n v="49"/>
    <x v="2"/>
    <x v="1"/>
    <x v="2"/>
    <x v="8"/>
    <n v="2"/>
    <n v="12242"/>
    <n v="5"/>
    <n v="1224.2"/>
    <n v="4186.76"/>
    <n v="314"/>
    <n v="27760.560000000001"/>
    <x v="0"/>
    <x v="0"/>
    <s v="Delhi"/>
    <x v="5"/>
    <x v="1"/>
    <n v="10"/>
    <x v="1"/>
    <n v="4"/>
    <s v="Returned"/>
  </r>
  <r>
    <s v="ORD00988"/>
    <x v="0"/>
    <s v="CUST865"/>
    <s v="Vikas"/>
    <x v="1"/>
    <n v="54"/>
    <x v="9"/>
    <x v="0"/>
    <x v="9"/>
    <x v="0"/>
    <n v="4"/>
    <n v="2691"/>
    <n v="15"/>
    <n v="1614.6"/>
    <n v="1646.89"/>
    <n v="248"/>
    <n v="11044.29"/>
    <x v="0"/>
    <x v="1"/>
    <s v="Chandigarh"/>
    <x v="1"/>
    <x v="1"/>
    <n v="9"/>
    <x v="0"/>
    <n v="1"/>
    <s v="Returned"/>
  </r>
  <r>
    <s v="ORD00989"/>
    <x v="289"/>
    <s v="CUST852"/>
    <s v="Anjali"/>
    <x v="1"/>
    <n v="52"/>
    <x v="4"/>
    <x v="0"/>
    <x v="4"/>
    <x v="8"/>
    <n v="1"/>
    <n v="3151"/>
    <n v="15"/>
    <n v="472.65"/>
    <n v="482.1"/>
    <n v="224"/>
    <n v="3384.45"/>
    <x v="2"/>
    <x v="1"/>
    <s v="Bangalore"/>
    <x v="3"/>
    <x v="2"/>
    <n v="6"/>
    <x v="0"/>
    <n v="2"/>
    <s v="Delivered"/>
  </r>
  <r>
    <s v="ORD00990"/>
    <x v="125"/>
    <s v="CUST213"/>
    <s v="Riya"/>
    <x v="1"/>
    <n v="52"/>
    <x v="9"/>
    <x v="0"/>
    <x v="9"/>
    <x v="6"/>
    <n v="5"/>
    <n v="31839"/>
    <n v="15"/>
    <n v="23879.25"/>
    <n v="24356.83"/>
    <n v="295"/>
    <n v="159967.57999999999"/>
    <x v="0"/>
    <x v="0"/>
    <s v="Pune"/>
    <x v="0"/>
    <x v="0"/>
    <n v="3"/>
    <x v="1"/>
    <n v="4"/>
    <s v="Returned"/>
  </r>
  <r>
    <s v="ORD00991"/>
    <x v="143"/>
    <s v="CUST982"/>
    <s v="Vikas"/>
    <x v="1"/>
    <n v="54"/>
    <x v="3"/>
    <x v="2"/>
    <x v="3"/>
    <x v="1"/>
    <n v="1"/>
    <n v="18336"/>
    <n v="0"/>
    <n v="0"/>
    <n v="3300.48"/>
    <n v="116"/>
    <n v="21752.48"/>
    <x v="3"/>
    <x v="1"/>
    <s v="Lucknow"/>
    <x v="4"/>
    <x v="1"/>
    <n v="8"/>
    <x v="0"/>
    <n v="2"/>
    <s v="Returned"/>
  </r>
  <r>
    <s v="ORD00992"/>
    <x v="77"/>
    <s v="CUST283"/>
    <s v="Karan"/>
    <x v="0"/>
    <n v="57"/>
    <x v="2"/>
    <x v="1"/>
    <x v="2"/>
    <x v="6"/>
    <n v="5"/>
    <n v="39114"/>
    <n v="20"/>
    <n v="39114"/>
    <n v="28162.080000000002"/>
    <n v="411"/>
    <n v="185029.08"/>
    <x v="0"/>
    <x v="1"/>
    <s v="Mumbai"/>
    <x v="0"/>
    <x v="0"/>
    <n v="8"/>
    <x v="1"/>
    <n v="2"/>
    <s v="Delivered"/>
  </r>
  <r>
    <s v="ORD00993"/>
    <x v="106"/>
    <s v="CUST225"/>
    <s v="Karan"/>
    <x v="1"/>
    <n v="27"/>
    <x v="3"/>
    <x v="2"/>
    <x v="3"/>
    <x v="5"/>
    <n v="1"/>
    <n v="17294"/>
    <n v="15"/>
    <n v="2594.1"/>
    <n v="2645.98"/>
    <n v="210"/>
    <n v="17555.88"/>
    <x v="1"/>
    <x v="0"/>
    <s v="Jaipur"/>
    <x v="2"/>
    <x v="1"/>
    <n v="3"/>
    <x v="1"/>
    <n v="2"/>
    <s v="Shipped"/>
  </r>
  <r>
    <s v="ORD00994"/>
    <x v="257"/>
    <s v="CUST442"/>
    <s v="Sneha"/>
    <x v="0"/>
    <n v="48"/>
    <x v="7"/>
    <x v="1"/>
    <x v="7"/>
    <x v="8"/>
    <n v="1"/>
    <n v="24272"/>
    <n v="20"/>
    <n v="4854.3999999999996"/>
    <n v="3495.17"/>
    <n v="462"/>
    <n v="23374.77"/>
    <x v="3"/>
    <x v="0"/>
    <s v="Bangalore"/>
    <x v="3"/>
    <x v="2"/>
    <n v="7"/>
    <x v="1"/>
    <n v="4"/>
    <s v="Cancelled"/>
  </r>
  <r>
    <s v="ORD00995"/>
    <x v="212"/>
    <s v="CUST205"/>
    <s v="Vikas"/>
    <x v="1"/>
    <n v="50"/>
    <x v="4"/>
    <x v="0"/>
    <x v="4"/>
    <x v="3"/>
    <n v="2"/>
    <n v="39387"/>
    <n v="15"/>
    <n v="11816.1"/>
    <n v="12052.42"/>
    <n v="127"/>
    <n v="79137.320000000007"/>
    <x v="2"/>
    <x v="1"/>
    <s v="Delhi"/>
    <x v="5"/>
    <x v="1"/>
    <n v="5"/>
    <x v="0"/>
    <n v="5"/>
    <s v="Delivered"/>
  </r>
  <r>
    <s v="ORD00996"/>
    <x v="117"/>
    <s v="CUST724"/>
    <s v="Karan"/>
    <x v="1"/>
    <n v="30"/>
    <x v="9"/>
    <x v="0"/>
    <x v="9"/>
    <x v="4"/>
    <n v="4"/>
    <n v="1783"/>
    <n v="5"/>
    <n v="356.6"/>
    <n v="1219.57"/>
    <n v="382"/>
    <n v="8376.9699999999993"/>
    <x v="2"/>
    <x v="1"/>
    <s v="Chandigarh"/>
    <x v="1"/>
    <x v="1"/>
    <n v="6"/>
    <x v="1"/>
    <n v="5"/>
    <s v="Delivered"/>
  </r>
  <r>
    <s v="ORD00997"/>
    <x v="116"/>
    <s v="CUST522"/>
    <s v="Rahul"/>
    <x v="1"/>
    <n v="34"/>
    <x v="9"/>
    <x v="0"/>
    <x v="9"/>
    <x v="6"/>
    <n v="2"/>
    <n v="9037"/>
    <n v="20"/>
    <n v="3614.8"/>
    <n v="2602.66"/>
    <n v="427"/>
    <n v="17488.86"/>
    <x v="3"/>
    <x v="1"/>
    <s v="Mumbai"/>
    <x v="0"/>
    <x v="0"/>
    <n v="8"/>
    <x v="0"/>
    <n v="4"/>
    <s v="Shipped"/>
  </r>
  <r>
    <s v="ORD00998"/>
    <x v="334"/>
    <s v="CUST640"/>
    <s v="Amit"/>
    <x v="0"/>
    <n v="28"/>
    <x v="7"/>
    <x v="1"/>
    <x v="7"/>
    <x v="1"/>
    <n v="4"/>
    <n v="4700"/>
    <n v="10"/>
    <n v="1880"/>
    <n v="3045.6"/>
    <n v="112"/>
    <n v="20077.599999999999"/>
    <x v="2"/>
    <x v="0"/>
    <s v="Lucknow"/>
    <x v="4"/>
    <x v="1"/>
    <n v="2"/>
    <x v="0"/>
    <n v="3"/>
    <s v="Cancelled"/>
  </r>
  <r>
    <s v="ORD00999"/>
    <x v="331"/>
    <s v="CUST947"/>
    <s v="Priya"/>
    <x v="1"/>
    <n v="27"/>
    <x v="0"/>
    <x v="0"/>
    <x v="0"/>
    <x v="8"/>
    <n v="3"/>
    <n v="3766"/>
    <n v="0"/>
    <n v="0"/>
    <n v="2033.64"/>
    <n v="38"/>
    <n v="13369.64"/>
    <x v="3"/>
    <x v="1"/>
    <s v="Chandigarh"/>
    <x v="1"/>
    <x v="1"/>
    <n v="2"/>
    <x v="1"/>
    <n v="5"/>
    <s v="Cancelled"/>
  </r>
  <r>
    <s v="ORD01000"/>
    <x v="165"/>
    <s v="CUST131"/>
    <s v="Sneha"/>
    <x v="0"/>
    <n v="39"/>
    <x v="0"/>
    <x v="0"/>
    <x v="0"/>
    <x v="9"/>
    <n v="3"/>
    <n v="26044"/>
    <n v="20"/>
    <n v="15626.4"/>
    <n v="11251.01"/>
    <n v="346"/>
    <n v="74102.61"/>
    <x v="0"/>
    <x v="0"/>
    <s v="Patiala"/>
    <x v="1"/>
    <x v="1"/>
    <n v="9"/>
    <x v="1"/>
    <n v="3"/>
    <s v="Shipp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302D96-9797-406E-8797-47229B9909F3}" name="bra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3:J14"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axis="axisRow"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1">
    <i>
      <x/>
    </i>
    <i>
      <x v="1"/>
    </i>
    <i>
      <x v="2"/>
    </i>
    <i>
      <x v="3"/>
    </i>
    <i>
      <x v="4"/>
    </i>
    <i>
      <x v="5"/>
    </i>
    <i>
      <x v="6"/>
    </i>
    <i>
      <x v="7"/>
    </i>
    <i>
      <x v="8"/>
    </i>
    <i>
      <x v="9"/>
    </i>
    <i t="grand">
      <x/>
    </i>
  </rowItems>
  <colItems count="1">
    <i/>
  </colItems>
  <dataFields count="1">
    <dataField name="Sum of TotalAmount"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BB270-D9C9-4C65-B0C8-C6E3028D3BE4}" name="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29">
    <pivotField showAll="0"/>
    <pivotField axis="axisRow"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1"/>
  </rowFields>
  <rowItems count="13">
    <i>
      <x v="1"/>
    </i>
    <i>
      <x v="2"/>
    </i>
    <i>
      <x v="3"/>
    </i>
    <i>
      <x v="4"/>
    </i>
    <i>
      <x v="5"/>
    </i>
    <i>
      <x v="6"/>
    </i>
    <i>
      <x v="7"/>
    </i>
    <i>
      <x v="8"/>
    </i>
    <i>
      <x v="9"/>
    </i>
    <i>
      <x v="10"/>
    </i>
    <i>
      <x v="11"/>
    </i>
    <i>
      <x v="12"/>
    </i>
    <i t="grand">
      <x/>
    </i>
  </rowItems>
  <colItems count="1">
    <i/>
  </colItems>
  <dataFields count="1">
    <dataField name="Sum of TotalAmount" fld="16" showDataAs="percentOfTotal" baseField="0" baseItem="0" numFmtId="1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75517-07E1-40C2-A57C-D83B260B183E}" name="produc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E3:F13"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axis="axisRow"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0">
    <i>
      <x/>
    </i>
    <i>
      <x v="1"/>
    </i>
    <i>
      <x v="2"/>
    </i>
    <i>
      <x v="3"/>
    </i>
    <i>
      <x v="4"/>
    </i>
    <i>
      <x v="5"/>
    </i>
    <i>
      <x v="6"/>
    </i>
    <i>
      <x v="7"/>
    </i>
    <i>
      <x v="8"/>
    </i>
    <i>
      <x v="9"/>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14DA6E-B4EC-4A00-868E-6962313175CB}" name="delivery 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F3:AF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dataField="1"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DeliveryDays" fld="22"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235E68-0AEE-4C83-980C-E47B34E05205}" name="st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3:V10"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axis="axisRow" showAll="0">
      <items count="7">
        <item x="5"/>
        <item x="3"/>
        <item x="0"/>
        <item x="1"/>
        <item x="2"/>
        <item x="4"/>
        <item t="default"/>
      </items>
    </pivotField>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7">
    <i>
      <x/>
    </i>
    <i>
      <x v="1"/>
    </i>
    <i>
      <x v="2"/>
    </i>
    <i>
      <x v="3"/>
    </i>
    <i>
      <x v="4"/>
    </i>
    <i>
      <x v="5"/>
    </i>
    <i t="grand">
      <x/>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AEB82E-5A33-49A1-B0B4-99C1B4783F38}" name="retur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Y3:Z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axis="axisRow"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3"/>
  </rowFields>
  <rowItems count="3">
    <i>
      <x/>
    </i>
    <i>
      <x v="1"/>
    </i>
    <i t="grand">
      <x/>
    </i>
  </rowItems>
  <colItems count="1">
    <i/>
  </colItems>
  <dataFields count="1">
    <dataField name="Sum of TotalAmount" fld="16"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3" count="1" selected="0">
            <x v="0"/>
          </reference>
        </references>
      </pivotArea>
    </chartFormat>
    <chartFormat chart="6" format="3">
      <pivotArea type="data" outline="0" fieldPosition="0">
        <references count="2">
          <reference field="4294967294" count="1" selected="0">
            <x v="0"/>
          </reference>
          <reference field="23"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3" count="1" selected="0">
            <x v="0"/>
          </reference>
        </references>
      </pivotArea>
    </chartFormat>
    <chartFormat chart="7" format="6">
      <pivotArea type="data" outline="0" fieldPosition="0">
        <references count="2">
          <reference field="4294967294" count="1" selected="0">
            <x v="0"/>
          </reference>
          <reference field="23" count="1" selected="0">
            <x v="1"/>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254416-AA74-4AC3-8E6D-C34AABEA3F0E}" name="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C3:AC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Amount" fld="1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001F0E-91AF-4A4E-95A2-1E083982A162}" name="payment metho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M3:N8"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axis="axisRow" showAll="0">
      <items count="5">
        <item x="3"/>
        <item x="1"/>
        <item x="0"/>
        <item x="2"/>
        <item t="default"/>
      </items>
    </pivotField>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5">
    <i>
      <x/>
    </i>
    <i>
      <x v="1"/>
    </i>
    <i>
      <x v="2"/>
    </i>
    <i>
      <x v="3"/>
    </i>
    <i t="grand">
      <x/>
    </i>
  </rowItems>
  <colItems count="1">
    <i/>
  </colItems>
  <dataFields count="1">
    <dataField name="Sum of TotalAmount"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7E7C34-3DBF-4CE3-BC65-8DE45D05C146}" name="rat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I3:AI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Rating" fld="24"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6F3A98-B1DC-48B2-A96B-BB33D9D4A572}" name="order 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Q3:R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axis="axisRow"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3">
    <i>
      <x/>
    </i>
    <i>
      <x v="1"/>
    </i>
    <i t="grand">
      <x/>
    </i>
  </rowItems>
  <colItems count="1">
    <i/>
  </colItems>
  <dataFields count="1">
    <dataField name="Sum of TotalAmount" fld="16"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8" count="1" selected="0">
            <x v="0"/>
          </reference>
        </references>
      </pivotArea>
    </chartFormat>
    <chartFormat chart="6" format="6">
      <pivotArea type="data" outline="0" fieldPosition="0">
        <references count="2">
          <reference field="4294967294" count="1" selected="0">
            <x v="0"/>
          </reference>
          <reference field="18" count="1" selected="0">
            <x v="1"/>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3C97E0-FB40-4A10-B3E7-E7FE2CBFC9B7}" sourceName="Gender">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78843F-0FE6-4791-993E-138EB4B7AC22}" sourceName="Category">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6BAC6791-BEA0-44CD-B41E-9F94E9E5EF47}" sourceName="OrderChannel">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33AAA9-D945-4213-AAE0-F0AD1FBFE58C}" sourceName="Region">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FF5FBD3-DCDD-4A57-BB7B-46D17E4EBDE0}" cache="Slicer_Gender" caption="Gender" style="SlicerStyleDark1" rowHeight="247650"/>
  <slicer name="Category 1" xr10:uid="{5D7A3FE7-FEF7-4746-97D8-FF33B9D84E5E}" cache="Slicer_Category" caption="Category" style="SlicerStyleDark1" rowHeight="247650"/>
  <slicer name="OrderChannel 1" xr10:uid="{ECC0C583-79BB-420E-9DB2-449F72B5BAAF}" cache="Slicer_OrderChannel" caption="OrderChannel" style="SlicerStyleDark1" rowHeight="247650"/>
  <slicer name="Region 1" xr10:uid="{80071430-A4F6-4CCE-8605-098519013398}" cache="Slicer_Region" caption="Region"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D9B0129-A147-44E9-897F-C96F93184DA3}" cache="Slicer_Gender" caption="Gender" rowHeight="247650"/>
  <slicer name="Category" xr10:uid="{416655F0-6B6F-4523-904B-AE0FD2E6EF3B}" cache="Slicer_Category" caption="Category" rowHeight="247650"/>
  <slicer name="OrderChannel" xr10:uid="{1024FF09-BC57-4524-9DC4-1F2802FC0B0C}" cache="Slicer_OrderChannel" caption="OrderChannel" rowHeight="247650"/>
  <slicer name="Region" xr10:uid="{8C14AB5B-C304-4E14-BA66-EFC3FBD67C41}"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C359230A-B436-4855-A97C-90E26A79C33F}" sourceName="OrderDate">
  <pivotTables>
    <pivotTable tabId="3" name="payment method"/>
    <pivotTable tabId="3" name="brand"/>
    <pivotTable tabId="3" name="delivery days"/>
    <pivotTable tabId="3" name="rating"/>
    <pivotTable tabId="3" name="return"/>
    <pivotTable tabId="3" name="state"/>
    <pivotTable tabId="3" name="total sales"/>
    <pivotTable tabId="3" name="month"/>
    <pivotTable tabId="3" name="order channel"/>
    <pivotTable tabId="3" name="product"/>
  </pivotTables>
  <state minimalRefreshVersion="6" lastRefreshVersion="6" pivotCacheId="1970605719"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34A6F0CA-E534-457F-B337-22220FF66D87}" cache="NativeTimeline_OrderDate" caption="OrderDate" level="2" selectionLevel="2" scrollPosition="2025-10-2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D21C1401-9655-4F24-8DB4-E1B7A436BCEF}" cache="NativeTimeline_OrderDate" caption="OrderDate" level="2" selectionLevel="2" scrollPosition="2026-05-18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0867-2674-439C-B0F1-1FC8F6BA64FA}">
  <sheetPr>
    <tabColor rgb="FFFFC000"/>
  </sheetPr>
  <dimension ref="A1"/>
  <sheetViews>
    <sheetView showGridLines="0" tabSelected="1" zoomScale="84" zoomScaleNormal="84" workbookViewId="0">
      <selection activeCell="R5" sqref="R5"/>
    </sheetView>
  </sheetViews>
  <sheetFormatPr defaultRowHeight="14.4" x14ac:dyDescent="0.3"/>
  <cols>
    <col min="1" max="16384" width="8.8867187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3DD1-43B8-4DAA-B1BE-18E06BB9B2BF}">
  <sheetPr>
    <tabColor rgb="FFFF0000"/>
  </sheetPr>
  <dimension ref="A2:AI28"/>
  <sheetViews>
    <sheetView topLeftCell="Q1" zoomScale="86" zoomScaleNormal="86" workbookViewId="0">
      <selection activeCell="AI2" sqref="AI2"/>
    </sheetView>
  </sheetViews>
  <sheetFormatPr defaultRowHeight="14.4" x14ac:dyDescent="0.3"/>
  <cols>
    <col min="1" max="1" width="12.88671875" bestFit="1" customWidth="1"/>
    <col min="2" max="2" width="18.21875" bestFit="1" customWidth="1"/>
    <col min="5" max="5" width="12.88671875" bestFit="1" customWidth="1"/>
    <col min="6" max="6" width="18.21875" bestFit="1" customWidth="1"/>
    <col min="9" max="9" width="12.88671875" bestFit="1" customWidth="1"/>
    <col min="10" max="10" width="18.21875" bestFit="1" customWidth="1"/>
    <col min="13" max="13" width="15" bestFit="1" customWidth="1"/>
    <col min="14" max="14" width="18.21875" bestFit="1" customWidth="1"/>
    <col min="17" max="17" width="12.88671875" bestFit="1" customWidth="1"/>
    <col min="18" max="18" width="18.21875" bestFit="1" customWidth="1"/>
    <col min="21" max="21" width="12.88671875" bestFit="1" customWidth="1"/>
    <col min="22" max="22" width="18.21875" bestFit="1" customWidth="1"/>
    <col min="25" max="25" width="12.88671875" bestFit="1" customWidth="1"/>
    <col min="26" max="26" width="18.21875" bestFit="1" customWidth="1"/>
    <col min="29" max="29" width="18.21875" bestFit="1" customWidth="1"/>
    <col min="32" max="32" width="21.33203125" bestFit="1" customWidth="1"/>
    <col min="35" max="35" width="15.44140625" bestFit="1" customWidth="1"/>
  </cols>
  <sheetData>
    <row r="2" spans="1:35" x14ac:dyDescent="0.3">
      <c r="AC2" s="10">
        <f>AC4</f>
        <v>80659661.129999921</v>
      </c>
      <c r="AF2" s="14">
        <f>AF4</f>
        <v>5.4630000000000001</v>
      </c>
      <c r="AI2" s="9">
        <f>AI4</f>
        <v>3.0019999999999998</v>
      </c>
    </row>
    <row r="3" spans="1:35" x14ac:dyDescent="0.3">
      <c r="A3" s="6" t="s">
        <v>1695</v>
      </c>
      <c r="B3" t="s">
        <v>1709</v>
      </c>
      <c r="E3" s="6" t="s">
        <v>1695</v>
      </c>
      <c r="F3" t="s">
        <v>1709</v>
      </c>
      <c r="I3" s="6" t="s">
        <v>1695</v>
      </c>
      <c r="J3" t="s">
        <v>1709</v>
      </c>
      <c r="M3" s="6" t="s">
        <v>1695</v>
      </c>
      <c r="N3" t="s">
        <v>1709</v>
      </c>
      <c r="Q3" s="6" t="s">
        <v>1695</v>
      </c>
      <c r="R3" t="s">
        <v>1709</v>
      </c>
      <c r="U3" s="6" t="s">
        <v>1695</v>
      </c>
      <c r="V3" t="s">
        <v>1709</v>
      </c>
      <c r="Y3" s="6" t="s">
        <v>1695</v>
      </c>
      <c r="Z3" t="s">
        <v>1709</v>
      </c>
      <c r="AC3" t="s">
        <v>1709</v>
      </c>
      <c r="AF3" t="s">
        <v>1710</v>
      </c>
      <c r="AI3" t="s">
        <v>1711</v>
      </c>
    </row>
    <row r="4" spans="1:35" x14ac:dyDescent="0.3">
      <c r="A4" s="7" t="s">
        <v>1697</v>
      </c>
      <c r="B4" s="8">
        <v>8.56446883512961E-2</v>
      </c>
      <c r="E4" s="7" t="s">
        <v>67</v>
      </c>
      <c r="F4" s="8">
        <v>8.5756091869164983E-2</v>
      </c>
      <c r="I4" s="7" t="s">
        <v>201</v>
      </c>
      <c r="J4" s="8">
        <v>7.5605540794069045E-2</v>
      </c>
      <c r="M4" s="7" t="s">
        <v>83</v>
      </c>
      <c r="N4" s="8">
        <v>0.23484261593252237</v>
      </c>
      <c r="Q4" s="7" t="s">
        <v>63</v>
      </c>
      <c r="R4" s="8">
        <v>0.50859993267120218</v>
      </c>
      <c r="U4" s="7" t="s">
        <v>103</v>
      </c>
      <c r="V4" s="8">
        <v>0.13517930285408342</v>
      </c>
      <c r="Y4" s="7" t="s">
        <v>38</v>
      </c>
      <c r="Z4" s="8">
        <v>0.50130134262318327</v>
      </c>
      <c r="AC4" s="10">
        <v>80659661.129999921</v>
      </c>
      <c r="AF4" s="10">
        <v>5.4630000000000001</v>
      </c>
      <c r="AI4" s="10">
        <v>3.0019999999999998</v>
      </c>
    </row>
    <row r="5" spans="1:35" x14ac:dyDescent="0.3">
      <c r="A5" s="7" t="s">
        <v>1698</v>
      </c>
      <c r="B5" s="8">
        <v>6.2402314359933889E-2</v>
      </c>
      <c r="E5" s="7" t="s">
        <v>90</v>
      </c>
      <c r="F5" s="8">
        <v>8.9874505030666019E-2</v>
      </c>
      <c r="I5" s="7" t="s">
        <v>125</v>
      </c>
      <c r="J5" s="8">
        <v>9.8825594954492446E-2</v>
      </c>
      <c r="M5" s="7" t="s">
        <v>45</v>
      </c>
      <c r="N5" s="8">
        <v>0.24382527603609319</v>
      </c>
      <c r="Q5" s="7" t="s">
        <v>34</v>
      </c>
      <c r="R5" s="8">
        <v>0.49140006732879776</v>
      </c>
      <c r="U5" s="7" t="s">
        <v>85</v>
      </c>
      <c r="V5" s="8">
        <v>0.120176115473348</v>
      </c>
      <c r="Y5" s="7" t="s">
        <v>47</v>
      </c>
      <c r="Z5" s="8">
        <v>0.49869865737681679</v>
      </c>
    </row>
    <row r="6" spans="1:35" x14ac:dyDescent="0.3">
      <c r="A6" s="7" t="s">
        <v>1699</v>
      </c>
      <c r="B6" s="8">
        <v>8.407114888656364E-2</v>
      </c>
      <c r="E6" s="7" t="s">
        <v>30</v>
      </c>
      <c r="F6" s="8">
        <v>0.11734726897432476</v>
      </c>
      <c r="I6" s="7" t="s">
        <v>53</v>
      </c>
      <c r="J6" s="8">
        <v>0.11045782681432896</v>
      </c>
      <c r="M6" s="7" t="s">
        <v>33</v>
      </c>
      <c r="N6" s="8">
        <v>0.25601057741513</v>
      </c>
      <c r="Q6" s="7" t="s">
        <v>1696</v>
      </c>
      <c r="R6" s="8">
        <v>1</v>
      </c>
      <c r="U6" s="7" t="s">
        <v>36</v>
      </c>
      <c r="V6" s="8">
        <v>0.27869229569127496</v>
      </c>
      <c r="Y6" s="7" t="s">
        <v>1696</v>
      </c>
      <c r="Z6" s="8">
        <v>1</v>
      </c>
    </row>
    <row r="7" spans="1:35" x14ac:dyDescent="0.3">
      <c r="A7" s="7" t="s">
        <v>1700</v>
      </c>
      <c r="B7" s="8">
        <v>8.0622742011264376E-2</v>
      </c>
      <c r="E7" s="7" t="s">
        <v>44</v>
      </c>
      <c r="F7" s="8">
        <v>0.12747846068219654</v>
      </c>
      <c r="I7" s="7" t="s">
        <v>62</v>
      </c>
      <c r="J7" s="8">
        <v>0.11831345304834903</v>
      </c>
      <c r="M7" s="7" t="s">
        <v>54</v>
      </c>
      <c r="N7" s="8">
        <v>0.26532153061625435</v>
      </c>
      <c r="U7" s="7" t="s">
        <v>56</v>
      </c>
      <c r="V7" s="8">
        <v>0.23219149755433638</v>
      </c>
    </row>
    <row r="8" spans="1:35" x14ac:dyDescent="0.3">
      <c r="A8" s="7" t="s">
        <v>1701</v>
      </c>
      <c r="B8" s="8">
        <v>7.8644186091685345E-2</v>
      </c>
      <c r="E8" s="7" t="s">
        <v>74</v>
      </c>
      <c r="F8" s="8">
        <v>9.248757006276799E-2</v>
      </c>
      <c r="I8" s="7" t="s">
        <v>69</v>
      </c>
      <c r="J8" s="8">
        <v>9.4789188088422544E-2</v>
      </c>
      <c r="M8" s="7" t="s">
        <v>1696</v>
      </c>
      <c r="N8" s="8">
        <v>1</v>
      </c>
      <c r="U8" s="7" t="s">
        <v>77</v>
      </c>
      <c r="V8" s="8">
        <v>0.10884441921780735</v>
      </c>
    </row>
    <row r="9" spans="1:35" x14ac:dyDescent="0.3">
      <c r="A9" s="7" t="s">
        <v>1702</v>
      </c>
      <c r="B9" s="8">
        <v>6.8126935856369378E-2</v>
      </c>
      <c r="E9" s="7" t="s">
        <v>139</v>
      </c>
      <c r="F9" s="8">
        <v>0.10019628047995989</v>
      </c>
      <c r="I9" s="7" t="s">
        <v>75</v>
      </c>
      <c r="J9" s="8">
        <v>9.7033368233294004E-2</v>
      </c>
      <c r="U9" s="7" t="s">
        <v>96</v>
      </c>
      <c r="V9" s="8">
        <v>0.12491636920914999</v>
      </c>
    </row>
    <row r="10" spans="1:35" x14ac:dyDescent="0.3">
      <c r="A10" s="7" t="s">
        <v>1703</v>
      </c>
      <c r="B10" s="8">
        <v>8.9830498646926327E-2</v>
      </c>
      <c r="E10" s="7" t="s">
        <v>94</v>
      </c>
      <c r="F10" s="8">
        <v>8.927502371221531E-2</v>
      </c>
      <c r="I10" s="7" t="s">
        <v>112</v>
      </c>
      <c r="J10" s="8">
        <v>0.10066246753645394</v>
      </c>
      <c r="U10" s="7" t="s">
        <v>1696</v>
      </c>
      <c r="V10" s="8">
        <v>1</v>
      </c>
    </row>
    <row r="11" spans="1:35" x14ac:dyDescent="0.3">
      <c r="A11" s="7" t="s">
        <v>1704</v>
      </c>
      <c r="B11" s="8">
        <v>8.8095021606248089E-2</v>
      </c>
      <c r="E11" s="7" t="s">
        <v>51</v>
      </c>
      <c r="F11" s="8">
        <v>0.10320517782219943</v>
      </c>
      <c r="I11" s="7" t="s">
        <v>150</v>
      </c>
      <c r="J11" s="8">
        <v>0.10197751335383029</v>
      </c>
    </row>
    <row r="12" spans="1:35" x14ac:dyDescent="0.3">
      <c r="A12" s="7" t="s">
        <v>1705</v>
      </c>
      <c r="B12" s="8">
        <v>8.9153586182441749E-2</v>
      </c>
      <c r="E12" s="7" t="s">
        <v>134</v>
      </c>
      <c r="F12" s="8">
        <v>8.9246608145277753E-2</v>
      </c>
      <c r="I12" s="7" t="s">
        <v>102</v>
      </c>
      <c r="J12" s="8">
        <v>8.4144933724196513E-2</v>
      </c>
    </row>
    <row r="13" spans="1:35" x14ac:dyDescent="0.3">
      <c r="A13" s="7" t="s">
        <v>1706</v>
      </c>
      <c r="B13" s="8">
        <v>8.6356432973028044E-2</v>
      </c>
      <c r="E13" s="7" t="s">
        <v>99</v>
      </c>
      <c r="F13" s="8">
        <v>0.10513301322122717</v>
      </c>
      <c r="I13" s="7" t="s">
        <v>32</v>
      </c>
      <c r="J13" s="8">
        <v>0.11819011345256311</v>
      </c>
      <c r="U13" s="11" t="s">
        <v>1695</v>
      </c>
      <c r="V13" s="11" t="s">
        <v>1709</v>
      </c>
    </row>
    <row r="14" spans="1:35" x14ac:dyDescent="0.3">
      <c r="A14" s="7" t="s">
        <v>1707</v>
      </c>
      <c r="B14" s="8">
        <v>8.2522954184893166E-2</v>
      </c>
      <c r="I14" s="7" t="s">
        <v>1696</v>
      </c>
      <c r="J14" s="8">
        <v>1</v>
      </c>
      <c r="U14" t="str">
        <f>IF(U4=0,"",U4)</f>
        <v>Delhi</v>
      </c>
      <c r="V14" s="12">
        <f>IF(V4=0,"",V4)</f>
        <v>0.13517930285408342</v>
      </c>
    </row>
    <row r="15" spans="1:35" x14ac:dyDescent="0.3">
      <c r="A15" s="7" t="s">
        <v>1708</v>
      </c>
      <c r="B15" s="8">
        <v>0.10452949084934995</v>
      </c>
      <c r="U15" t="str">
        <f t="shared" ref="U15:U19" si="0">IF(U5=0,"",U5)</f>
        <v>Karnataka</v>
      </c>
      <c r="V15" s="12">
        <f t="shared" ref="V15:V19" si="1">IF(V5=0,"",V5)</f>
        <v>0.120176115473348</v>
      </c>
    </row>
    <row r="16" spans="1:35" x14ac:dyDescent="0.3">
      <c r="A16" s="7" t="s">
        <v>1696</v>
      </c>
      <c r="B16" s="8">
        <v>1</v>
      </c>
      <c r="U16" t="str">
        <f t="shared" si="0"/>
        <v>Maharashtra</v>
      </c>
      <c r="V16" s="12">
        <f t="shared" si="1"/>
        <v>0.27869229569127496</v>
      </c>
    </row>
    <row r="17" spans="5:22" x14ac:dyDescent="0.3">
      <c r="U17" t="str">
        <f t="shared" si="0"/>
        <v>Punjab</v>
      </c>
      <c r="V17" s="12">
        <f t="shared" si="1"/>
        <v>0.23219149755433638</v>
      </c>
    </row>
    <row r="18" spans="5:22" x14ac:dyDescent="0.3">
      <c r="E18" t="s">
        <v>1695</v>
      </c>
      <c r="F18" t="s">
        <v>1709</v>
      </c>
      <c r="U18" t="str">
        <f t="shared" si="0"/>
        <v>Rajasthan</v>
      </c>
      <c r="V18" s="12">
        <f t="shared" si="1"/>
        <v>0.10884441921780735</v>
      </c>
    </row>
    <row r="19" spans="5:22" x14ac:dyDescent="0.3">
      <c r="E19" t="str">
        <f>IF(E4=0,"",E4)</f>
        <v>Backpack</v>
      </c>
      <c r="F19" s="8">
        <f>IF(F4=0,"",F4)</f>
        <v>8.5756091869164983E-2</v>
      </c>
      <c r="U19" t="str">
        <f t="shared" si="0"/>
        <v>Uttar Pradesh</v>
      </c>
      <c r="V19" s="12">
        <f t="shared" si="1"/>
        <v>0.12491636920914999</v>
      </c>
    </row>
    <row r="20" spans="5:22" x14ac:dyDescent="0.3">
      <c r="E20" t="str">
        <f t="shared" ref="E20:E28" si="2">IF(E5=0,"",E5)</f>
        <v>Camera</v>
      </c>
      <c r="F20" s="8">
        <f t="shared" ref="F20:F28" si="3">IF(F5=0,"",F5)</f>
        <v>8.9874505030666019E-2</v>
      </c>
    </row>
    <row r="21" spans="5:22" x14ac:dyDescent="0.3">
      <c r="E21" t="str">
        <f t="shared" si="2"/>
        <v>Headphones</v>
      </c>
      <c r="F21" s="8">
        <f t="shared" si="3"/>
        <v>0.11734726897432476</v>
      </c>
    </row>
    <row r="22" spans="5:22" x14ac:dyDescent="0.3">
      <c r="E22" t="str">
        <f t="shared" si="2"/>
        <v>Keyboard</v>
      </c>
      <c r="F22" s="8">
        <f t="shared" si="3"/>
        <v>0.12747846068219654</v>
      </c>
    </row>
    <row r="23" spans="5:22" x14ac:dyDescent="0.3">
      <c r="E23" t="str">
        <f t="shared" si="2"/>
        <v>Laptop</v>
      </c>
      <c r="F23" s="8">
        <f t="shared" si="3"/>
        <v>9.248757006276799E-2</v>
      </c>
    </row>
    <row r="24" spans="5:22" x14ac:dyDescent="0.3">
      <c r="E24" t="str">
        <f t="shared" si="2"/>
        <v>Mouse</v>
      </c>
      <c r="F24" s="8">
        <f t="shared" si="3"/>
        <v>0.10019628047995989</v>
      </c>
    </row>
    <row r="25" spans="5:22" x14ac:dyDescent="0.3">
      <c r="E25" t="str">
        <f t="shared" si="2"/>
        <v>Phone</v>
      </c>
      <c r="F25" s="8">
        <f t="shared" si="3"/>
        <v>8.927502371221531E-2</v>
      </c>
    </row>
    <row r="26" spans="5:22" x14ac:dyDescent="0.3">
      <c r="E26" t="str">
        <f t="shared" si="2"/>
        <v>Shoes</v>
      </c>
      <c r="F26" s="8">
        <f t="shared" si="3"/>
        <v>0.10320517782219943</v>
      </c>
    </row>
    <row r="27" spans="5:22" x14ac:dyDescent="0.3">
      <c r="E27" t="str">
        <f t="shared" si="2"/>
        <v>Tablet</v>
      </c>
      <c r="F27" s="8">
        <f t="shared" si="3"/>
        <v>8.9246608145277753E-2</v>
      </c>
    </row>
    <row r="28" spans="5:22" x14ac:dyDescent="0.3">
      <c r="E28" t="str">
        <f t="shared" si="2"/>
        <v>Watch</v>
      </c>
      <c r="F28" s="8">
        <f t="shared" si="3"/>
        <v>0.10513301322122717</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5C7E-2197-4530-853F-312CA09DDF81}">
  <sheetPr>
    <tabColor rgb="FF92D050"/>
  </sheetPr>
  <dimension ref="A1:Z1001"/>
  <sheetViews>
    <sheetView workbookViewId="0"/>
  </sheetViews>
  <sheetFormatPr defaultRowHeight="14.4" x14ac:dyDescent="0.3"/>
  <cols>
    <col min="1" max="1" width="9.6640625" bestFit="1" customWidth="1"/>
    <col min="2" max="2" width="9.5546875" bestFit="1" customWidth="1"/>
    <col min="3" max="3" width="10.21875" bestFit="1" customWidth="1"/>
    <col min="4" max="4" width="13.109375" bestFit="1" customWidth="1"/>
    <col min="5" max="5" width="7" bestFit="1" customWidth="1"/>
    <col min="6" max="6" width="3.77734375" bestFit="1" customWidth="1"/>
    <col min="7" max="7" width="11.21875" bestFit="1" customWidth="1"/>
    <col min="8" max="8" width="10.88671875" bestFit="1" customWidth="1"/>
    <col min="9" max="9" width="11.21875" bestFit="1" customWidth="1"/>
    <col min="10" max="10" width="8.33203125" bestFit="1" customWidth="1"/>
    <col min="11" max="11" width="7.44140625" bestFit="1" customWidth="1"/>
    <col min="12" max="13" width="8" bestFit="1" customWidth="1"/>
    <col min="14" max="14" width="14.109375" bestFit="1" customWidth="1"/>
    <col min="15" max="15" width="9" bestFit="1" customWidth="1"/>
    <col min="16" max="16" width="11.44140625" bestFit="1" customWidth="1"/>
    <col min="17" max="17" width="10.6640625" bestFit="1" customWidth="1"/>
    <col min="18" max="18" width="14.21875" bestFit="1" customWidth="1"/>
    <col min="19" max="19" width="11.6640625" bestFit="1" customWidth="1"/>
    <col min="20" max="20" width="10.21875" bestFit="1" customWidth="1"/>
    <col min="21" max="21" width="12" bestFit="1" customWidth="1"/>
    <col min="22" max="22" width="6.21875" bestFit="1" customWidth="1"/>
    <col min="23" max="23" width="10.77734375" bestFit="1" customWidth="1"/>
    <col min="24" max="24" width="10.88671875" bestFit="1" customWidth="1"/>
    <col min="25" max="25" width="5.77734375" bestFit="1" customWidth="1"/>
    <col min="26" max="26" width="9.10937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s="2">
        <v>45854</v>
      </c>
      <c r="C2" t="s">
        <v>27</v>
      </c>
      <c r="D2" t="s">
        <v>28</v>
      </c>
      <c r="E2" t="s">
        <v>29</v>
      </c>
      <c r="F2">
        <v>35</v>
      </c>
      <c r="G2" t="s">
        <v>30</v>
      </c>
      <c r="H2" t="s">
        <v>31</v>
      </c>
      <c r="I2" t="s">
        <v>30</v>
      </c>
      <c r="J2" t="s">
        <v>32</v>
      </c>
      <c r="K2">
        <v>2</v>
      </c>
      <c r="L2">
        <v>24446</v>
      </c>
      <c r="M2">
        <v>5</v>
      </c>
      <c r="N2">
        <v>2444.6</v>
      </c>
      <c r="O2">
        <v>8360.5300000000007</v>
      </c>
      <c r="P2">
        <v>310</v>
      </c>
      <c r="Q2">
        <v>55117.93</v>
      </c>
      <c r="R2" t="s">
        <v>33</v>
      </c>
      <c r="S2" t="s">
        <v>34</v>
      </c>
      <c r="T2" t="s">
        <v>35</v>
      </c>
      <c r="U2" t="s">
        <v>36</v>
      </c>
      <c r="V2" t="s">
        <v>37</v>
      </c>
      <c r="W2">
        <v>1</v>
      </c>
      <c r="X2" t="s">
        <v>38</v>
      </c>
      <c r="Y2">
        <v>1</v>
      </c>
      <c r="Z2" t="s">
        <v>39</v>
      </c>
    </row>
    <row r="3" spans="1:26" x14ac:dyDescent="0.3">
      <c r="A3" t="s">
        <v>40</v>
      </c>
      <c r="B3" s="2">
        <v>45791</v>
      </c>
      <c r="C3" t="s">
        <v>41</v>
      </c>
      <c r="D3" t="s">
        <v>42</v>
      </c>
      <c r="E3" t="s">
        <v>43</v>
      </c>
      <c r="F3">
        <v>45</v>
      </c>
      <c r="G3" t="s">
        <v>44</v>
      </c>
      <c r="H3" t="s">
        <v>31</v>
      </c>
      <c r="I3" t="s">
        <v>44</v>
      </c>
      <c r="J3" t="s">
        <v>32</v>
      </c>
      <c r="K3">
        <v>2</v>
      </c>
      <c r="L3">
        <v>18047</v>
      </c>
      <c r="M3">
        <v>20</v>
      </c>
      <c r="N3">
        <v>7218.8</v>
      </c>
      <c r="O3">
        <v>5197.54</v>
      </c>
      <c r="P3">
        <v>363</v>
      </c>
      <c r="Q3">
        <v>34435.74</v>
      </c>
      <c r="R3" t="s">
        <v>45</v>
      </c>
      <c r="S3" t="s">
        <v>34</v>
      </c>
      <c r="T3" t="s">
        <v>46</v>
      </c>
      <c r="U3" t="s">
        <v>36</v>
      </c>
      <c r="V3" t="s">
        <v>37</v>
      </c>
      <c r="W3">
        <v>4</v>
      </c>
      <c r="X3" t="s">
        <v>38</v>
      </c>
      <c r="Y3">
        <v>1</v>
      </c>
      <c r="Z3" t="s">
        <v>47</v>
      </c>
    </row>
    <row r="4" spans="1:26" x14ac:dyDescent="0.3">
      <c r="A4" t="s">
        <v>48</v>
      </c>
      <c r="B4" s="2">
        <v>45897</v>
      </c>
      <c r="C4" t="s">
        <v>49</v>
      </c>
      <c r="D4" t="s">
        <v>50</v>
      </c>
      <c r="E4" t="s">
        <v>29</v>
      </c>
      <c r="F4">
        <v>29</v>
      </c>
      <c r="G4" t="s">
        <v>51</v>
      </c>
      <c r="H4" t="s">
        <v>52</v>
      </c>
      <c r="I4" t="s">
        <v>51</v>
      </c>
      <c r="J4" t="s">
        <v>53</v>
      </c>
      <c r="K4">
        <v>2</v>
      </c>
      <c r="L4">
        <v>15876</v>
      </c>
      <c r="M4">
        <v>5</v>
      </c>
      <c r="N4">
        <v>1587.6</v>
      </c>
      <c r="O4">
        <v>5429.59</v>
      </c>
      <c r="P4">
        <v>156</v>
      </c>
      <c r="Q4">
        <v>35749.99</v>
      </c>
      <c r="R4" t="s">
        <v>54</v>
      </c>
      <c r="S4" t="s">
        <v>34</v>
      </c>
      <c r="T4" t="s">
        <v>55</v>
      </c>
      <c r="U4" t="s">
        <v>56</v>
      </c>
      <c r="V4" t="s">
        <v>57</v>
      </c>
      <c r="W4">
        <v>3</v>
      </c>
      <c r="X4" t="s">
        <v>38</v>
      </c>
      <c r="Y4">
        <v>4</v>
      </c>
      <c r="Z4" t="s">
        <v>58</v>
      </c>
    </row>
    <row r="5" spans="1:26" x14ac:dyDescent="0.3">
      <c r="A5" t="s">
        <v>59</v>
      </c>
      <c r="B5" s="2">
        <v>45850</v>
      </c>
      <c r="C5" t="s">
        <v>60</v>
      </c>
      <c r="D5" t="s">
        <v>61</v>
      </c>
      <c r="E5" t="s">
        <v>29</v>
      </c>
      <c r="F5">
        <v>18</v>
      </c>
      <c r="G5" t="s">
        <v>44</v>
      </c>
      <c r="H5" t="s">
        <v>31</v>
      </c>
      <c r="I5" t="s">
        <v>44</v>
      </c>
      <c r="J5" t="s">
        <v>62</v>
      </c>
      <c r="K5">
        <v>4</v>
      </c>
      <c r="L5">
        <v>22930</v>
      </c>
      <c r="M5">
        <v>15</v>
      </c>
      <c r="N5">
        <v>13758</v>
      </c>
      <c r="O5">
        <v>14033.16</v>
      </c>
      <c r="P5">
        <v>264</v>
      </c>
      <c r="Q5">
        <v>92259.16</v>
      </c>
      <c r="R5" t="s">
        <v>45</v>
      </c>
      <c r="S5" t="s">
        <v>63</v>
      </c>
      <c r="T5" t="s">
        <v>55</v>
      </c>
      <c r="U5" t="s">
        <v>56</v>
      </c>
      <c r="V5" t="s">
        <v>57</v>
      </c>
      <c r="W5">
        <v>10</v>
      </c>
      <c r="X5" t="s">
        <v>38</v>
      </c>
      <c r="Y5">
        <v>2</v>
      </c>
      <c r="Z5" t="s">
        <v>39</v>
      </c>
    </row>
    <row r="6" spans="1:26" x14ac:dyDescent="0.3">
      <c r="A6" t="s">
        <v>64</v>
      </c>
      <c r="B6" s="2">
        <v>45929</v>
      </c>
      <c r="C6" t="s">
        <v>65</v>
      </c>
      <c r="D6" t="s">
        <v>66</v>
      </c>
      <c r="E6" t="s">
        <v>43</v>
      </c>
      <c r="F6">
        <v>22</v>
      </c>
      <c r="G6" t="s">
        <v>67</v>
      </c>
      <c r="H6" t="s">
        <v>68</v>
      </c>
      <c r="I6" t="s">
        <v>67</v>
      </c>
      <c r="J6" t="s">
        <v>69</v>
      </c>
      <c r="K6">
        <v>3</v>
      </c>
      <c r="L6">
        <v>28947</v>
      </c>
      <c r="M6">
        <v>10</v>
      </c>
      <c r="N6">
        <v>8684.1</v>
      </c>
      <c r="O6">
        <v>14068.24</v>
      </c>
      <c r="P6">
        <v>398</v>
      </c>
      <c r="Q6">
        <v>92623.14</v>
      </c>
      <c r="R6" t="s">
        <v>33</v>
      </c>
      <c r="S6" t="s">
        <v>63</v>
      </c>
      <c r="T6" t="s">
        <v>70</v>
      </c>
      <c r="U6" t="s">
        <v>56</v>
      </c>
      <c r="V6" t="s">
        <v>57</v>
      </c>
      <c r="W6">
        <v>6</v>
      </c>
      <c r="X6" t="s">
        <v>38</v>
      </c>
      <c r="Y6">
        <v>2</v>
      </c>
      <c r="Z6" t="s">
        <v>39</v>
      </c>
    </row>
    <row r="7" spans="1:26" x14ac:dyDescent="0.3">
      <c r="A7" t="s">
        <v>71</v>
      </c>
      <c r="B7" s="2">
        <v>46058</v>
      </c>
      <c r="C7" t="s">
        <v>72</v>
      </c>
      <c r="D7" t="s">
        <v>73</v>
      </c>
      <c r="E7" t="s">
        <v>43</v>
      </c>
      <c r="F7">
        <v>45</v>
      </c>
      <c r="G7" t="s">
        <v>74</v>
      </c>
      <c r="H7" t="s">
        <v>31</v>
      </c>
      <c r="I7" t="s">
        <v>74</v>
      </c>
      <c r="J7" t="s">
        <v>75</v>
      </c>
      <c r="K7">
        <v>5</v>
      </c>
      <c r="L7">
        <v>5222</v>
      </c>
      <c r="M7">
        <v>10</v>
      </c>
      <c r="N7">
        <v>2611</v>
      </c>
      <c r="O7">
        <v>4229.82</v>
      </c>
      <c r="P7">
        <v>392</v>
      </c>
      <c r="Q7">
        <v>28120.82</v>
      </c>
      <c r="R7" t="s">
        <v>33</v>
      </c>
      <c r="S7" t="s">
        <v>63</v>
      </c>
      <c r="T7" t="s">
        <v>76</v>
      </c>
      <c r="U7" t="s">
        <v>77</v>
      </c>
      <c r="V7" t="s">
        <v>57</v>
      </c>
      <c r="W7">
        <v>6</v>
      </c>
      <c r="X7" t="s">
        <v>38</v>
      </c>
      <c r="Y7">
        <v>3</v>
      </c>
      <c r="Z7" t="s">
        <v>39</v>
      </c>
    </row>
    <row r="8" spans="1:26" x14ac:dyDescent="0.3">
      <c r="A8" t="s">
        <v>78</v>
      </c>
      <c r="B8" s="2">
        <v>46009</v>
      </c>
      <c r="C8" t="s">
        <v>79</v>
      </c>
      <c r="D8" t="s">
        <v>80</v>
      </c>
      <c r="E8" t="s">
        <v>29</v>
      </c>
      <c r="F8">
        <v>42</v>
      </c>
      <c r="G8" t="s">
        <v>30</v>
      </c>
      <c r="H8" t="s">
        <v>31</v>
      </c>
      <c r="I8" t="s">
        <v>30</v>
      </c>
      <c r="J8" t="s">
        <v>62</v>
      </c>
      <c r="K8">
        <v>3</v>
      </c>
      <c r="L8">
        <v>47976</v>
      </c>
      <c r="M8">
        <v>10</v>
      </c>
      <c r="N8">
        <v>14392.8</v>
      </c>
      <c r="O8">
        <v>23316.34</v>
      </c>
      <c r="P8">
        <v>272</v>
      </c>
      <c r="Q8">
        <v>153123.54</v>
      </c>
      <c r="R8" t="s">
        <v>45</v>
      </c>
      <c r="S8" t="s">
        <v>63</v>
      </c>
      <c r="T8" t="s">
        <v>35</v>
      </c>
      <c r="U8" t="s">
        <v>36</v>
      </c>
      <c r="V8" t="s">
        <v>37</v>
      </c>
      <c r="W8">
        <v>7</v>
      </c>
      <c r="X8" t="s">
        <v>47</v>
      </c>
      <c r="Y8">
        <v>1</v>
      </c>
      <c r="Z8" t="s">
        <v>47</v>
      </c>
    </row>
    <row r="9" spans="1:26" x14ac:dyDescent="0.3">
      <c r="A9" t="s">
        <v>81</v>
      </c>
      <c r="B9" s="2">
        <v>45781</v>
      </c>
      <c r="C9" t="s">
        <v>82</v>
      </c>
      <c r="D9" t="s">
        <v>50</v>
      </c>
      <c r="E9" t="s">
        <v>43</v>
      </c>
      <c r="F9">
        <v>28</v>
      </c>
      <c r="G9" t="s">
        <v>44</v>
      </c>
      <c r="H9" t="s">
        <v>31</v>
      </c>
      <c r="I9" t="s">
        <v>44</v>
      </c>
      <c r="J9" t="s">
        <v>69</v>
      </c>
      <c r="K9">
        <v>1</v>
      </c>
      <c r="L9">
        <v>15216</v>
      </c>
      <c r="M9">
        <v>10</v>
      </c>
      <c r="N9">
        <v>1521.6</v>
      </c>
      <c r="O9">
        <v>2464.9899999999998</v>
      </c>
      <c r="P9">
        <v>366</v>
      </c>
      <c r="Q9">
        <v>16525.39</v>
      </c>
      <c r="R9" t="s">
        <v>83</v>
      </c>
      <c r="S9" t="s">
        <v>34</v>
      </c>
      <c r="T9" t="s">
        <v>84</v>
      </c>
      <c r="U9" t="s">
        <v>85</v>
      </c>
      <c r="V9" t="s">
        <v>86</v>
      </c>
      <c r="W9">
        <v>3</v>
      </c>
      <c r="X9" t="s">
        <v>38</v>
      </c>
      <c r="Y9">
        <v>4</v>
      </c>
      <c r="Z9" t="s">
        <v>47</v>
      </c>
    </row>
    <row r="10" spans="1:26" x14ac:dyDescent="0.3">
      <c r="A10" t="s">
        <v>87</v>
      </c>
      <c r="B10" s="2">
        <v>45778</v>
      </c>
      <c r="C10" t="s">
        <v>88</v>
      </c>
      <c r="D10" t="s">
        <v>89</v>
      </c>
      <c r="E10" t="s">
        <v>43</v>
      </c>
      <c r="F10">
        <v>52</v>
      </c>
      <c r="G10" t="s">
        <v>90</v>
      </c>
      <c r="H10" t="s">
        <v>31</v>
      </c>
      <c r="I10" t="s">
        <v>90</v>
      </c>
      <c r="J10" t="s">
        <v>75</v>
      </c>
      <c r="K10">
        <v>3</v>
      </c>
      <c r="L10">
        <v>39902</v>
      </c>
      <c r="M10">
        <v>0</v>
      </c>
      <c r="N10">
        <v>0</v>
      </c>
      <c r="O10">
        <v>21547.08</v>
      </c>
      <c r="P10">
        <v>82</v>
      </c>
      <c r="Q10">
        <v>141335.07999999999</v>
      </c>
      <c r="R10" t="s">
        <v>54</v>
      </c>
      <c r="S10" t="s">
        <v>34</v>
      </c>
      <c r="T10" t="s">
        <v>84</v>
      </c>
      <c r="U10" t="s">
        <v>85</v>
      </c>
      <c r="V10" t="s">
        <v>86</v>
      </c>
      <c r="W10">
        <v>8</v>
      </c>
      <c r="X10" t="s">
        <v>38</v>
      </c>
      <c r="Y10">
        <v>4</v>
      </c>
      <c r="Z10" t="s">
        <v>91</v>
      </c>
    </row>
    <row r="11" spans="1:26" x14ac:dyDescent="0.3">
      <c r="A11" t="s">
        <v>92</v>
      </c>
      <c r="B11" s="2">
        <v>45863</v>
      </c>
      <c r="C11" t="s">
        <v>93</v>
      </c>
      <c r="D11" t="s">
        <v>89</v>
      </c>
      <c r="E11" t="s">
        <v>29</v>
      </c>
      <c r="F11">
        <v>32</v>
      </c>
      <c r="G11" t="s">
        <v>94</v>
      </c>
      <c r="H11" t="s">
        <v>31</v>
      </c>
      <c r="I11" t="s">
        <v>94</v>
      </c>
      <c r="J11" t="s">
        <v>32</v>
      </c>
      <c r="K11">
        <v>5</v>
      </c>
      <c r="L11">
        <v>20474</v>
      </c>
      <c r="M11">
        <v>5</v>
      </c>
      <c r="N11">
        <v>5118.5</v>
      </c>
      <c r="O11">
        <v>17505.27</v>
      </c>
      <c r="P11">
        <v>217</v>
      </c>
      <c r="Q11">
        <v>114973.77</v>
      </c>
      <c r="R11" t="s">
        <v>83</v>
      </c>
      <c r="S11" t="s">
        <v>63</v>
      </c>
      <c r="T11" t="s">
        <v>95</v>
      </c>
      <c r="U11" t="s">
        <v>96</v>
      </c>
      <c r="V11" t="s">
        <v>57</v>
      </c>
      <c r="W11">
        <v>7</v>
      </c>
      <c r="X11" t="s">
        <v>38</v>
      </c>
      <c r="Y11">
        <v>5</v>
      </c>
      <c r="Z11" t="s">
        <v>91</v>
      </c>
    </row>
    <row r="12" spans="1:26" x14ac:dyDescent="0.3">
      <c r="A12" t="s">
        <v>97</v>
      </c>
      <c r="B12" s="2">
        <v>45832</v>
      </c>
      <c r="C12" t="s">
        <v>98</v>
      </c>
      <c r="D12" t="s">
        <v>80</v>
      </c>
      <c r="E12" t="s">
        <v>43</v>
      </c>
      <c r="F12">
        <v>22</v>
      </c>
      <c r="G12" t="s">
        <v>99</v>
      </c>
      <c r="H12" t="s">
        <v>52</v>
      </c>
      <c r="I12" t="s">
        <v>99</v>
      </c>
      <c r="J12" t="s">
        <v>62</v>
      </c>
      <c r="K12">
        <v>5</v>
      </c>
      <c r="L12">
        <v>33495</v>
      </c>
      <c r="M12">
        <v>0</v>
      </c>
      <c r="N12">
        <v>0</v>
      </c>
      <c r="O12">
        <v>30145.5</v>
      </c>
      <c r="P12">
        <v>336</v>
      </c>
      <c r="Q12">
        <v>197956.5</v>
      </c>
      <c r="R12" t="s">
        <v>83</v>
      </c>
      <c r="S12" t="s">
        <v>34</v>
      </c>
      <c r="T12" t="s">
        <v>84</v>
      </c>
      <c r="U12" t="s">
        <v>85</v>
      </c>
      <c r="V12" t="s">
        <v>86</v>
      </c>
      <c r="W12">
        <v>10</v>
      </c>
      <c r="X12" t="s">
        <v>38</v>
      </c>
      <c r="Y12">
        <v>4</v>
      </c>
      <c r="Z12" t="s">
        <v>47</v>
      </c>
    </row>
    <row r="13" spans="1:26" x14ac:dyDescent="0.3">
      <c r="A13" t="s">
        <v>100</v>
      </c>
      <c r="B13" s="2">
        <v>46033</v>
      </c>
      <c r="C13" t="s">
        <v>101</v>
      </c>
      <c r="D13" t="s">
        <v>50</v>
      </c>
      <c r="E13" t="s">
        <v>29</v>
      </c>
      <c r="F13">
        <v>58</v>
      </c>
      <c r="G13" t="s">
        <v>30</v>
      </c>
      <c r="H13" t="s">
        <v>31</v>
      </c>
      <c r="I13" t="s">
        <v>30</v>
      </c>
      <c r="J13" t="s">
        <v>102</v>
      </c>
      <c r="K13">
        <v>5</v>
      </c>
      <c r="L13">
        <v>28508</v>
      </c>
      <c r="M13">
        <v>0</v>
      </c>
      <c r="N13">
        <v>0</v>
      </c>
      <c r="O13">
        <v>25657.200000000001</v>
      </c>
      <c r="P13">
        <v>8</v>
      </c>
      <c r="Q13">
        <v>168205.2</v>
      </c>
      <c r="R13" t="s">
        <v>33</v>
      </c>
      <c r="S13" t="s">
        <v>34</v>
      </c>
      <c r="T13" t="s">
        <v>103</v>
      </c>
      <c r="U13" t="s">
        <v>103</v>
      </c>
      <c r="V13" t="s">
        <v>57</v>
      </c>
      <c r="W13">
        <v>4</v>
      </c>
      <c r="X13" t="s">
        <v>47</v>
      </c>
      <c r="Y13">
        <v>1</v>
      </c>
      <c r="Z13" t="s">
        <v>47</v>
      </c>
    </row>
    <row r="14" spans="1:26" x14ac:dyDescent="0.3">
      <c r="A14" t="s">
        <v>104</v>
      </c>
      <c r="B14" s="2">
        <v>45970</v>
      </c>
      <c r="C14" t="s">
        <v>105</v>
      </c>
      <c r="D14" t="s">
        <v>66</v>
      </c>
      <c r="E14" t="s">
        <v>29</v>
      </c>
      <c r="F14">
        <v>25</v>
      </c>
      <c r="G14" t="s">
        <v>94</v>
      </c>
      <c r="H14" t="s">
        <v>31</v>
      </c>
      <c r="I14" t="s">
        <v>94</v>
      </c>
      <c r="J14" t="s">
        <v>69</v>
      </c>
      <c r="K14">
        <v>3</v>
      </c>
      <c r="L14">
        <v>25199</v>
      </c>
      <c r="M14">
        <v>10</v>
      </c>
      <c r="N14">
        <v>7559.7</v>
      </c>
      <c r="O14">
        <v>12246.71</v>
      </c>
      <c r="P14">
        <v>373</v>
      </c>
      <c r="Q14">
        <v>80657.009999999995</v>
      </c>
      <c r="R14" t="s">
        <v>54</v>
      </c>
      <c r="S14" t="s">
        <v>63</v>
      </c>
      <c r="T14" t="s">
        <v>95</v>
      </c>
      <c r="U14" t="s">
        <v>96</v>
      </c>
      <c r="V14" t="s">
        <v>57</v>
      </c>
      <c r="W14">
        <v>6</v>
      </c>
      <c r="X14" t="s">
        <v>38</v>
      </c>
      <c r="Y14">
        <v>4</v>
      </c>
      <c r="Z14" t="s">
        <v>47</v>
      </c>
    </row>
    <row r="15" spans="1:26" x14ac:dyDescent="0.3">
      <c r="A15" t="s">
        <v>106</v>
      </c>
      <c r="B15" s="2">
        <v>45960</v>
      </c>
      <c r="C15" t="s">
        <v>107</v>
      </c>
      <c r="D15" t="s">
        <v>108</v>
      </c>
      <c r="E15" t="s">
        <v>29</v>
      </c>
      <c r="F15">
        <v>22</v>
      </c>
      <c r="G15" t="s">
        <v>51</v>
      </c>
      <c r="H15" t="s">
        <v>52</v>
      </c>
      <c r="I15" t="s">
        <v>51</v>
      </c>
      <c r="J15" t="s">
        <v>62</v>
      </c>
      <c r="K15">
        <v>3</v>
      </c>
      <c r="L15">
        <v>528</v>
      </c>
      <c r="M15">
        <v>5</v>
      </c>
      <c r="N15">
        <v>79.2</v>
      </c>
      <c r="O15">
        <v>270.86</v>
      </c>
      <c r="P15">
        <v>489</v>
      </c>
      <c r="Q15">
        <v>2264.66</v>
      </c>
      <c r="R15" t="s">
        <v>83</v>
      </c>
      <c r="S15" t="s">
        <v>63</v>
      </c>
      <c r="T15" t="s">
        <v>76</v>
      </c>
      <c r="U15" t="s">
        <v>77</v>
      </c>
      <c r="V15" t="s">
        <v>57</v>
      </c>
      <c r="W15">
        <v>7</v>
      </c>
      <c r="X15" t="s">
        <v>47</v>
      </c>
      <c r="Y15">
        <v>5</v>
      </c>
      <c r="Z15" t="s">
        <v>39</v>
      </c>
    </row>
    <row r="16" spans="1:26" x14ac:dyDescent="0.3">
      <c r="A16" t="s">
        <v>109</v>
      </c>
      <c r="B16" s="2">
        <v>46094</v>
      </c>
      <c r="C16" t="s">
        <v>110</v>
      </c>
      <c r="D16" t="s">
        <v>111</v>
      </c>
      <c r="E16" t="s">
        <v>43</v>
      </c>
      <c r="F16">
        <v>19</v>
      </c>
      <c r="G16" t="s">
        <v>30</v>
      </c>
      <c r="H16" s="3" t="s">
        <v>31</v>
      </c>
      <c r="I16" t="s">
        <v>30</v>
      </c>
      <c r="J16" t="s">
        <v>112</v>
      </c>
      <c r="K16">
        <v>2</v>
      </c>
      <c r="L16">
        <v>4978</v>
      </c>
      <c r="M16">
        <v>10</v>
      </c>
      <c r="N16">
        <v>995.6</v>
      </c>
      <c r="O16">
        <v>1612.87</v>
      </c>
      <c r="P16">
        <v>228</v>
      </c>
      <c r="Q16">
        <v>10801.27</v>
      </c>
      <c r="R16" t="s">
        <v>33</v>
      </c>
      <c r="S16" t="s">
        <v>63</v>
      </c>
      <c r="T16" t="s">
        <v>76</v>
      </c>
      <c r="U16" t="s">
        <v>77</v>
      </c>
      <c r="V16" t="s">
        <v>57</v>
      </c>
      <c r="W16">
        <v>8</v>
      </c>
      <c r="X16" t="s">
        <v>47</v>
      </c>
      <c r="Y16">
        <v>3</v>
      </c>
      <c r="Z16" t="s">
        <v>91</v>
      </c>
    </row>
    <row r="17" spans="1:26" x14ac:dyDescent="0.3">
      <c r="A17" t="s">
        <v>113</v>
      </c>
      <c r="B17" s="2">
        <v>46001</v>
      </c>
      <c r="C17" t="s">
        <v>114</v>
      </c>
      <c r="D17" t="s">
        <v>108</v>
      </c>
      <c r="E17" t="s">
        <v>43</v>
      </c>
      <c r="F17">
        <v>51</v>
      </c>
      <c r="G17" t="s">
        <v>74</v>
      </c>
      <c r="H17" t="s">
        <v>31</v>
      </c>
      <c r="I17" t="s">
        <v>74</v>
      </c>
      <c r="J17" t="s">
        <v>102</v>
      </c>
      <c r="K17">
        <v>5</v>
      </c>
      <c r="L17">
        <v>46989</v>
      </c>
      <c r="M17">
        <v>10</v>
      </c>
      <c r="N17">
        <v>23494.5</v>
      </c>
      <c r="O17">
        <v>38061.089999999997</v>
      </c>
      <c r="P17">
        <v>201</v>
      </c>
      <c r="Q17">
        <v>249712.59</v>
      </c>
      <c r="R17" t="s">
        <v>54</v>
      </c>
      <c r="S17" t="s">
        <v>34</v>
      </c>
      <c r="T17" t="s">
        <v>84</v>
      </c>
      <c r="U17" t="s">
        <v>85</v>
      </c>
      <c r="V17" t="s">
        <v>86</v>
      </c>
      <c r="W17">
        <v>9</v>
      </c>
      <c r="X17" t="s">
        <v>47</v>
      </c>
      <c r="Y17">
        <v>4</v>
      </c>
      <c r="Z17" t="s">
        <v>39</v>
      </c>
    </row>
    <row r="18" spans="1:26" x14ac:dyDescent="0.3">
      <c r="A18" t="s">
        <v>115</v>
      </c>
      <c r="B18" s="2">
        <v>45808</v>
      </c>
      <c r="C18" t="s">
        <v>116</v>
      </c>
      <c r="D18" t="s">
        <v>111</v>
      </c>
      <c r="E18" t="s">
        <v>29</v>
      </c>
      <c r="F18">
        <v>31</v>
      </c>
      <c r="G18" t="s">
        <v>67</v>
      </c>
      <c r="H18" t="s">
        <v>68</v>
      </c>
      <c r="I18" t="s">
        <v>67</v>
      </c>
      <c r="J18" t="s">
        <v>69</v>
      </c>
      <c r="K18">
        <v>1</v>
      </c>
      <c r="L18">
        <v>48667</v>
      </c>
      <c r="M18">
        <v>5</v>
      </c>
      <c r="N18">
        <v>2433.35</v>
      </c>
      <c r="O18">
        <v>8322.06</v>
      </c>
      <c r="P18">
        <v>58</v>
      </c>
      <c r="Q18">
        <v>54613.71</v>
      </c>
      <c r="R18" t="s">
        <v>83</v>
      </c>
      <c r="S18" t="s">
        <v>63</v>
      </c>
      <c r="T18" t="s">
        <v>84</v>
      </c>
      <c r="U18" t="s">
        <v>85</v>
      </c>
      <c r="V18" t="s">
        <v>86</v>
      </c>
      <c r="W18">
        <v>1</v>
      </c>
      <c r="X18" t="s">
        <v>47</v>
      </c>
      <c r="Y18">
        <v>2</v>
      </c>
      <c r="Z18" t="s">
        <v>91</v>
      </c>
    </row>
    <row r="19" spans="1:26" x14ac:dyDescent="0.3">
      <c r="A19" t="s">
        <v>117</v>
      </c>
      <c r="B19" s="2">
        <v>45784</v>
      </c>
      <c r="C19" t="s">
        <v>118</v>
      </c>
      <c r="D19" t="s">
        <v>66</v>
      </c>
      <c r="E19" t="s">
        <v>29</v>
      </c>
      <c r="F19">
        <v>31</v>
      </c>
      <c r="G19" t="s">
        <v>94</v>
      </c>
      <c r="H19" t="s">
        <v>31</v>
      </c>
      <c r="I19" t="s">
        <v>94</v>
      </c>
      <c r="J19" t="s">
        <v>53</v>
      </c>
      <c r="K19">
        <v>3</v>
      </c>
      <c r="L19">
        <v>33636</v>
      </c>
      <c r="M19">
        <v>10</v>
      </c>
      <c r="N19">
        <v>10090.799999999999</v>
      </c>
      <c r="O19">
        <v>16347.1</v>
      </c>
      <c r="P19">
        <v>272</v>
      </c>
      <c r="Q19">
        <v>107436.3</v>
      </c>
      <c r="R19" t="s">
        <v>83</v>
      </c>
      <c r="S19" t="s">
        <v>34</v>
      </c>
      <c r="T19" t="s">
        <v>76</v>
      </c>
      <c r="U19" t="s">
        <v>77</v>
      </c>
      <c r="V19" t="s">
        <v>57</v>
      </c>
      <c r="W19">
        <v>1</v>
      </c>
      <c r="X19" t="s">
        <v>38</v>
      </c>
      <c r="Y19">
        <v>3</v>
      </c>
      <c r="Z19" t="s">
        <v>39</v>
      </c>
    </row>
    <row r="20" spans="1:26" x14ac:dyDescent="0.3">
      <c r="A20" t="s">
        <v>119</v>
      </c>
      <c r="B20" s="2">
        <v>45987</v>
      </c>
      <c r="C20" t="s">
        <v>120</v>
      </c>
      <c r="D20" t="s">
        <v>66</v>
      </c>
      <c r="E20" t="s">
        <v>43</v>
      </c>
      <c r="F20">
        <v>55</v>
      </c>
      <c r="G20" t="s">
        <v>51</v>
      </c>
      <c r="H20" t="s">
        <v>52</v>
      </c>
      <c r="I20" t="s">
        <v>51</v>
      </c>
      <c r="J20" t="s">
        <v>53</v>
      </c>
      <c r="K20">
        <v>3</v>
      </c>
      <c r="L20">
        <v>40213</v>
      </c>
      <c r="M20">
        <v>15</v>
      </c>
      <c r="N20">
        <v>18095.849999999999</v>
      </c>
      <c r="O20">
        <v>18457.77</v>
      </c>
      <c r="P20">
        <v>371</v>
      </c>
      <c r="Q20">
        <v>121371.92</v>
      </c>
      <c r="R20" t="s">
        <v>33</v>
      </c>
      <c r="S20" t="s">
        <v>34</v>
      </c>
      <c r="T20" t="s">
        <v>55</v>
      </c>
      <c r="U20" t="s">
        <v>56</v>
      </c>
      <c r="V20" t="s">
        <v>57</v>
      </c>
      <c r="W20">
        <v>6</v>
      </c>
      <c r="X20" t="s">
        <v>47</v>
      </c>
      <c r="Y20">
        <v>4</v>
      </c>
      <c r="Z20" t="s">
        <v>47</v>
      </c>
    </row>
    <row r="21" spans="1:26" x14ac:dyDescent="0.3">
      <c r="A21" t="s">
        <v>121</v>
      </c>
      <c r="B21" s="2">
        <v>45895</v>
      </c>
      <c r="C21" t="s">
        <v>122</v>
      </c>
      <c r="D21" t="s">
        <v>111</v>
      </c>
      <c r="E21" t="s">
        <v>29</v>
      </c>
      <c r="F21">
        <v>36</v>
      </c>
      <c r="G21" t="s">
        <v>51</v>
      </c>
      <c r="H21" t="s">
        <v>52</v>
      </c>
      <c r="I21" t="s">
        <v>51</v>
      </c>
      <c r="J21" t="s">
        <v>102</v>
      </c>
      <c r="K21">
        <v>4</v>
      </c>
      <c r="L21">
        <v>7214</v>
      </c>
      <c r="M21">
        <v>5</v>
      </c>
      <c r="N21">
        <v>1442.8</v>
      </c>
      <c r="O21">
        <v>4934.38</v>
      </c>
      <c r="P21">
        <v>443</v>
      </c>
      <c r="Q21">
        <v>32790.58</v>
      </c>
      <c r="R21" t="s">
        <v>33</v>
      </c>
      <c r="S21" t="s">
        <v>63</v>
      </c>
      <c r="T21" t="s">
        <v>95</v>
      </c>
      <c r="U21" t="s">
        <v>96</v>
      </c>
      <c r="V21" t="s">
        <v>57</v>
      </c>
      <c r="W21">
        <v>9</v>
      </c>
      <c r="X21" t="s">
        <v>38</v>
      </c>
      <c r="Y21">
        <v>5</v>
      </c>
      <c r="Z21" t="s">
        <v>47</v>
      </c>
    </row>
    <row r="22" spans="1:26" x14ac:dyDescent="0.3">
      <c r="A22" t="s">
        <v>123</v>
      </c>
      <c r="B22" s="2">
        <v>46019</v>
      </c>
      <c r="C22" t="s">
        <v>124</v>
      </c>
      <c r="D22" t="s">
        <v>111</v>
      </c>
      <c r="E22" t="s">
        <v>43</v>
      </c>
      <c r="F22">
        <v>54</v>
      </c>
      <c r="G22" t="s">
        <v>30</v>
      </c>
      <c r="H22" t="s">
        <v>31</v>
      </c>
      <c r="I22" t="s">
        <v>30</v>
      </c>
      <c r="J22" t="s">
        <v>125</v>
      </c>
      <c r="K22">
        <v>2</v>
      </c>
      <c r="L22">
        <v>33517</v>
      </c>
      <c r="M22">
        <v>0</v>
      </c>
      <c r="N22">
        <v>0</v>
      </c>
      <c r="O22">
        <v>12066.12</v>
      </c>
      <c r="P22">
        <v>341</v>
      </c>
      <c r="Q22">
        <v>79441.119999999995</v>
      </c>
      <c r="R22" t="s">
        <v>83</v>
      </c>
      <c r="S22" t="s">
        <v>63</v>
      </c>
      <c r="T22" t="s">
        <v>76</v>
      </c>
      <c r="U22" t="s">
        <v>77</v>
      </c>
      <c r="V22" t="s">
        <v>57</v>
      </c>
      <c r="W22">
        <v>5</v>
      </c>
      <c r="X22" t="s">
        <v>47</v>
      </c>
      <c r="Y22">
        <v>3</v>
      </c>
      <c r="Z22" t="s">
        <v>58</v>
      </c>
    </row>
    <row r="23" spans="1:26" x14ac:dyDescent="0.3">
      <c r="A23" t="s">
        <v>126</v>
      </c>
      <c r="B23" s="2">
        <v>46014</v>
      </c>
      <c r="C23" t="s">
        <v>127</v>
      </c>
      <c r="D23" t="s">
        <v>61</v>
      </c>
      <c r="E23" t="s">
        <v>29</v>
      </c>
      <c r="F23">
        <v>45</v>
      </c>
      <c r="G23" t="s">
        <v>67</v>
      </c>
      <c r="H23" t="s">
        <v>68</v>
      </c>
      <c r="I23" t="s">
        <v>67</v>
      </c>
      <c r="J23" t="s">
        <v>102</v>
      </c>
      <c r="K23">
        <v>1</v>
      </c>
      <c r="L23">
        <v>29256</v>
      </c>
      <c r="M23">
        <v>15</v>
      </c>
      <c r="N23">
        <v>4388.3999999999996</v>
      </c>
      <c r="O23">
        <v>4476.17</v>
      </c>
      <c r="P23">
        <v>37</v>
      </c>
      <c r="Q23">
        <v>29380.77</v>
      </c>
      <c r="R23" t="s">
        <v>83</v>
      </c>
      <c r="S23" t="s">
        <v>63</v>
      </c>
      <c r="T23" t="s">
        <v>95</v>
      </c>
      <c r="U23" t="s">
        <v>96</v>
      </c>
      <c r="V23" t="s">
        <v>57</v>
      </c>
      <c r="W23">
        <v>9</v>
      </c>
      <c r="X23" t="s">
        <v>38</v>
      </c>
      <c r="Y23">
        <v>4</v>
      </c>
      <c r="Z23" t="s">
        <v>58</v>
      </c>
    </row>
    <row r="24" spans="1:26" x14ac:dyDescent="0.3">
      <c r="A24" t="s">
        <v>128</v>
      </c>
      <c r="B24" s="2">
        <v>46079</v>
      </c>
      <c r="C24" t="s">
        <v>129</v>
      </c>
      <c r="D24" t="s">
        <v>66</v>
      </c>
      <c r="E24" t="s">
        <v>29</v>
      </c>
      <c r="F24">
        <v>31</v>
      </c>
      <c r="G24" t="s">
        <v>44</v>
      </c>
      <c r="H24" t="s">
        <v>31</v>
      </c>
      <c r="I24" t="s">
        <v>44</v>
      </c>
      <c r="J24" t="s">
        <v>69</v>
      </c>
      <c r="K24">
        <v>1</v>
      </c>
      <c r="L24">
        <v>36299</v>
      </c>
      <c r="M24">
        <v>10</v>
      </c>
      <c r="N24">
        <v>3629.9</v>
      </c>
      <c r="O24">
        <v>5880.44</v>
      </c>
      <c r="P24">
        <v>385</v>
      </c>
      <c r="Q24">
        <v>38934.54</v>
      </c>
      <c r="R24" t="s">
        <v>54</v>
      </c>
      <c r="S24" t="s">
        <v>34</v>
      </c>
      <c r="T24" t="s">
        <v>46</v>
      </c>
      <c r="U24" t="s">
        <v>36</v>
      </c>
      <c r="V24" t="s">
        <v>37</v>
      </c>
      <c r="W24">
        <v>1</v>
      </c>
      <c r="X24" t="s">
        <v>38</v>
      </c>
      <c r="Y24">
        <v>1</v>
      </c>
      <c r="Z24" t="s">
        <v>58</v>
      </c>
    </row>
    <row r="25" spans="1:26" x14ac:dyDescent="0.3">
      <c r="A25" t="s">
        <v>130</v>
      </c>
      <c r="B25" s="2">
        <v>45930</v>
      </c>
      <c r="C25" t="s">
        <v>131</v>
      </c>
      <c r="D25" t="s">
        <v>80</v>
      </c>
      <c r="E25" t="s">
        <v>43</v>
      </c>
      <c r="F25">
        <v>56</v>
      </c>
      <c r="G25" t="s">
        <v>74</v>
      </c>
      <c r="H25" t="s">
        <v>31</v>
      </c>
      <c r="I25" t="s">
        <v>74</v>
      </c>
      <c r="J25" t="s">
        <v>53</v>
      </c>
      <c r="K25">
        <v>3</v>
      </c>
      <c r="L25">
        <v>24675</v>
      </c>
      <c r="M25">
        <v>15</v>
      </c>
      <c r="N25">
        <v>11103.75</v>
      </c>
      <c r="O25">
        <v>11325.82</v>
      </c>
      <c r="P25">
        <v>294</v>
      </c>
      <c r="Q25">
        <v>74541.070000000007</v>
      </c>
      <c r="R25" t="s">
        <v>83</v>
      </c>
      <c r="S25" t="s">
        <v>63</v>
      </c>
      <c r="T25" t="s">
        <v>95</v>
      </c>
      <c r="U25" t="s">
        <v>96</v>
      </c>
      <c r="V25" t="s">
        <v>57</v>
      </c>
      <c r="W25">
        <v>4</v>
      </c>
      <c r="X25" t="s">
        <v>38</v>
      </c>
      <c r="Y25">
        <v>4</v>
      </c>
      <c r="Z25" t="s">
        <v>39</v>
      </c>
    </row>
    <row r="26" spans="1:26" x14ac:dyDescent="0.3">
      <c r="A26" t="s">
        <v>132</v>
      </c>
      <c r="B26" s="2">
        <v>46107</v>
      </c>
      <c r="C26" t="s">
        <v>133</v>
      </c>
      <c r="D26" t="s">
        <v>108</v>
      </c>
      <c r="E26" t="s">
        <v>29</v>
      </c>
      <c r="F26">
        <v>30</v>
      </c>
      <c r="G26" t="s">
        <v>134</v>
      </c>
      <c r="H26" t="s">
        <v>31</v>
      </c>
      <c r="I26" t="s">
        <v>134</v>
      </c>
      <c r="J26" t="s">
        <v>125</v>
      </c>
      <c r="K26">
        <v>5</v>
      </c>
      <c r="L26">
        <v>1082</v>
      </c>
      <c r="M26">
        <v>20</v>
      </c>
      <c r="N26">
        <v>1082</v>
      </c>
      <c r="O26">
        <v>779.04</v>
      </c>
      <c r="P26">
        <v>274</v>
      </c>
      <c r="Q26">
        <v>5381.04</v>
      </c>
      <c r="R26" t="s">
        <v>45</v>
      </c>
      <c r="S26" t="s">
        <v>34</v>
      </c>
      <c r="T26" t="s">
        <v>35</v>
      </c>
      <c r="U26" t="s">
        <v>36</v>
      </c>
      <c r="V26" t="s">
        <v>37</v>
      </c>
      <c r="W26">
        <v>2</v>
      </c>
      <c r="X26" t="s">
        <v>38</v>
      </c>
      <c r="Y26">
        <v>2</v>
      </c>
      <c r="Z26" t="s">
        <v>91</v>
      </c>
    </row>
    <row r="27" spans="1:26" x14ac:dyDescent="0.3">
      <c r="A27" t="s">
        <v>135</v>
      </c>
      <c r="B27" s="2">
        <v>46049</v>
      </c>
      <c r="C27" t="s">
        <v>136</v>
      </c>
      <c r="D27" t="s">
        <v>73</v>
      </c>
      <c r="E27" t="s">
        <v>43</v>
      </c>
      <c r="F27">
        <v>48</v>
      </c>
      <c r="G27" t="s">
        <v>30</v>
      </c>
      <c r="H27" t="s">
        <v>31</v>
      </c>
      <c r="I27" t="s">
        <v>30</v>
      </c>
      <c r="J27" t="s">
        <v>102</v>
      </c>
      <c r="K27">
        <v>2</v>
      </c>
      <c r="L27">
        <v>971</v>
      </c>
      <c r="M27">
        <v>20</v>
      </c>
      <c r="N27">
        <v>388.4</v>
      </c>
      <c r="O27">
        <v>279.64999999999998</v>
      </c>
      <c r="P27">
        <v>249</v>
      </c>
      <c r="Q27">
        <v>2082.25</v>
      </c>
      <c r="R27" t="s">
        <v>83</v>
      </c>
      <c r="S27" t="s">
        <v>63</v>
      </c>
      <c r="T27" t="s">
        <v>35</v>
      </c>
      <c r="U27" t="s">
        <v>36</v>
      </c>
      <c r="V27" t="s">
        <v>37</v>
      </c>
      <c r="W27">
        <v>7</v>
      </c>
      <c r="X27" t="s">
        <v>38</v>
      </c>
      <c r="Y27">
        <v>2</v>
      </c>
      <c r="Z27" t="s">
        <v>39</v>
      </c>
    </row>
    <row r="28" spans="1:26" x14ac:dyDescent="0.3">
      <c r="A28" t="s">
        <v>137</v>
      </c>
      <c r="B28" s="2">
        <v>46116</v>
      </c>
      <c r="C28" t="s">
        <v>138</v>
      </c>
      <c r="D28" t="s">
        <v>111</v>
      </c>
      <c r="E28" t="s">
        <v>29</v>
      </c>
      <c r="F28">
        <v>43</v>
      </c>
      <c r="G28" t="s">
        <v>139</v>
      </c>
      <c r="H28" t="s">
        <v>31</v>
      </c>
      <c r="I28" t="s">
        <v>139</v>
      </c>
      <c r="J28" t="s">
        <v>53</v>
      </c>
      <c r="K28">
        <v>2</v>
      </c>
      <c r="L28">
        <v>12340</v>
      </c>
      <c r="M28">
        <v>10</v>
      </c>
      <c r="N28">
        <v>2468</v>
      </c>
      <c r="O28">
        <v>3998.16</v>
      </c>
      <c r="P28">
        <v>380</v>
      </c>
      <c r="Q28">
        <v>26590.16</v>
      </c>
      <c r="R28" t="s">
        <v>54</v>
      </c>
      <c r="S28" t="s">
        <v>63</v>
      </c>
      <c r="T28" t="s">
        <v>76</v>
      </c>
      <c r="U28" t="s">
        <v>77</v>
      </c>
      <c r="V28" t="s">
        <v>57</v>
      </c>
      <c r="W28">
        <v>3</v>
      </c>
      <c r="X28" t="s">
        <v>38</v>
      </c>
      <c r="Y28">
        <v>1</v>
      </c>
      <c r="Z28" t="s">
        <v>39</v>
      </c>
    </row>
    <row r="29" spans="1:26" x14ac:dyDescent="0.3">
      <c r="A29" t="s">
        <v>140</v>
      </c>
      <c r="B29" s="2">
        <v>45881</v>
      </c>
      <c r="C29" t="s">
        <v>141</v>
      </c>
      <c r="D29" t="s">
        <v>50</v>
      </c>
      <c r="E29" t="s">
        <v>29</v>
      </c>
      <c r="F29">
        <v>44</v>
      </c>
      <c r="G29" t="s">
        <v>94</v>
      </c>
      <c r="H29" t="s">
        <v>31</v>
      </c>
      <c r="I29" t="s">
        <v>94</v>
      </c>
      <c r="J29" t="s">
        <v>125</v>
      </c>
      <c r="K29">
        <v>4</v>
      </c>
      <c r="L29">
        <v>3291</v>
      </c>
      <c r="M29">
        <v>5</v>
      </c>
      <c r="N29">
        <v>658.2</v>
      </c>
      <c r="O29">
        <v>2251.04</v>
      </c>
      <c r="P29">
        <v>242</v>
      </c>
      <c r="Q29">
        <v>14998.84</v>
      </c>
      <c r="R29" t="s">
        <v>33</v>
      </c>
      <c r="S29" t="s">
        <v>63</v>
      </c>
      <c r="T29" t="s">
        <v>76</v>
      </c>
      <c r="U29" t="s">
        <v>77</v>
      </c>
      <c r="V29" t="s">
        <v>57</v>
      </c>
      <c r="W29">
        <v>1</v>
      </c>
      <c r="X29" t="s">
        <v>38</v>
      </c>
      <c r="Y29">
        <v>3</v>
      </c>
      <c r="Z29" t="s">
        <v>47</v>
      </c>
    </row>
    <row r="30" spans="1:26" x14ac:dyDescent="0.3">
      <c r="A30" t="s">
        <v>142</v>
      </c>
      <c r="B30" s="2">
        <v>45822</v>
      </c>
      <c r="C30" t="s">
        <v>143</v>
      </c>
      <c r="D30" t="s">
        <v>28</v>
      </c>
      <c r="E30" t="s">
        <v>43</v>
      </c>
      <c r="F30">
        <v>19</v>
      </c>
      <c r="G30" t="s">
        <v>134</v>
      </c>
      <c r="H30" t="s">
        <v>31</v>
      </c>
      <c r="I30" t="s">
        <v>134</v>
      </c>
      <c r="J30" t="s">
        <v>125</v>
      </c>
      <c r="K30">
        <v>3</v>
      </c>
      <c r="L30">
        <v>44392</v>
      </c>
      <c r="M30">
        <v>0</v>
      </c>
      <c r="N30">
        <v>0</v>
      </c>
      <c r="O30">
        <v>23971.68</v>
      </c>
      <c r="P30">
        <v>464</v>
      </c>
      <c r="Q30">
        <v>157611.68</v>
      </c>
      <c r="R30" t="s">
        <v>33</v>
      </c>
      <c r="S30" t="s">
        <v>34</v>
      </c>
      <c r="T30" t="s">
        <v>46</v>
      </c>
      <c r="U30" t="s">
        <v>36</v>
      </c>
      <c r="V30" t="s">
        <v>37</v>
      </c>
      <c r="W30">
        <v>9</v>
      </c>
      <c r="X30" t="s">
        <v>47</v>
      </c>
      <c r="Y30">
        <v>2</v>
      </c>
      <c r="Z30" t="s">
        <v>58</v>
      </c>
    </row>
    <row r="31" spans="1:26" x14ac:dyDescent="0.3">
      <c r="A31" t="s">
        <v>144</v>
      </c>
      <c r="B31" s="2">
        <v>46004</v>
      </c>
      <c r="C31" t="s">
        <v>145</v>
      </c>
      <c r="D31" t="s">
        <v>111</v>
      </c>
      <c r="E31" t="s">
        <v>43</v>
      </c>
      <c r="F31">
        <v>59</v>
      </c>
      <c r="G31" t="s">
        <v>94</v>
      </c>
      <c r="H31" t="s">
        <v>31</v>
      </c>
      <c r="I31" t="s">
        <v>94</v>
      </c>
      <c r="J31" t="s">
        <v>69</v>
      </c>
      <c r="K31">
        <v>2</v>
      </c>
      <c r="L31">
        <v>40547</v>
      </c>
      <c r="M31">
        <v>20</v>
      </c>
      <c r="N31">
        <v>16218.8</v>
      </c>
      <c r="O31">
        <v>11677.54</v>
      </c>
      <c r="P31">
        <v>177</v>
      </c>
      <c r="Q31">
        <v>76729.740000000005</v>
      </c>
      <c r="R31" t="s">
        <v>45</v>
      </c>
      <c r="S31" t="s">
        <v>34</v>
      </c>
      <c r="T31" t="s">
        <v>95</v>
      </c>
      <c r="U31" t="s">
        <v>96</v>
      </c>
      <c r="V31" t="s">
        <v>57</v>
      </c>
      <c r="W31">
        <v>2</v>
      </c>
      <c r="X31" t="s">
        <v>47</v>
      </c>
      <c r="Y31">
        <v>3</v>
      </c>
      <c r="Z31" t="s">
        <v>58</v>
      </c>
    </row>
    <row r="32" spans="1:26" x14ac:dyDescent="0.3">
      <c r="A32" t="s">
        <v>146</v>
      </c>
      <c r="B32" s="2">
        <v>45940</v>
      </c>
      <c r="C32" t="s">
        <v>147</v>
      </c>
      <c r="D32" t="s">
        <v>89</v>
      </c>
      <c r="E32" t="s">
        <v>29</v>
      </c>
      <c r="F32">
        <v>60</v>
      </c>
      <c r="G32" t="s">
        <v>30</v>
      </c>
      <c r="H32" t="s">
        <v>31</v>
      </c>
      <c r="I32" t="s">
        <v>30</v>
      </c>
      <c r="J32" t="s">
        <v>53</v>
      </c>
      <c r="K32">
        <v>5</v>
      </c>
      <c r="L32">
        <v>31394</v>
      </c>
      <c r="M32">
        <v>0</v>
      </c>
      <c r="N32">
        <v>0</v>
      </c>
      <c r="O32">
        <v>28254.6</v>
      </c>
      <c r="P32">
        <v>446</v>
      </c>
      <c r="Q32">
        <v>185670.6</v>
      </c>
      <c r="R32" t="s">
        <v>45</v>
      </c>
      <c r="S32" t="s">
        <v>34</v>
      </c>
      <c r="T32" t="s">
        <v>84</v>
      </c>
      <c r="U32" t="s">
        <v>85</v>
      </c>
      <c r="V32" t="s">
        <v>86</v>
      </c>
      <c r="W32">
        <v>3</v>
      </c>
      <c r="X32" t="s">
        <v>38</v>
      </c>
      <c r="Y32">
        <v>2</v>
      </c>
      <c r="Z32" t="s">
        <v>58</v>
      </c>
    </row>
    <row r="33" spans="1:26" x14ac:dyDescent="0.3">
      <c r="A33" t="s">
        <v>148</v>
      </c>
      <c r="B33" s="2">
        <v>46068</v>
      </c>
      <c r="C33" t="s">
        <v>149</v>
      </c>
      <c r="D33" t="s">
        <v>89</v>
      </c>
      <c r="E33" t="s">
        <v>29</v>
      </c>
      <c r="F33">
        <v>57</v>
      </c>
      <c r="G33" t="s">
        <v>90</v>
      </c>
      <c r="H33" t="s">
        <v>31</v>
      </c>
      <c r="I33" t="s">
        <v>90</v>
      </c>
      <c r="J33" t="s">
        <v>150</v>
      </c>
      <c r="K33">
        <v>2</v>
      </c>
      <c r="L33">
        <v>35379</v>
      </c>
      <c r="M33">
        <v>0</v>
      </c>
      <c r="N33">
        <v>0</v>
      </c>
      <c r="O33">
        <v>12736.44</v>
      </c>
      <c r="P33">
        <v>53</v>
      </c>
      <c r="Q33">
        <v>83547.44</v>
      </c>
      <c r="R33" t="s">
        <v>54</v>
      </c>
      <c r="S33" t="s">
        <v>63</v>
      </c>
      <c r="T33" t="s">
        <v>46</v>
      </c>
      <c r="U33" t="s">
        <v>36</v>
      </c>
      <c r="V33" t="s">
        <v>37</v>
      </c>
      <c r="W33">
        <v>4</v>
      </c>
      <c r="X33" t="s">
        <v>38</v>
      </c>
      <c r="Y33">
        <v>4</v>
      </c>
      <c r="Z33" t="s">
        <v>58</v>
      </c>
    </row>
    <row r="34" spans="1:26" x14ac:dyDescent="0.3">
      <c r="A34" t="s">
        <v>151</v>
      </c>
      <c r="B34" s="2">
        <v>45807</v>
      </c>
      <c r="C34" t="s">
        <v>152</v>
      </c>
      <c r="D34" t="s">
        <v>89</v>
      </c>
      <c r="E34" t="s">
        <v>29</v>
      </c>
      <c r="F34">
        <v>54</v>
      </c>
      <c r="G34" t="s">
        <v>51</v>
      </c>
      <c r="H34" t="s">
        <v>52</v>
      </c>
      <c r="I34" t="s">
        <v>51</v>
      </c>
      <c r="J34" t="s">
        <v>62</v>
      </c>
      <c r="K34">
        <v>1</v>
      </c>
      <c r="L34">
        <v>35566</v>
      </c>
      <c r="M34">
        <v>20</v>
      </c>
      <c r="N34">
        <v>7113.2</v>
      </c>
      <c r="O34">
        <v>5121.5</v>
      </c>
      <c r="P34">
        <v>467</v>
      </c>
      <c r="Q34">
        <v>34041.300000000003</v>
      </c>
      <c r="R34" t="s">
        <v>45</v>
      </c>
      <c r="S34" t="s">
        <v>34</v>
      </c>
      <c r="T34" t="s">
        <v>84</v>
      </c>
      <c r="U34" t="s">
        <v>85</v>
      </c>
      <c r="V34" t="s">
        <v>86</v>
      </c>
      <c r="W34">
        <v>5</v>
      </c>
      <c r="X34" t="s">
        <v>38</v>
      </c>
      <c r="Y34">
        <v>2</v>
      </c>
      <c r="Z34" t="s">
        <v>39</v>
      </c>
    </row>
    <row r="35" spans="1:26" x14ac:dyDescent="0.3">
      <c r="A35" t="s">
        <v>153</v>
      </c>
      <c r="B35" s="2">
        <v>45874</v>
      </c>
      <c r="C35" t="s">
        <v>154</v>
      </c>
      <c r="D35" t="s">
        <v>66</v>
      </c>
      <c r="E35" t="s">
        <v>43</v>
      </c>
      <c r="F35">
        <v>47</v>
      </c>
      <c r="G35" t="s">
        <v>90</v>
      </c>
      <c r="H35" t="s">
        <v>31</v>
      </c>
      <c r="I35" t="s">
        <v>90</v>
      </c>
      <c r="J35" t="s">
        <v>150</v>
      </c>
      <c r="K35">
        <v>1</v>
      </c>
      <c r="L35">
        <v>20264</v>
      </c>
      <c r="M35">
        <v>15</v>
      </c>
      <c r="N35">
        <v>3039.6</v>
      </c>
      <c r="O35">
        <v>3100.39</v>
      </c>
      <c r="P35">
        <v>365</v>
      </c>
      <c r="Q35">
        <v>20689.79</v>
      </c>
      <c r="R35" t="s">
        <v>33</v>
      </c>
      <c r="S35" t="s">
        <v>34</v>
      </c>
      <c r="T35" t="s">
        <v>103</v>
      </c>
      <c r="U35" t="s">
        <v>103</v>
      </c>
      <c r="V35" t="s">
        <v>57</v>
      </c>
      <c r="W35">
        <v>10</v>
      </c>
      <c r="X35" t="s">
        <v>47</v>
      </c>
      <c r="Y35">
        <v>2</v>
      </c>
      <c r="Z35" t="s">
        <v>91</v>
      </c>
    </row>
    <row r="36" spans="1:26" x14ac:dyDescent="0.3">
      <c r="A36" t="s">
        <v>155</v>
      </c>
      <c r="B36" s="2">
        <v>45982</v>
      </c>
      <c r="C36" t="s">
        <v>156</v>
      </c>
      <c r="D36" t="s">
        <v>61</v>
      </c>
      <c r="E36" t="s">
        <v>43</v>
      </c>
      <c r="F36">
        <v>37</v>
      </c>
      <c r="G36" t="s">
        <v>44</v>
      </c>
      <c r="H36" t="s">
        <v>31</v>
      </c>
      <c r="I36" t="s">
        <v>44</v>
      </c>
      <c r="J36" t="s">
        <v>125</v>
      </c>
      <c r="K36">
        <v>3</v>
      </c>
      <c r="L36">
        <v>32124</v>
      </c>
      <c r="M36">
        <v>5</v>
      </c>
      <c r="N36">
        <v>4818.6000000000004</v>
      </c>
      <c r="O36">
        <v>16479.61</v>
      </c>
      <c r="P36">
        <v>285</v>
      </c>
      <c r="Q36">
        <v>108318.01</v>
      </c>
      <c r="R36" t="s">
        <v>33</v>
      </c>
      <c r="S36" t="s">
        <v>34</v>
      </c>
      <c r="T36" t="s">
        <v>103</v>
      </c>
      <c r="U36" t="s">
        <v>103</v>
      </c>
      <c r="V36" t="s">
        <v>57</v>
      </c>
      <c r="W36">
        <v>9</v>
      </c>
      <c r="X36" t="s">
        <v>38</v>
      </c>
      <c r="Y36">
        <v>2</v>
      </c>
      <c r="Z36" t="s">
        <v>91</v>
      </c>
    </row>
    <row r="37" spans="1:26" x14ac:dyDescent="0.3">
      <c r="A37" t="s">
        <v>157</v>
      </c>
      <c r="B37" s="2">
        <v>46026</v>
      </c>
      <c r="C37" t="s">
        <v>158</v>
      </c>
      <c r="D37" t="s">
        <v>89</v>
      </c>
      <c r="E37" t="s">
        <v>29</v>
      </c>
      <c r="F37">
        <v>53</v>
      </c>
      <c r="G37" t="s">
        <v>51</v>
      </c>
      <c r="H37" t="s">
        <v>52</v>
      </c>
      <c r="I37" t="s">
        <v>51</v>
      </c>
      <c r="J37" t="s">
        <v>150</v>
      </c>
      <c r="K37">
        <v>5</v>
      </c>
      <c r="L37">
        <v>18427</v>
      </c>
      <c r="M37">
        <v>5</v>
      </c>
      <c r="N37">
        <v>4606.75</v>
      </c>
      <c r="O37">
        <v>15755.08</v>
      </c>
      <c r="P37">
        <v>210</v>
      </c>
      <c r="Q37">
        <v>103493.33</v>
      </c>
      <c r="R37" t="s">
        <v>54</v>
      </c>
      <c r="S37" t="s">
        <v>34</v>
      </c>
      <c r="T37" t="s">
        <v>84</v>
      </c>
      <c r="U37" t="s">
        <v>85</v>
      </c>
      <c r="V37" t="s">
        <v>86</v>
      </c>
      <c r="W37">
        <v>9</v>
      </c>
      <c r="X37" t="s">
        <v>47</v>
      </c>
      <c r="Y37">
        <v>2</v>
      </c>
      <c r="Z37" t="s">
        <v>47</v>
      </c>
    </row>
    <row r="38" spans="1:26" x14ac:dyDescent="0.3">
      <c r="A38" t="s">
        <v>159</v>
      </c>
      <c r="B38" s="2">
        <v>45821</v>
      </c>
      <c r="C38" t="s">
        <v>160</v>
      </c>
      <c r="D38" t="s">
        <v>28</v>
      </c>
      <c r="E38" t="s">
        <v>43</v>
      </c>
      <c r="F38">
        <v>57</v>
      </c>
      <c r="G38" t="s">
        <v>99</v>
      </c>
      <c r="H38" t="s">
        <v>52</v>
      </c>
      <c r="I38" t="s">
        <v>99</v>
      </c>
      <c r="J38" t="s">
        <v>112</v>
      </c>
      <c r="K38">
        <v>5</v>
      </c>
      <c r="L38">
        <v>43320</v>
      </c>
      <c r="M38">
        <v>10</v>
      </c>
      <c r="N38">
        <v>21660</v>
      </c>
      <c r="O38">
        <v>35089.199999999997</v>
      </c>
      <c r="P38">
        <v>103</v>
      </c>
      <c r="Q38">
        <v>230132.2</v>
      </c>
      <c r="R38" t="s">
        <v>54</v>
      </c>
      <c r="S38" t="s">
        <v>63</v>
      </c>
      <c r="T38" t="s">
        <v>76</v>
      </c>
      <c r="U38" t="s">
        <v>77</v>
      </c>
      <c r="V38" t="s">
        <v>57</v>
      </c>
      <c r="W38">
        <v>5</v>
      </c>
      <c r="X38" t="s">
        <v>38</v>
      </c>
      <c r="Y38">
        <v>5</v>
      </c>
      <c r="Z38" t="s">
        <v>47</v>
      </c>
    </row>
    <row r="39" spans="1:26" x14ac:dyDescent="0.3">
      <c r="A39" t="s">
        <v>161</v>
      </c>
      <c r="B39" s="2">
        <v>45911</v>
      </c>
      <c r="C39" t="s">
        <v>162</v>
      </c>
      <c r="D39" t="s">
        <v>111</v>
      </c>
      <c r="E39" t="s">
        <v>29</v>
      </c>
      <c r="F39">
        <v>52</v>
      </c>
      <c r="G39" t="s">
        <v>30</v>
      </c>
      <c r="H39" t="s">
        <v>31</v>
      </c>
      <c r="I39" t="s">
        <v>30</v>
      </c>
      <c r="J39" t="s">
        <v>150</v>
      </c>
      <c r="K39">
        <v>2</v>
      </c>
      <c r="L39">
        <v>2134</v>
      </c>
      <c r="M39">
        <v>0</v>
      </c>
      <c r="N39">
        <v>0</v>
      </c>
      <c r="O39">
        <v>768.24</v>
      </c>
      <c r="P39">
        <v>266</v>
      </c>
      <c r="Q39">
        <v>5302.24</v>
      </c>
      <c r="R39" t="s">
        <v>83</v>
      </c>
      <c r="S39" t="s">
        <v>63</v>
      </c>
      <c r="T39" t="s">
        <v>35</v>
      </c>
      <c r="U39" t="s">
        <v>36</v>
      </c>
      <c r="V39" t="s">
        <v>37</v>
      </c>
      <c r="W39">
        <v>10</v>
      </c>
      <c r="X39" t="s">
        <v>38</v>
      </c>
      <c r="Y39">
        <v>2</v>
      </c>
      <c r="Z39" t="s">
        <v>58</v>
      </c>
    </row>
    <row r="40" spans="1:26" x14ac:dyDescent="0.3">
      <c r="A40" t="s">
        <v>163</v>
      </c>
      <c r="B40" s="2">
        <v>45913</v>
      </c>
      <c r="C40" t="s">
        <v>164</v>
      </c>
      <c r="D40" t="s">
        <v>80</v>
      </c>
      <c r="E40" t="s">
        <v>29</v>
      </c>
      <c r="F40">
        <v>50</v>
      </c>
      <c r="G40" t="s">
        <v>51</v>
      </c>
      <c r="H40" t="s">
        <v>52</v>
      </c>
      <c r="I40" t="s">
        <v>51</v>
      </c>
      <c r="J40" t="s">
        <v>102</v>
      </c>
      <c r="K40">
        <v>2</v>
      </c>
      <c r="L40">
        <v>46564</v>
      </c>
      <c r="M40">
        <v>0</v>
      </c>
      <c r="N40">
        <v>0</v>
      </c>
      <c r="O40">
        <v>16763.04</v>
      </c>
      <c r="P40">
        <v>299</v>
      </c>
      <c r="Q40">
        <v>110190.04</v>
      </c>
      <c r="R40" t="s">
        <v>54</v>
      </c>
      <c r="S40" t="s">
        <v>34</v>
      </c>
      <c r="T40" t="s">
        <v>46</v>
      </c>
      <c r="U40" t="s">
        <v>36</v>
      </c>
      <c r="V40" t="s">
        <v>37</v>
      </c>
      <c r="W40">
        <v>10</v>
      </c>
      <c r="X40" t="s">
        <v>38</v>
      </c>
      <c r="Y40">
        <v>3</v>
      </c>
      <c r="Z40" t="s">
        <v>58</v>
      </c>
    </row>
    <row r="41" spans="1:26" x14ac:dyDescent="0.3">
      <c r="A41" t="s">
        <v>165</v>
      </c>
      <c r="B41" s="2">
        <v>46120</v>
      </c>
      <c r="C41" t="s">
        <v>166</v>
      </c>
      <c r="D41" t="s">
        <v>66</v>
      </c>
      <c r="E41" t="s">
        <v>29</v>
      </c>
      <c r="F41">
        <v>50</v>
      </c>
      <c r="G41" t="s">
        <v>44</v>
      </c>
      <c r="H41" t="s">
        <v>31</v>
      </c>
      <c r="I41" t="s">
        <v>44</v>
      </c>
      <c r="J41" t="s">
        <v>69</v>
      </c>
      <c r="K41">
        <v>1</v>
      </c>
      <c r="L41">
        <v>18376</v>
      </c>
      <c r="M41">
        <v>15</v>
      </c>
      <c r="N41">
        <v>2756.4</v>
      </c>
      <c r="O41">
        <v>2811.53</v>
      </c>
      <c r="P41">
        <v>486</v>
      </c>
      <c r="Q41">
        <v>18917.13</v>
      </c>
      <c r="R41" t="s">
        <v>33</v>
      </c>
      <c r="S41" t="s">
        <v>34</v>
      </c>
      <c r="T41" t="s">
        <v>70</v>
      </c>
      <c r="U41" t="s">
        <v>56</v>
      </c>
      <c r="V41" t="s">
        <v>57</v>
      </c>
      <c r="W41">
        <v>4</v>
      </c>
      <c r="X41" t="s">
        <v>38</v>
      </c>
      <c r="Y41">
        <v>2</v>
      </c>
      <c r="Z41" t="s">
        <v>91</v>
      </c>
    </row>
    <row r="42" spans="1:26" x14ac:dyDescent="0.3">
      <c r="A42" t="s">
        <v>167</v>
      </c>
      <c r="B42" s="2">
        <v>45776</v>
      </c>
      <c r="C42" t="s">
        <v>168</v>
      </c>
      <c r="D42" t="s">
        <v>61</v>
      </c>
      <c r="E42" t="s">
        <v>29</v>
      </c>
      <c r="F42">
        <v>31</v>
      </c>
      <c r="G42" t="s">
        <v>74</v>
      </c>
      <c r="H42" t="s">
        <v>31</v>
      </c>
      <c r="I42" t="s">
        <v>74</v>
      </c>
      <c r="J42" t="s">
        <v>125</v>
      </c>
      <c r="K42">
        <v>4</v>
      </c>
      <c r="L42">
        <v>27754</v>
      </c>
      <c r="M42">
        <v>20</v>
      </c>
      <c r="N42">
        <v>22203.200000000001</v>
      </c>
      <c r="O42">
        <v>15986.3</v>
      </c>
      <c r="P42">
        <v>275</v>
      </c>
      <c r="Q42">
        <v>105074.1</v>
      </c>
      <c r="R42" t="s">
        <v>45</v>
      </c>
      <c r="S42" t="s">
        <v>34</v>
      </c>
      <c r="T42" t="s">
        <v>76</v>
      </c>
      <c r="U42" t="s">
        <v>77</v>
      </c>
      <c r="V42" t="s">
        <v>57</v>
      </c>
      <c r="W42">
        <v>9</v>
      </c>
      <c r="X42" t="s">
        <v>38</v>
      </c>
      <c r="Y42">
        <v>3</v>
      </c>
      <c r="Z42" t="s">
        <v>58</v>
      </c>
    </row>
    <row r="43" spans="1:26" x14ac:dyDescent="0.3">
      <c r="A43" t="s">
        <v>169</v>
      </c>
      <c r="B43" s="2">
        <v>46061</v>
      </c>
      <c r="C43" t="s">
        <v>170</v>
      </c>
      <c r="D43" t="s">
        <v>108</v>
      </c>
      <c r="E43" t="s">
        <v>29</v>
      </c>
      <c r="F43">
        <v>48</v>
      </c>
      <c r="G43" t="s">
        <v>51</v>
      </c>
      <c r="H43" t="s">
        <v>52</v>
      </c>
      <c r="I43" t="s">
        <v>51</v>
      </c>
      <c r="J43" t="s">
        <v>62</v>
      </c>
      <c r="K43">
        <v>1</v>
      </c>
      <c r="L43">
        <v>13832</v>
      </c>
      <c r="M43">
        <v>5</v>
      </c>
      <c r="N43">
        <v>691.6</v>
      </c>
      <c r="O43">
        <v>2365.27</v>
      </c>
      <c r="P43">
        <v>391</v>
      </c>
      <c r="Q43">
        <v>15896.67</v>
      </c>
      <c r="R43" t="s">
        <v>54</v>
      </c>
      <c r="S43" t="s">
        <v>34</v>
      </c>
      <c r="T43" t="s">
        <v>55</v>
      </c>
      <c r="U43" t="s">
        <v>56</v>
      </c>
      <c r="V43" t="s">
        <v>57</v>
      </c>
      <c r="W43">
        <v>7</v>
      </c>
      <c r="X43" t="s">
        <v>38</v>
      </c>
      <c r="Y43">
        <v>2</v>
      </c>
      <c r="Z43" t="s">
        <v>39</v>
      </c>
    </row>
    <row r="44" spans="1:26" x14ac:dyDescent="0.3">
      <c r="A44" t="s">
        <v>171</v>
      </c>
      <c r="B44" s="2">
        <v>45980</v>
      </c>
      <c r="C44" t="s">
        <v>172</v>
      </c>
      <c r="D44" t="s">
        <v>61</v>
      </c>
      <c r="E44" t="s">
        <v>43</v>
      </c>
      <c r="F44">
        <v>57</v>
      </c>
      <c r="G44" t="s">
        <v>139</v>
      </c>
      <c r="H44" t="s">
        <v>31</v>
      </c>
      <c r="I44" t="s">
        <v>139</v>
      </c>
      <c r="J44" t="s">
        <v>112</v>
      </c>
      <c r="K44">
        <v>2</v>
      </c>
      <c r="L44">
        <v>48320</v>
      </c>
      <c r="M44">
        <v>0</v>
      </c>
      <c r="N44">
        <v>0</v>
      </c>
      <c r="O44">
        <v>17395.2</v>
      </c>
      <c r="P44">
        <v>415</v>
      </c>
      <c r="Q44">
        <v>114450.2</v>
      </c>
      <c r="R44" t="s">
        <v>83</v>
      </c>
      <c r="S44" t="s">
        <v>34</v>
      </c>
      <c r="T44" t="s">
        <v>55</v>
      </c>
      <c r="U44" t="s">
        <v>56</v>
      </c>
      <c r="V44" t="s">
        <v>57</v>
      </c>
      <c r="W44">
        <v>1</v>
      </c>
      <c r="X44" t="s">
        <v>47</v>
      </c>
      <c r="Y44">
        <v>4</v>
      </c>
      <c r="Z44" t="s">
        <v>39</v>
      </c>
    </row>
    <row r="45" spans="1:26" x14ac:dyDescent="0.3">
      <c r="A45" t="s">
        <v>173</v>
      </c>
      <c r="B45" s="2">
        <v>46019</v>
      </c>
      <c r="C45" t="s">
        <v>174</v>
      </c>
      <c r="D45" t="s">
        <v>50</v>
      </c>
      <c r="E45" t="s">
        <v>43</v>
      </c>
      <c r="F45">
        <v>35</v>
      </c>
      <c r="G45" t="s">
        <v>90</v>
      </c>
      <c r="H45" t="s">
        <v>31</v>
      </c>
      <c r="I45" t="s">
        <v>90</v>
      </c>
      <c r="J45" t="s">
        <v>102</v>
      </c>
      <c r="K45">
        <v>1</v>
      </c>
      <c r="L45">
        <v>2598</v>
      </c>
      <c r="M45">
        <v>5</v>
      </c>
      <c r="N45">
        <v>129.9</v>
      </c>
      <c r="O45">
        <v>444.26</v>
      </c>
      <c r="P45">
        <v>414</v>
      </c>
      <c r="Q45">
        <v>3326.36</v>
      </c>
      <c r="R45" t="s">
        <v>45</v>
      </c>
      <c r="S45" t="s">
        <v>34</v>
      </c>
      <c r="T45" t="s">
        <v>95</v>
      </c>
      <c r="U45" t="s">
        <v>96</v>
      </c>
      <c r="V45" t="s">
        <v>57</v>
      </c>
      <c r="W45">
        <v>7</v>
      </c>
      <c r="X45" t="s">
        <v>47</v>
      </c>
      <c r="Y45">
        <v>2</v>
      </c>
      <c r="Z45" t="s">
        <v>91</v>
      </c>
    </row>
    <row r="46" spans="1:26" x14ac:dyDescent="0.3">
      <c r="A46" t="s">
        <v>175</v>
      </c>
      <c r="B46" s="2">
        <v>45808</v>
      </c>
      <c r="C46" t="s">
        <v>176</v>
      </c>
      <c r="D46" t="s">
        <v>28</v>
      </c>
      <c r="E46" t="s">
        <v>29</v>
      </c>
      <c r="F46">
        <v>27</v>
      </c>
      <c r="G46" t="s">
        <v>44</v>
      </c>
      <c r="H46" t="s">
        <v>31</v>
      </c>
      <c r="I46" t="s">
        <v>44</v>
      </c>
      <c r="J46" t="s">
        <v>53</v>
      </c>
      <c r="K46">
        <v>4</v>
      </c>
      <c r="L46">
        <v>46065</v>
      </c>
      <c r="M46">
        <v>10</v>
      </c>
      <c r="N46">
        <v>18426</v>
      </c>
      <c r="O46">
        <v>29850.12</v>
      </c>
      <c r="P46">
        <v>96</v>
      </c>
      <c r="Q46">
        <v>195780.12</v>
      </c>
      <c r="R46" t="s">
        <v>54</v>
      </c>
      <c r="S46" t="s">
        <v>63</v>
      </c>
      <c r="T46" t="s">
        <v>55</v>
      </c>
      <c r="U46" t="s">
        <v>56</v>
      </c>
      <c r="V46" t="s">
        <v>57</v>
      </c>
      <c r="W46">
        <v>5</v>
      </c>
      <c r="X46" t="s">
        <v>47</v>
      </c>
      <c r="Y46">
        <v>1</v>
      </c>
      <c r="Z46" t="s">
        <v>91</v>
      </c>
    </row>
    <row r="47" spans="1:26" x14ac:dyDescent="0.3">
      <c r="A47" t="s">
        <v>177</v>
      </c>
      <c r="B47" s="2">
        <v>45826</v>
      </c>
      <c r="C47" t="s">
        <v>178</v>
      </c>
      <c r="D47" t="s">
        <v>66</v>
      </c>
      <c r="E47" t="s">
        <v>43</v>
      </c>
      <c r="F47">
        <v>57</v>
      </c>
      <c r="G47" t="s">
        <v>99</v>
      </c>
      <c r="H47" t="s">
        <v>52</v>
      </c>
      <c r="I47" t="s">
        <v>99</v>
      </c>
      <c r="J47" t="s">
        <v>32</v>
      </c>
      <c r="K47">
        <v>2</v>
      </c>
      <c r="L47">
        <v>33957</v>
      </c>
      <c r="M47">
        <v>15</v>
      </c>
      <c r="N47">
        <v>10187.1</v>
      </c>
      <c r="O47">
        <v>10390.84</v>
      </c>
      <c r="P47">
        <v>493</v>
      </c>
      <c r="Q47">
        <v>68610.740000000005</v>
      </c>
      <c r="R47" t="s">
        <v>83</v>
      </c>
      <c r="S47" t="s">
        <v>63</v>
      </c>
      <c r="T47" t="s">
        <v>35</v>
      </c>
      <c r="U47" t="s">
        <v>36</v>
      </c>
      <c r="V47" t="s">
        <v>37</v>
      </c>
      <c r="W47">
        <v>9</v>
      </c>
      <c r="X47" t="s">
        <v>38</v>
      </c>
      <c r="Y47">
        <v>1</v>
      </c>
      <c r="Z47" t="s">
        <v>39</v>
      </c>
    </row>
    <row r="48" spans="1:26" x14ac:dyDescent="0.3">
      <c r="A48" t="s">
        <v>179</v>
      </c>
      <c r="B48" s="2">
        <v>45904</v>
      </c>
      <c r="C48" t="s">
        <v>180</v>
      </c>
      <c r="D48" t="s">
        <v>108</v>
      </c>
      <c r="E48" t="s">
        <v>43</v>
      </c>
      <c r="F48">
        <v>31</v>
      </c>
      <c r="G48" t="s">
        <v>94</v>
      </c>
      <c r="H48" t="s">
        <v>31</v>
      </c>
      <c r="I48" t="s">
        <v>94</v>
      </c>
      <c r="J48" t="s">
        <v>53</v>
      </c>
      <c r="K48">
        <v>4</v>
      </c>
      <c r="L48">
        <v>34160</v>
      </c>
      <c r="M48">
        <v>10</v>
      </c>
      <c r="N48">
        <v>13664</v>
      </c>
      <c r="O48">
        <v>22135.68</v>
      </c>
      <c r="P48">
        <v>174</v>
      </c>
      <c r="Q48">
        <v>145285.68</v>
      </c>
      <c r="R48" t="s">
        <v>54</v>
      </c>
      <c r="S48" t="s">
        <v>63</v>
      </c>
      <c r="T48" t="s">
        <v>46</v>
      </c>
      <c r="U48" t="s">
        <v>36</v>
      </c>
      <c r="V48" t="s">
        <v>37</v>
      </c>
      <c r="W48">
        <v>6</v>
      </c>
      <c r="X48" t="s">
        <v>38</v>
      </c>
      <c r="Y48">
        <v>3</v>
      </c>
      <c r="Z48" t="s">
        <v>47</v>
      </c>
    </row>
    <row r="49" spans="1:26" x14ac:dyDescent="0.3">
      <c r="A49" t="s">
        <v>181</v>
      </c>
      <c r="B49" s="2">
        <v>45897</v>
      </c>
      <c r="C49" t="s">
        <v>182</v>
      </c>
      <c r="D49" t="s">
        <v>61</v>
      </c>
      <c r="E49" t="s">
        <v>43</v>
      </c>
      <c r="F49">
        <v>37</v>
      </c>
      <c r="G49" t="s">
        <v>94</v>
      </c>
      <c r="H49" t="s">
        <v>31</v>
      </c>
      <c r="I49" t="s">
        <v>94</v>
      </c>
      <c r="J49" t="s">
        <v>69</v>
      </c>
      <c r="K49">
        <v>2</v>
      </c>
      <c r="L49">
        <v>18482</v>
      </c>
      <c r="M49">
        <v>15</v>
      </c>
      <c r="N49">
        <v>5544.6</v>
      </c>
      <c r="O49">
        <v>5655.49</v>
      </c>
      <c r="P49">
        <v>78</v>
      </c>
      <c r="Q49">
        <v>37152.89</v>
      </c>
      <c r="R49" t="s">
        <v>33</v>
      </c>
      <c r="S49" t="s">
        <v>34</v>
      </c>
      <c r="T49" t="s">
        <v>95</v>
      </c>
      <c r="U49" t="s">
        <v>96</v>
      </c>
      <c r="V49" t="s">
        <v>57</v>
      </c>
      <c r="W49">
        <v>5</v>
      </c>
      <c r="X49" t="s">
        <v>38</v>
      </c>
      <c r="Y49">
        <v>3</v>
      </c>
      <c r="Z49" t="s">
        <v>91</v>
      </c>
    </row>
    <row r="50" spans="1:26" x14ac:dyDescent="0.3">
      <c r="A50" t="s">
        <v>183</v>
      </c>
      <c r="B50" s="2">
        <v>45920</v>
      </c>
      <c r="C50" t="s">
        <v>184</v>
      </c>
      <c r="D50" t="s">
        <v>42</v>
      </c>
      <c r="E50" t="s">
        <v>43</v>
      </c>
      <c r="F50">
        <v>55</v>
      </c>
      <c r="G50" t="s">
        <v>44</v>
      </c>
      <c r="H50" t="s">
        <v>31</v>
      </c>
      <c r="I50" t="s">
        <v>44</v>
      </c>
      <c r="J50" t="s">
        <v>102</v>
      </c>
      <c r="K50">
        <v>2</v>
      </c>
      <c r="L50">
        <v>40666</v>
      </c>
      <c r="M50">
        <v>10</v>
      </c>
      <c r="N50">
        <v>8133.2</v>
      </c>
      <c r="O50">
        <v>13175.78</v>
      </c>
      <c r="P50">
        <v>334</v>
      </c>
      <c r="Q50">
        <v>86708.58</v>
      </c>
      <c r="R50" t="s">
        <v>45</v>
      </c>
      <c r="S50" t="s">
        <v>63</v>
      </c>
      <c r="T50" t="s">
        <v>70</v>
      </c>
      <c r="U50" t="s">
        <v>56</v>
      </c>
      <c r="V50" t="s">
        <v>57</v>
      </c>
      <c r="W50">
        <v>8</v>
      </c>
      <c r="X50" t="s">
        <v>47</v>
      </c>
      <c r="Y50">
        <v>5</v>
      </c>
      <c r="Z50" t="s">
        <v>47</v>
      </c>
    </row>
    <row r="51" spans="1:26" x14ac:dyDescent="0.3">
      <c r="A51" t="s">
        <v>185</v>
      </c>
      <c r="B51" s="2">
        <v>45830</v>
      </c>
      <c r="C51" t="s">
        <v>152</v>
      </c>
      <c r="D51" t="s">
        <v>80</v>
      </c>
      <c r="E51" t="s">
        <v>43</v>
      </c>
      <c r="F51">
        <v>42</v>
      </c>
      <c r="G51" t="s">
        <v>74</v>
      </c>
      <c r="H51" t="s">
        <v>31</v>
      </c>
      <c r="I51" t="s">
        <v>74</v>
      </c>
      <c r="J51" t="s">
        <v>125</v>
      </c>
      <c r="K51">
        <v>4</v>
      </c>
      <c r="L51">
        <v>2535</v>
      </c>
      <c r="M51">
        <v>5</v>
      </c>
      <c r="N51">
        <v>507</v>
      </c>
      <c r="O51">
        <v>1733.94</v>
      </c>
      <c r="P51">
        <v>49</v>
      </c>
      <c r="Q51">
        <v>11415.94</v>
      </c>
      <c r="R51" t="s">
        <v>54</v>
      </c>
      <c r="S51" t="s">
        <v>34</v>
      </c>
      <c r="T51" t="s">
        <v>76</v>
      </c>
      <c r="U51" t="s">
        <v>77</v>
      </c>
      <c r="V51" t="s">
        <v>57</v>
      </c>
      <c r="W51">
        <v>3</v>
      </c>
      <c r="X51" t="s">
        <v>47</v>
      </c>
      <c r="Y51">
        <v>1</v>
      </c>
      <c r="Z51" t="s">
        <v>39</v>
      </c>
    </row>
    <row r="52" spans="1:26" x14ac:dyDescent="0.3">
      <c r="A52" t="s">
        <v>186</v>
      </c>
      <c r="B52" s="2">
        <v>45900</v>
      </c>
      <c r="C52" t="s">
        <v>187</v>
      </c>
      <c r="D52" t="s">
        <v>66</v>
      </c>
      <c r="E52" t="s">
        <v>29</v>
      </c>
      <c r="F52">
        <v>35</v>
      </c>
      <c r="G52" t="s">
        <v>90</v>
      </c>
      <c r="H52" t="s">
        <v>31</v>
      </c>
      <c r="I52" t="s">
        <v>90</v>
      </c>
      <c r="J52" t="s">
        <v>150</v>
      </c>
      <c r="K52">
        <v>3</v>
      </c>
      <c r="L52">
        <v>41574</v>
      </c>
      <c r="M52">
        <v>20</v>
      </c>
      <c r="N52">
        <v>24944.400000000001</v>
      </c>
      <c r="O52">
        <v>17959.97</v>
      </c>
      <c r="P52">
        <v>206</v>
      </c>
      <c r="Q52">
        <v>117943.57</v>
      </c>
      <c r="R52" t="s">
        <v>45</v>
      </c>
      <c r="S52" t="s">
        <v>34</v>
      </c>
      <c r="T52" t="s">
        <v>35</v>
      </c>
      <c r="U52" t="s">
        <v>36</v>
      </c>
      <c r="V52" t="s">
        <v>37</v>
      </c>
      <c r="W52">
        <v>10</v>
      </c>
      <c r="X52" t="s">
        <v>38</v>
      </c>
      <c r="Y52">
        <v>3</v>
      </c>
      <c r="Z52" t="s">
        <v>47</v>
      </c>
    </row>
    <row r="53" spans="1:26" x14ac:dyDescent="0.3">
      <c r="A53" t="s">
        <v>188</v>
      </c>
      <c r="B53" s="2">
        <v>45863</v>
      </c>
      <c r="C53" t="s">
        <v>189</v>
      </c>
      <c r="D53" t="s">
        <v>42</v>
      </c>
      <c r="E53" t="s">
        <v>43</v>
      </c>
      <c r="F53">
        <v>28</v>
      </c>
      <c r="G53" t="s">
        <v>74</v>
      </c>
      <c r="H53" t="s">
        <v>31</v>
      </c>
      <c r="I53" t="s">
        <v>74</v>
      </c>
      <c r="J53" t="s">
        <v>102</v>
      </c>
      <c r="K53">
        <v>3</v>
      </c>
      <c r="L53">
        <v>33177</v>
      </c>
      <c r="M53">
        <v>5</v>
      </c>
      <c r="N53">
        <v>4976.55</v>
      </c>
      <c r="O53">
        <v>17019.8</v>
      </c>
      <c r="P53">
        <v>56</v>
      </c>
      <c r="Q53">
        <v>111630.25</v>
      </c>
      <c r="R53" t="s">
        <v>83</v>
      </c>
      <c r="S53" t="s">
        <v>63</v>
      </c>
      <c r="T53" t="s">
        <v>35</v>
      </c>
      <c r="U53" t="s">
        <v>36</v>
      </c>
      <c r="V53" t="s">
        <v>37</v>
      </c>
      <c r="W53">
        <v>3</v>
      </c>
      <c r="X53" t="s">
        <v>47</v>
      </c>
      <c r="Y53">
        <v>3</v>
      </c>
      <c r="Z53" t="s">
        <v>58</v>
      </c>
    </row>
    <row r="54" spans="1:26" x14ac:dyDescent="0.3">
      <c r="A54" t="s">
        <v>190</v>
      </c>
      <c r="B54" s="2">
        <v>46019</v>
      </c>
      <c r="C54" t="s">
        <v>191</v>
      </c>
      <c r="D54" t="s">
        <v>42</v>
      </c>
      <c r="E54" t="s">
        <v>43</v>
      </c>
      <c r="F54">
        <v>47</v>
      </c>
      <c r="G54" t="s">
        <v>74</v>
      </c>
      <c r="H54" t="s">
        <v>31</v>
      </c>
      <c r="I54" t="s">
        <v>74</v>
      </c>
      <c r="J54" t="s">
        <v>150</v>
      </c>
      <c r="K54">
        <v>5</v>
      </c>
      <c r="L54">
        <v>1762</v>
      </c>
      <c r="M54">
        <v>20</v>
      </c>
      <c r="N54">
        <v>1762</v>
      </c>
      <c r="O54">
        <v>1268.6400000000001</v>
      </c>
      <c r="P54">
        <v>27</v>
      </c>
      <c r="Q54">
        <v>8343.64</v>
      </c>
      <c r="R54" t="s">
        <v>33</v>
      </c>
      <c r="S54" t="s">
        <v>63</v>
      </c>
      <c r="T54" t="s">
        <v>55</v>
      </c>
      <c r="U54" t="s">
        <v>56</v>
      </c>
      <c r="V54" t="s">
        <v>57</v>
      </c>
      <c r="W54">
        <v>4</v>
      </c>
      <c r="X54" t="s">
        <v>38</v>
      </c>
      <c r="Y54">
        <v>3</v>
      </c>
      <c r="Z54" t="s">
        <v>47</v>
      </c>
    </row>
    <row r="55" spans="1:26" x14ac:dyDescent="0.3">
      <c r="A55" t="s">
        <v>192</v>
      </c>
      <c r="B55" s="2">
        <v>45922</v>
      </c>
      <c r="C55" t="s">
        <v>193</v>
      </c>
      <c r="D55" t="s">
        <v>73</v>
      </c>
      <c r="E55" t="s">
        <v>43</v>
      </c>
      <c r="F55">
        <v>47</v>
      </c>
      <c r="G55" t="s">
        <v>94</v>
      </c>
      <c r="H55" t="s">
        <v>31</v>
      </c>
      <c r="I55" t="s">
        <v>94</v>
      </c>
      <c r="J55" t="s">
        <v>62</v>
      </c>
      <c r="K55">
        <v>2</v>
      </c>
      <c r="L55">
        <v>16428</v>
      </c>
      <c r="M55">
        <v>20</v>
      </c>
      <c r="N55">
        <v>6571.2</v>
      </c>
      <c r="O55">
        <v>4731.26</v>
      </c>
      <c r="P55">
        <v>94</v>
      </c>
      <c r="Q55">
        <v>31110.06</v>
      </c>
      <c r="R55" t="s">
        <v>45</v>
      </c>
      <c r="S55" t="s">
        <v>63</v>
      </c>
      <c r="T55" t="s">
        <v>103</v>
      </c>
      <c r="U55" t="s">
        <v>103</v>
      </c>
      <c r="V55" t="s">
        <v>57</v>
      </c>
      <c r="W55">
        <v>1</v>
      </c>
      <c r="X55" t="s">
        <v>38</v>
      </c>
      <c r="Y55">
        <v>4</v>
      </c>
      <c r="Z55" t="s">
        <v>39</v>
      </c>
    </row>
    <row r="56" spans="1:26" x14ac:dyDescent="0.3">
      <c r="A56" t="s">
        <v>194</v>
      </c>
      <c r="B56" s="2">
        <v>46087</v>
      </c>
      <c r="C56" t="s">
        <v>195</v>
      </c>
      <c r="D56" t="s">
        <v>50</v>
      </c>
      <c r="E56" t="s">
        <v>29</v>
      </c>
      <c r="F56">
        <v>27</v>
      </c>
      <c r="G56" t="s">
        <v>94</v>
      </c>
      <c r="H56" t="s">
        <v>31</v>
      </c>
      <c r="I56" t="s">
        <v>94</v>
      </c>
      <c r="J56" t="s">
        <v>112</v>
      </c>
      <c r="K56">
        <v>3</v>
      </c>
      <c r="L56">
        <v>17615</v>
      </c>
      <c r="M56">
        <v>0</v>
      </c>
      <c r="N56">
        <v>0</v>
      </c>
      <c r="O56">
        <v>9512.1</v>
      </c>
      <c r="P56">
        <v>128</v>
      </c>
      <c r="Q56">
        <v>62485.1</v>
      </c>
      <c r="R56" t="s">
        <v>33</v>
      </c>
      <c r="S56" t="s">
        <v>34</v>
      </c>
      <c r="T56" t="s">
        <v>70</v>
      </c>
      <c r="U56" t="s">
        <v>56</v>
      </c>
      <c r="V56" t="s">
        <v>57</v>
      </c>
      <c r="W56">
        <v>5</v>
      </c>
      <c r="X56" t="s">
        <v>38</v>
      </c>
      <c r="Y56">
        <v>4</v>
      </c>
      <c r="Z56" t="s">
        <v>58</v>
      </c>
    </row>
    <row r="57" spans="1:26" x14ac:dyDescent="0.3">
      <c r="A57" t="s">
        <v>196</v>
      </c>
      <c r="B57" s="2">
        <v>45819</v>
      </c>
      <c r="C57" t="s">
        <v>147</v>
      </c>
      <c r="D57" t="s">
        <v>80</v>
      </c>
      <c r="E57" t="s">
        <v>29</v>
      </c>
      <c r="F57">
        <v>50</v>
      </c>
      <c r="G57" t="s">
        <v>99</v>
      </c>
      <c r="H57" t="s">
        <v>52</v>
      </c>
      <c r="I57" t="s">
        <v>99</v>
      </c>
      <c r="J57" t="s">
        <v>32</v>
      </c>
      <c r="K57">
        <v>2</v>
      </c>
      <c r="L57">
        <v>18078</v>
      </c>
      <c r="M57">
        <v>10</v>
      </c>
      <c r="N57">
        <v>3615.6</v>
      </c>
      <c r="O57">
        <v>5857.27</v>
      </c>
      <c r="P57">
        <v>92</v>
      </c>
      <c r="Q57">
        <v>38489.67</v>
      </c>
      <c r="R57" t="s">
        <v>33</v>
      </c>
      <c r="S57" t="s">
        <v>63</v>
      </c>
      <c r="T57" t="s">
        <v>76</v>
      </c>
      <c r="U57" t="s">
        <v>77</v>
      </c>
      <c r="V57" t="s">
        <v>57</v>
      </c>
      <c r="W57">
        <v>9</v>
      </c>
      <c r="X57" t="s">
        <v>38</v>
      </c>
      <c r="Y57">
        <v>2</v>
      </c>
      <c r="Z57" t="s">
        <v>47</v>
      </c>
    </row>
    <row r="58" spans="1:26" x14ac:dyDescent="0.3">
      <c r="A58" t="s">
        <v>197</v>
      </c>
      <c r="B58" s="2">
        <v>45860</v>
      </c>
      <c r="C58" t="s">
        <v>198</v>
      </c>
      <c r="D58" t="s">
        <v>61</v>
      </c>
      <c r="E58" t="s">
        <v>43</v>
      </c>
      <c r="F58">
        <v>33</v>
      </c>
      <c r="G58" t="s">
        <v>90</v>
      </c>
      <c r="H58" t="s">
        <v>31</v>
      </c>
      <c r="I58" t="s">
        <v>90</v>
      </c>
      <c r="J58" t="s">
        <v>102</v>
      </c>
      <c r="K58">
        <v>1</v>
      </c>
      <c r="L58">
        <v>4209</v>
      </c>
      <c r="M58">
        <v>20</v>
      </c>
      <c r="N58">
        <v>841.8</v>
      </c>
      <c r="O58">
        <v>606.1</v>
      </c>
      <c r="P58">
        <v>108</v>
      </c>
      <c r="Q58">
        <v>4081.3</v>
      </c>
      <c r="R58" t="s">
        <v>33</v>
      </c>
      <c r="S58" t="s">
        <v>34</v>
      </c>
      <c r="T58" t="s">
        <v>76</v>
      </c>
      <c r="U58" t="s">
        <v>77</v>
      </c>
      <c r="V58" t="s">
        <v>57</v>
      </c>
      <c r="W58">
        <v>8</v>
      </c>
      <c r="X58" t="s">
        <v>38</v>
      </c>
      <c r="Y58">
        <v>5</v>
      </c>
      <c r="Z58" t="s">
        <v>91</v>
      </c>
    </row>
    <row r="59" spans="1:26" x14ac:dyDescent="0.3">
      <c r="A59" t="s">
        <v>199</v>
      </c>
      <c r="B59" s="2">
        <v>45817</v>
      </c>
      <c r="C59" t="s">
        <v>200</v>
      </c>
      <c r="D59" t="s">
        <v>66</v>
      </c>
      <c r="E59" t="s">
        <v>29</v>
      </c>
      <c r="F59">
        <v>20</v>
      </c>
      <c r="G59" t="s">
        <v>90</v>
      </c>
      <c r="H59" t="s">
        <v>31</v>
      </c>
      <c r="I59" t="s">
        <v>90</v>
      </c>
      <c r="J59" t="s">
        <v>201</v>
      </c>
      <c r="K59">
        <v>5</v>
      </c>
      <c r="L59">
        <v>32244</v>
      </c>
      <c r="M59">
        <v>5</v>
      </c>
      <c r="N59">
        <v>8061</v>
      </c>
      <c r="O59">
        <v>27568.62</v>
      </c>
      <c r="P59">
        <v>248</v>
      </c>
      <c r="Q59">
        <v>180975.62</v>
      </c>
      <c r="R59" t="s">
        <v>33</v>
      </c>
      <c r="S59" t="s">
        <v>34</v>
      </c>
      <c r="T59" t="s">
        <v>46</v>
      </c>
      <c r="U59" t="s">
        <v>36</v>
      </c>
      <c r="V59" t="s">
        <v>37</v>
      </c>
      <c r="W59">
        <v>6</v>
      </c>
      <c r="X59" t="s">
        <v>38</v>
      </c>
      <c r="Y59">
        <v>2</v>
      </c>
      <c r="Z59" t="s">
        <v>58</v>
      </c>
    </row>
    <row r="60" spans="1:26" x14ac:dyDescent="0.3">
      <c r="A60" t="s">
        <v>202</v>
      </c>
      <c r="B60" s="2">
        <v>46037</v>
      </c>
      <c r="C60" t="s">
        <v>203</v>
      </c>
      <c r="D60" t="s">
        <v>42</v>
      </c>
      <c r="E60" t="s">
        <v>43</v>
      </c>
      <c r="F60">
        <v>40</v>
      </c>
      <c r="G60" t="s">
        <v>67</v>
      </c>
      <c r="H60" t="s">
        <v>68</v>
      </c>
      <c r="I60" t="s">
        <v>67</v>
      </c>
      <c r="J60" t="s">
        <v>150</v>
      </c>
      <c r="K60">
        <v>2</v>
      </c>
      <c r="L60">
        <v>17758</v>
      </c>
      <c r="M60">
        <v>10</v>
      </c>
      <c r="N60">
        <v>3551.6</v>
      </c>
      <c r="O60">
        <v>5753.59</v>
      </c>
      <c r="P60">
        <v>218</v>
      </c>
      <c r="Q60">
        <v>37935.99</v>
      </c>
      <c r="R60" t="s">
        <v>45</v>
      </c>
      <c r="S60" t="s">
        <v>63</v>
      </c>
      <c r="T60" t="s">
        <v>46</v>
      </c>
      <c r="U60" t="s">
        <v>36</v>
      </c>
      <c r="V60" t="s">
        <v>37</v>
      </c>
      <c r="W60">
        <v>9</v>
      </c>
      <c r="X60" t="s">
        <v>47</v>
      </c>
      <c r="Y60">
        <v>4</v>
      </c>
      <c r="Z60" t="s">
        <v>58</v>
      </c>
    </row>
    <row r="61" spans="1:26" x14ac:dyDescent="0.3">
      <c r="A61" t="s">
        <v>204</v>
      </c>
      <c r="B61" s="2">
        <v>46032</v>
      </c>
      <c r="C61" t="s">
        <v>205</v>
      </c>
      <c r="D61" t="s">
        <v>108</v>
      </c>
      <c r="E61" t="s">
        <v>43</v>
      </c>
      <c r="F61">
        <v>26</v>
      </c>
      <c r="G61" t="s">
        <v>139</v>
      </c>
      <c r="H61" t="s">
        <v>31</v>
      </c>
      <c r="I61" t="s">
        <v>139</v>
      </c>
      <c r="J61" t="s">
        <v>102</v>
      </c>
      <c r="K61">
        <v>3</v>
      </c>
      <c r="L61">
        <v>49447</v>
      </c>
      <c r="M61">
        <v>0</v>
      </c>
      <c r="N61">
        <v>0</v>
      </c>
      <c r="O61">
        <v>26701.38</v>
      </c>
      <c r="P61">
        <v>5</v>
      </c>
      <c r="Q61">
        <v>175047.38</v>
      </c>
      <c r="R61" t="s">
        <v>33</v>
      </c>
      <c r="S61" t="s">
        <v>34</v>
      </c>
      <c r="T61" t="s">
        <v>76</v>
      </c>
      <c r="U61" t="s">
        <v>77</v>
      </c>
      <c r="V61" t="s">
        <v>57</v>
      </c>
      <c r="W61">
        <v>3</v>
      </c>
      <c r="X61" t="s">
        <v>38</v>
      </c>
      <c r="Y61">
        <v>1</v>
      </c>
      <c r="Z61" t="s">
        <v>58</v>
      </c>
    </row>
    <row r="62" spans="1:26" x14ac:dyDescent="0.3">
      <c r="A62" t="s">
        <v>206</v>
      </c>
      <c r="B62" s="2">
        <v>45997</v>
      </c>
      <c r="C62" t="s">
        <v>207</v>
      </c>
      <c r="D62" t="s">
        <v>108</v>
      </c>
      <c r="E62" t="s">
        <v>29</v>
      </c>
      <c r="F62">
        <v>55</v>
      </c>
      <c r="G62" t="s">
        <v>94</v>
      </c>
      <c r="H62" t="s">
        <v>31</v>
      </c>
      <c r="I62" t="s">
        <v>94</v>
      </c>
      <c r="J62" t="s">
        <v>53</v>
      </c>
      <c r="K62">
        <v>4</v>
      </c>
      <c r="L62">
        <v>44629</v>
      </c>
      <c r="M62">
        <v>0</v>
      </c>
      <c r="N62">
        <v>0</v>
      </c>
      <c r="O62">
        <v>32132.880000000001</v>
      </c>
      <c r="P62">
        <v>182</v>
      </c>
      <c r="Q62">
        <v>210830.88</v>
      </c>
      <c r="R62" t="s">
        <v>83</v>
      </c>
      <c r="S62" t="s">
        <v>34</v>
      </c>
      <c r="T62" t="s">
        <v>95</v>
      </c>
      <c r="U62" t="s">
        <v>96</v>
      </c>
      <c r="V62" t="s">
        <v>57</v>
      </c>
      <c r="W62">
        <v>6</v>
      </c>
      <c r="X62" t="s">
        <v>47</v>
      </c>
      <c r="Y62">
        <v>2</v>
      </c>
      <c r="Z62" t="s">
        <v>47</v>
      </c>
    </row>
    <row r="63" spans="1:26" x14ac:dyDescent="0.3">
      <c r="A63" t="s">
        <v>208</v>
      </c>
      <c r="B63" s="2">
        <v>45927</v>
      </c>
      <c r="C63" t="s">
        <v>209</v>
      </c>
      <c r="D63" t="s">
        <v>61</v>
      </c>
      <c r="E63" t="s">
        <v>29</v>
      </c>
      <c r="F63">
        <v>43</v>
      </c>
      <c r="G63" t="s">
        <v>134</v>
      </c>
      <c r="H63" t="s">
        <v>31</v>
      </c>
      <c r="I63" t="s">
        <v>134</v>
      </c>
      <c r="J63" t="s">
        <v>69</v>
      </c>
      <c r="K63">
        <v>2</v>
      </c>
      <c r="L63">
        <v>35049</v>
      </c>
      <c r="M63">
        <v>10</v>
      </c>
      <c r="N63">
        <v>7009.8</v>
      </c>
      <c r="O63">
        <v>11355.88</v>
      </c>
      <c r="P63">
        <v>249</v>
      </c>
      <c r="Q63">
        <v>74693.08</v>
      </c>
      <c r="R63" t="s">
        <v>33</v>
      </c>
      <c r="S63" t="s">
        <v>34</v>
      </c>
      <c r="T63" t="s">
        <v>35</v>
      </c>
      <c r="U63" t="s">
        <v>36</v>
      </c>
      <c r="V63" t="s">
        <v>37</v>
      </c>
      <c r="W63">
        <v>1</v>
      </c>
      <c r="X63" t="s">
        <v>47</v>
      </c>
      <c r="Y63">
        <v>1</v>
      </c>
      <c r="Z63" t="s">
        <v>58</v>
      </c>
    </row>
    <row r="64" spans="1:26" x14ac:dyDescent="0.3">
      <c r="A64" t="s">
        <v>210</v>
      </c>
      <c r="B64" s="2">
        <v>45881</v>
      </c>
      <c r="C64" t="s">
        <v>211</v>
      </c>
      <c r="D64" t="s">
        <v>50</v>
      </c>
      <c r="E64" t="s">
        <v>43</v>
      </c>
      <c r="F64">
        <v>49</v>
      </c>
      <c r="G64" t="s">
        <v>44</v>
      </c>
      <c r="H64" t="s">
        <v>31</v>
      </c>
      <c r="I64" t="s">
        <v>44</v>
      </c>
      <c r="J64" t="s">
        <v>32</v>
      </c>
      <c r="K64">
        <v>4</v>
      </c>
      <c r="L64">
        <v>15260</v>
      </c>
      <c r="M64">
        <v>5</v>
      </c>
      <c r="N64">
        <v>3052</v>
      </c>
      <c r="O64">
        <v>10437.84</v>
      </c>
      <c r="P64">
        <v>466</v>
      </c>
      <c r="Q64">
        <v>68891.839999999997</v>
      </c>
      <c r="R64" t="s">
        <v>54</v>
      </c>
      <c r="S64" t="s">
        <v>34</v>
      </c>
      <c r="T64" t="s">
        <v>35</v>
      </c>
      <c r="U64" t="s">
        <v>36</v>
      </c>
      <c r="V64" t="s">
        <v>37</v>
      </c>
      <c r="W64">
        <v>2</v>
      </c>
      <c r="X64" t="s">
        <v>47</v>
      </c>
      <c r="Y64">
        <v>2</v>
      </c>
      <c r="Z64" t="s">
        <v>39</v>
      </c>
    </row>
    <row r="65" spans="1:26" x14ac:dyDescent="0.3">
      <c r="A65" t="s">
        <v>212</v>
      </c>
      <c r="B65" s="2">
        <v>46094</v>
      </c>
      <c r="C65" t="s">
        <v>213</v>
      </c>
      <c r="D65" t="s">
        <v>80</v>
      </c>
      <c r="E65" t="s">
        <v>29</v>
      </c>
      <c r="F65">
        <v>24</v>
      </c>
      <c r="G65" t="s">
        <v>139</v>
      </c>
      <c r="H65" t="s">
        <v>31</v>
      </c>
      <c r="I65" t="s">
        <v>139</v>
      </c>
      <c r="J65" t="s">
        <v>125</v>
      </c>
      <c r="K65">
        <v>4</v>
      </c>
      <c r="L65">
        <v>45316</v>
      </c>
      <c r="M65">
        <v>15</v>
      </c>
      <c r="N65">
        <v>27189.599999999999</v>
      </c>
      <c r="O65">
        <v>27733.39</v>
      </c>
      <c r="P65">
        <v>203</v>
      </c>
      <c r="Q65">
        <v>182010.79</v>
      </c>
      <c r="R65" t="s">
        <v>33</v>
      </c>
      <c r="S65" t="s">
        <v>34</v>
      </c>
      <c r="T65" t="s">
        <v>95</v>
      </c>
      <c r="U65" t="s">
        <v>96</v>
      </c>
      <c r="V65" t="s">
        <v>57</v>
      </c>
      <c r="W65">
        <v>5</v>
      </c>
      <c r="X65" t="s">
        <v>38</v>
      </c>
      <c r="Y65">
        <v>4</v>
      </c>
      <c r="Z65" t="s">
        <v>39</v>
      </c>
    </row>
    <row r="66" spans="1:26" x14ac:dyDescent="0.3">
      <c r="A66" t="s">
        <v>214</v>
      </c>
      <c r="B66" s="2">
        <v>45801</v>
      </c>
      <c r="C66" t="s">
        <v>215</v>
      </c>
      <c r="D66" t="s">
        <v>73</v>
      </c>
      <c r="E66" t="s">
        <v>43</v>
      </c>
      <c r="F66">
        <v>34</v>
      </c>
      <c r="G66" t="s">
        <v>74</v>
      </c>
      <c r="H66" t="s">
        <v>31</v>
      </c>
      <c r="I66" t="s">
        <v>74</v>
      </c>
      <c r="J66" t="s">
        <v>75</v>
      </c>
      <c r="K66">
        <v>3</v>
      </c>
      <c r="L66">
        <v>1028</v>
      </c>
      <c r="M66">
        <v>5</v>
      </c>
      <c r="N66">
        <v>154.19999999999999</v>
      </c>
      <c r="O66">
        <v>527.36</v>
      </c>
      <c r="P66">
        <v>194</v>
      </c>
      <c r="Q66">
        <v>3651.16</v>
      </c>
      <c r="R66" t="s">
        <v>83</v>
      </c>
      <c r="S66" t="s">
        <v>63</v>
      </c>
      <c r="T66" t="s">
        <v>46</v>
      </c>
      <c r="U66" t="s">
        <v>36</v>
      </c>
      <c r="V66" t="s">
        <v>37</v>
      </c>
      <c r="W66">
        <v>2</v>
      </c>
      <c r="X66" t="s">
        <v>47</v>
      </c>
      <c r="Y66">
        <v>2</v>
      </c>
      <c r="Z66" t="s">
        <v>58</v>
      </c>
    </row>
    <row r="67" spans="1:26" x14ac:dyDescent="0.3">
      <c r="A67" t="s">
        <v>216</v>
      </c>
      <c r="B67" s="2">
        <v>45886</v>
      </c>
      <c r="C67" t="s">
        <v>217</v>
      </c>
      <c r="D67" t="s">
        <v>42</v>
      </c>
      <c r="E67" t="s">
        <v>43</v>
      </c>
      <c r="F67">
        <v>56</v>
      </c>
      <c r="G67" t="s">
        <v>44</v>
      </c>
      <c r="H67" t="s">
        <v>31</v>
      </c>
      <c r="I67" t="s">
        <v>44</v>
      </c>
      <c r="J67" t="s">
        <v>75</v>
      </c>
      <c r="K67">
        <v>1</v>
      </c>
      <c r="L67">
        <v>32156</v>
      </c>
      <c r="M67">
        <v>10</v>
      </c>
      <c r="N67">
        <v>3215.6</v>
      </c>
      <c r="O67">
        <v>5209.2700000000004</v>
      </c>
      <c r="P67">
        <v>312</v>
      </c>
      <c r="Q67">
        <v>34461.67</v>
      </c>
      <c r="R67" t="s">
        <v>45</v>
      </c>
      <c r="S67" t="s">
        <v>34</v>
      </c>
      <c r="T67" t="s">
        <v>95</v>
      </c>
      <c r="U67" t="s">
        <v>96</v>
      </c>
      <c r="V67" t="s">
        <v>57</v>
      </c>
      <c r="W67">
        <v>9</v>
      </c>
      <c r="X67" t="s">
        <v>38</v>
      </c>
      <c r="Y67">
        <v>4</v>
      </c>
      <c r="Z67" t="s">
        <v>47</v>
      </c>
    </row>
    <row r="68" spans="1:26" x14ac:dyDescent="0.3">
      <c r="A68" t="s">
        <v>218</v>
      </c>
      <c r="B68" s="2">
        <v>46019</v>
      </c>
      <c r="C68" t="s">
        <v>219</v>
      </c>
      <c r="D68" t="s">
        <v>80</v>
      </c>
      <c r="E68" t="s">
        <v>43</v>
      </c>
      <c r="F68">
        <v>23</v>
      </c>
      <c r="G68" t="s">
        <v>139</v>
      </c>
      <c r="H68" t="s">
        <v>31</v>
      </c>
      <c r="I68" t="s">
        <v>139</v>
      </c>
      <c r="J68" t="s">
        <v>32</v>
      </c>
      <c r="K68">
        <v>1</v>
      </c>
      <c r="L68">
        <v>33064</v>
      </c>
      <c r="M68">
        <v>0</v>
      </c>
      <c r="N68">
        <v>0</v>
      </c>
      <c r="O68">
        <v>5951.52</v>
      </c>
      <c r="P68">
        <v>426</v>
      </c>
      <c r="Q68">
        <v>39441.519999999997</v>
      </c>
      <c r="R68" t="s">
        <v>33</v>
      </c>
      <c r="S68" t="s">
        <v>34</v>
      </c>
      <c r="T68" t="s">
        <v>55</v>
      </c>
      <c r="U68" t="s">
        <v>56</v>
      </c>
      <c r="V68" t="s">
        <v>57</v>
      </c>
      <c r="W68">
        <v>9</v>
      </c>
      <c r="X68" t="s">
        <v>38</v>
      </c>
      <c r="Y68">
        <v>4</v>
      </c>
      <c r="Z68" t="s">
        <v>58</v>
      </c>
    </row>
    <row r="69" spans="1:26" x14ac:dyDescent="0.3">
      <c r="A69" t="s">
        <v>220</v>
      </c>
      <c r="B69" s="2">
        <v>45918</v>
      </c>
      <c r="C69" t="s">
        <v>221</v>
      </c>
      <c r="D69" t="s">
        <v>80</v>
      </c>
      <c r="E69" t="s">
        <v>29</v>
      </c>
      <c r="F69">
        <v>36</v>
      </c>
      <c r="G69" t="s">
        <v>51</v>
      </c>
      <c r="H69" t="s">
        <v>52</v>
      </c>
      <c r="I69" t="s">
        <v>51</v>
      </c>
      <c r="J69" t="s">
        <v>62</v>
      </c>
      <c r="K69">
        <v>1</v>
      </c>
      <c r="L69">
        <v>1059</v>
      </c>
      <c r="M69">
        <v>0</v>
      </c>
      <c r="N69">
        <v>0</v>
      </c>
      <c r="O69">
        <v>190.62</v>
      </c>
      <c r="P69">
        <v>48</v>
      </c>
      <c r="Q69">
        <v>1297.6199999999999</v>
      </c>
      <c r="R69" t="s">
        <v>54</v>
      </c>
      <c r="S69" t="s">
        <v>63</v>
      </c>
      <c r="T69" t="s">
        <v>95</v>
      </c>
      <c r="U69" t="s">
        <v>96</v>
      </c>
      <c r="V69" t="s">
        <v>57</v>
      </c>
      <c r="W69">
        <v>5</v>
      </c>
      <c r="X69" t="s">
        <v>38</v>
      </c>
      <c r="Y69">
        <v>2</v>
      </c>
      <c r="Z69" t="s">
        <v>47</v>
      </c>
    </row>
    <row r="70" spans="1:26" x14ac:dyDescent="0.3">
      <c r="A70" t="s">
        <v>222</v>
      </c>
      <c r="B70" s="2">
        <v>45909</v>
      </c>
      <c r="C70" t="s">
        <v>223</v>
      </c>
      <c r="D70" t="s">
        <v>50</v>
      </c>
      <c r="E70" t="s">
        <v>29</v>
      </c>
      <c r="F70">
        <v>30</v>
      </c>
      <c r="G70" t="s">
        <v>99</v>
      </c>
      <c r="H70" t="s">
        <v>52</v>
      </c>
      <c r="I70" t="s">
        <v>99</v>
      </c>
      <c r="J70" t="s">
        <v>125</v>
      </c>
      <c r="K70">
        <v>4</v>
      </c>
      <c r="L70">
        <v>7089</v>
      </c>
      <c r="M70">
        <v>20</v>
      </c>
      <c r="N70">
        <v>5671.2</v>
      </c>
      <c r="O70">
        <v>4083.26</v>
      </c>
      <c r="P70">
        <v>403</v>
      </c>
      <c r="Q70">
        <v>27171.06</v>
      </c>
      <c r="R70" t="s">
        <v>33</v>
      </c>
      <c r="S70" t="s">
        <v>63</v>
      </c>
      <c r="T70" t="s">
        <v>103</v>
      </c>
      <c r="U70" t="s">
        <v>103</v>
      </c>
      <c r="V70" t="s">
        <v>57</v>
      </c>
      <c r="W70">
        <v>9</v>
      </c>
      <c r="X70" t="s">
        <v>47</v>
      </c>
      <c r="Y70">
        <v>2</v>
      </c>
      <c r="Z70" t="s">
        <v>39</v>
      </c>
    </row>
    <row r="71" spans="1:26" x14ac:dyDescent="0.3">
      <c r="A71" t="s">
        <v>224</v>
      </c>
      <c r="B71" s="2">
        <v>45905</v>
      </c>
      <c r="C71" t="s">
        <v>225</v>
      </c>
      <c r="D71" t="s">
        <v>66</v>
      </c>
      <c r="E71" t="s">
        <v>29</v>
      </c>
      <c r="F71">
        <v>55</v>
      </c>
      <c r="G71" t="s">
        <v>134</v>
      </c>
      <c r="H71" t="s">
        <v>31</v>
      </c>
      <c r="I71" t="s">
        <v>134</v>
      </c>
      <c r="J71" t="s">
        <v>201</v>
      </c>
      <c r="K71">
        <v>4</v>
      </c>
      <c r="L71">
        <v>11996</v>
      </c>
      <c r="M71">
        <v>5</v>
      </c>
      <c r="N71">
        <v>2399.1999999999998</v>
      </c>
      <c r="O71">
        <v>8205.26</v>
      </c>
      <c r="P71">
        <v>466</v>
      </c>
      <c r="Q71">
        <v>54256.06</v>
      </c>
      <c r="R71" t="s">
        <v>45</v>
      </c>
      <c r="S71" t="s">
        <v>34</v>
      </c>
      <c r="T71" t="s">
        <v>55</v>
      </c>
      <c r="U71" t="s">
        <v>56</v>
      </c>
      <c r="V71" t="s">
        <v>57</v>
      </c>
      <c r="W71">
        <v>4</v>
      </c>
      <c r="X71" t="s">
        <v>47</v>
      </c>
      <c r="Y71">
        <v>4</v>
      </c>
      <c r="Z71" t="s">
        <v>47</v>
      </c>
    </row>
    <row r="72" spans="1:26" x14ac:dyDescent="0.3">
      <c r="A72" t="s">
        <v>226</v>
      </c>
      <c r="B72" s="2">
        <v>45846</v>
      </c>
      <c r="C72" t="s">
        <v>227</v>
      </c>
      <c r="D72" t="s">
        <v>89</v>
      </c>
      <c r="E72" t="s">
        <v>43</v>
      </c>
      <c r="F72">
        <v>19</v>
      </c>
      <c r="G72" t="s">
        <v>51</v>
      </c>
      <c r="H72" t="s">
        <v>52</v>
      </c>
      <c r="I72" t="s">
        <v>51</v>
      </c>
      <c r="J72" t="s">
        <v>62</v>
      </c>
      <c r="K72">
        <v>1</v>
      </c>
      <c r="L72">
        <v>15786</v>
      </c>
      <c r="M72">
        <v>20</v>
      </c>
      <c r="N72">
        <v>3157.2</v>
      </c>
      <c r="O72">
        <v>2273.1799999999998</v>
      </c>
      <c r="P72">
        <v>268</v>
      </c>
      <c r="Q72">
        <v>15169.98</v>
      </c>
      <c r="R72" t="s">
        <v>45</v>
      </c>
      <c r="S72" t="s">
        <v>34</v>
      </c>
      <c r="T72" t="s">
        <v>70</v>
      </c>
      <c r="U72" t="s">
        <v>56</v>
      </c>
      <c r="V72" t="s">
        <v>57</v>
      </c>
      <c r="W72">
        <v>10</v>
      </c>
      <c r="X72" t="s">
        <v>38</v>
      </c>
      <c r="Y72">
        <v>5</v>
      </c>
      <c r="Z72" t="s">
        <v>39</v>
      </c>
    </row>
    <row r="73" spans="1:26" x14ac:dyDescent="0.3">
      <c r="A73" t="s">
        <v>228</v>
      </c>
      <c r="B73" s="2">
        <v>46061</v>
      </c>
      <c r="C73" t="s">
        <v>229</v>
      </c>
      <c r="D73" t="s">
        <v>73</v>
      </c>
      <c r="E73" t="s">
        <v>43</v>
      </c>
      <c r="F73">
        <v>26</v>
      </c>
      <c r="G73" t="s">
        <v>67</v>
      </c>
      <c r="H73" t="s">
        <v>68</v>
      </c>
      <c r="I73" t="s">
        <v>67</v>
      </c>
      <c r="J73" t="s">
        <v>69</v>
      </c>
      <c r="K73">
        <v>1</v>
      </c>
      <c r="L73">
        <v>16943</v>
      </c>
      <c r="M73">
        <v>15</v>
      </c>
      <c r="N73">
        <v>2541.4499999999998</v>
      </c>
      <c r="O73">
        <v>2592.2800000000002</v>
      </c>
      <c r="P73">
        <v>242</v>
      </c>
      <c r="Q73">
        <v>17235.830000000002</v>
      </c>
      <c r="R73" t="s">
        <v>83</v>
      </c>
      <c r="S73" t="s">
        <v>34</v>
      </c>
      <c r="T73" t="s">
        <v>84</v>
      </c>
      <c r="U73" t="s">
        <v>85</v>
      </c>
      <c r="V73" t="s">
        <v>86</v>
      </c>
      <c r="W73">
        <v>5</v>
      </c>
      <c r="X73" t="s">
        <v>38</v>
      </c>
      <c r="Y73">
        <v>2</v>
      </c>
      <c r="Z73" t="s">
        <v>39</v>
      </c>
    </row>
    <row r="74" spans="1:26" x14ac:dyDescent="0.3">
      <c r="A74" t="s">
        <v>230</v>
      </c>
      <c r="B74" s="2">
        <v>45975</v>
      </c>
      <c r="C74" t="s">
        <v>231</v>
      </c>
      <c r="D74" t="s">
        <v>50</v>
      </c>
      <c r="E74" t="s">
        <v>29</v>
      </c>
      <c r="F74">
        <v>31</v>
      </c>
      <c r="G74" t="s">
        <v>51</v>
      </c>
      <c r="H74" t="s">
        <v>52</v>
      </c>
      <c r="I74" t="s">
        <v>51</v>
      </c>
      <c r="J74" t="s">
        <v>125</v>
      </c>
      <c r="K74">
        <v>3</v>
      </c>
      <c r="L74">
        <v>810</v>
      </c>
      <c r="M74">
        <v>10</v>
      </c>
      <c r="N74">
        <v>243</v>
      </c>
      <c r="O74">
        <v>393.66</v>
      </c>
      <c r="P74">
        <v>202</v>
      </c>
      <c r="Q74">
        <v>2782.66</v>
      </c>
      <c r="R74" t="s">
        <v>45</v>
      </c>
      <c r="S74" t="s">
        <v>34</v>
      </c>
      <c r="T74" t="s">
        <v>35</v>
      </c>
      <c r="U74" t="s">
        <v>36</v>
      </c>
      <c r="V74" t="s">
        <v>37</v>
      </c>
      <c r="W74">
        <v>6</v>
      </c>
      <c r="X74" t="s">
        <v>38</v>
      </c>
      <c r="Y74">
        <v>5</v>
      </c>
      <c r="Z74" t="s">
        <v>58</v>
      </c>
    </row>
    <row r="75" spans="1:26" x14ac:dyDescent="0.3">
      <c r="A75" t="s">
        <v>232</v>
      </c>
      <c r="B75" s="2">
        <v>45953</v>
      </c>
      <c r="C75" t="s">
        <v>233</v>
      </c>
      <c r="D75" t="s">
        <v>28</v>
      </c>
      <c r="E75" t="s">
        <v>43</v>
      </c>
      <c r="F75">
        <v>26</v>
      </c>
      <c r="G75" t="s">
        <v>90</v>
      </c>
      <c r="H75" t="s">
        <v>31</v>
      </c>
      <c r="I75" t="s">
        <v>90</v>
      </c>
      <c r="J75" t="s">
        <v>62</v>
      </c>
      <c r="K75">
        <v>3</v>
      </c>
      <c r="L75">
        <v>22771</v>
      </c>
      <c r="M75">
        <v>15</v>
      </c>
      <c r="N75">
        <v>10246.950000000001</v>
      </c>
      <c r="O75">
        <v>10451.89</v>
      </c>
      <c r="P75">
        <v>196</v>
      </c>
      <c r="Q75">
        <v>68713.94</v>
      </c>
      <c r="R75" t="s">
        <v>83</v>
      </c>
      <c r="S75" t="s">
        <v>34</v>
      </c>
      <c r="T75" t="s">
        <v>35</v>
      </c>
      <c r="U75" t="s">
        <v>36</v>
      </c>
      <c r="V75" t="s">
        <v>37</v>
      </c>
      <c r="W75">
        <v>1</v>
      </c>
      <c r="X75" t="s">
        <v>47</v>
      </c>
      <c r="Y75">
        <v>2</v>
      </c>
      <c r="Z75" t="s">
        <v>47</v>
      </c>
    </row>
    <row r="76" spans="1:26" x14ac:dyDescent="0.3">
      <c r="A76" t="s">
        <v>234</v>
      </c>
      <c r="B76" s="2">
        <v>46034</v>
      </c>
      <c r="C76" t="s">
        <v>235</v>
      </c>
      <c r="D76" t="s">
        <v>66</v>
      </c>
      <c r="E76" t="s">
        <v>43</v>
      </c>
      <c r="F76">
        <v>27</v>
      </c>
      <c r="G76" t="s">
        <v>139</v>
      </c>
      <c r="H76" t="s">
        <v>31</v>
      </c>
      <c r="I76" t="s">
        <v>139</v>
      </c>
      <c r="J76" t="s">
        <v>75</v>
      </c>
      <c r="K76">
        <v>1</v>
      </c>
      <c r="L76">
        <v>49814</v>
      </c>
      <c r="M76">
        <v>15</v>
      </c>
      <c r="N76">
        <v>7472.1</v>
      </c>
      <c r="O76">
        <v>7621.54</v>
      </c>
      <c r="P76">
        <v>331</v>
      </c>
      <c r="Q76">
        <v>50294.44</v>
      </c>
      <c r="R76" t="s">
        <v>45</v>
      </c>
      <c r="S76" t="s">
        <v>63</v>
      </c>
      <c r="T76" t="s">
        <v>103</v>
      </c>
      <c r="U76" t="s">
        <v>103</v>
      </c>
      <c r="V76" t="s">
        <v>57</v>
      </c>
      <c r="W76">
        <v>10</v>
      </c>
      <c r="X76" t="s">
        <v>47</v>
      </c>
      <c r="Y76">
        <v>4</v>
      </c>
      <c r="Z76" t="s">
        <v>47</v>
      </c>
    </row>
    <row r="77" spans="1:26" x14ac:dyDescent="0.3">
      <c r="A77" t="s">
        <v>236</v>
      </c>
      <c r="B77" s="2">
        <v>45873</v>
      </c>
      <c r="C77" t="s">
        <v>237</v>
      </c>
      <c r="D77" t="s">
        <v>28</v>
      </c>
      <c r="E77" t="s">
        <v>29</v>
      </c>
      <c r="F77">
        <v>24</v>
      </c>
      <c r="G77" t="s">
        <v>51</v>
      </c>
      <c r="H77" t="s">
        <v>52</v>
      </c>
      <c r="I77" t="s">
        <v>51</v>
      </c>
      <c r="J77" t="s">
        <v>75</v>
      </c>
      <c r="K77">
        <v>2</v>
      </c>
      <c r="L77">
        <v>17710</v>
      </c>
      <c r="M77">
        <v>20</v>
      </c>
      <c r="N77">
        <v>7084</v>
      </c>
      <c r="O77">
        <v>5100.4799999999996</v>
      </c>
      <c r="P77">
        <v>267</v>
      </c>
      <c r="Q77">
        <v>33703.480000000003</v>
      </c>
      <c r="R77" t="s">
        <v>33</v>
      </c>
      <c r="S77" t="s">
        <v>34</v>
      </c>
      <c r="T77" t="s">
        <v>46</v>
      </c>
      <c r="U77" t="s">
        <v>36</v>
      </c>
      <c r="V77" t="s">
        <v>37</v>
      </c>
      <c r="W77">
        <v>1</v>
      </c>
      <c r="X77" t="s">
        <v>38</v>
      </c>
      <c r="Y77">
        <v>1</v>
      </c>
      <c r="Z77" t="s">
        <v>58</v>
      </c>
    </row>
    <row r="78" spans="1:26" x14ac:dyDescent="0.3">
      <c r="A78" t="s">
        <v>238</v>
      </c>
      <c r="B78" s="2">
        <v>45943</v>
      </c>
      <c r="C78" t="s">
        <v>239</v>
      </c>
      <c r="D78" t="s">
        <v>108</v>
      </c>
      <c r="E78" t="s">
        <v>29</v>
      </c>
      <c r="F78">
        <v>45</v>
      </c>
      <c r="G78" t="s">
        <v>44</v>
      </c>
      <c r="H78" t="s">
        <v>31</v>
      </c>
      <c r="I78" t="s">
        <v>44</v>
      </c>
      <c r="J78" t="s">
        <v>69</v>
      </c>
      <c r="K78">
        <v>5</v>
      </c>
      <c r="L78">
        <v>24572</v>
      </c>
      <c r="M78">
        <v>10</v>
      </c>
      <c r="N78">
        <v>12286</v>
      </c>
      <c r="O78">
        <v>19903.32</v>
      </c>
      <c r="P78">
        <v>152</v>
      </c>
      <c r="Q78">
        <v>130629.32</v>
      </c>
      <c r="R78" t="s">
        <v>83</v>
      </c>
      <c r="S78" t="s">
        <v>34</v>
      </c>
      <c r="T78" t="s">
        <v>95</v>
      </c>
      <c r="U78" t="s">
        <v>96</v>
      </c>
      <c r="V78" t="s">
        <v>57</v>
      </c>
      <c r="W78">
        <v>5</v>
      </c>
      <c r="X78" t="s">
        <v>47</v>
      </c>
      <c r="Y78">
        <v>5</v>
      </c>
      <c r="Z78" t="s">
        <v>91</v>
      </c>
    </row>
    <row r="79" spans="1:26" x14ac:dyDescent="0.3">
      <c r="A79" t="s">
        <v>240</v>
      </c>
      <c r="B79" s="2">
        <v>45879</v>
      </c>
      <c r="C79" t="s">
        <v>241</v>
      </c>
      <c r="D79" t="s">
        <v>66</v>
      </c>
      <c r="E79" t="s">
        <v>29</v>
      </c>
      <c r="F79">
        <v>47</v>
      </c>
      <c r="G79" t="s">
        <v>44</v>
      </c>
      <c r="H79" t="s">
        <v>31</v>
      </c>
      <c r="I79" t="s">
        <v>44</v>
      </c>
      <c r="J79" t="s">
        <v>62</v>
      </c>
      <c r="K79">
        <v>3</v>
      </c>
      <c r="L79">
        <v>49144</v>
      </c>
      <c r="M79">
        <v>15</v>
      </c>
      <c r="N79">
        <v>22114.799999999999</v>
      </c>
      <c r="O79">
        <v>22557.1</v>
      </c>
      <c r="P79">
        <v>324</v>
      </c>
      <c r="Q79">
        <v>148198.29999999999</v>
      </c>
      <c r="R79" t="s">
        <v>45</v>
      </c>
      <c r="S79" t="s">
        <v>34</v>
      </c>
      <c r="T79" t="s">
        <v>103</v>
      </c>
      <c r="U79" t="s">
        <v>103</v>
      </c>
      <c r="V79" t="s">
        <v>57</v>
      </c>
      <c r="W79">
        <v>2</v>
      </c>
      <c r="X79" t="s">
        <v>47</v>
      </c>
      <c r="Y79">
        <v>4</v>
      </c>
      <c r="Z79" t="s">
        <v>58</v>
      </c>
    </row>
    <row r="80" spans="1:26" x14ac:dyDescent="0.3">
      <c r="A80" t="s">
        <v>242</v>
      </c>
      <c r="B80" s="2">
        <v>45847</v>
      </c>
      <c r="C80" t="s">
        <v>243</v>
      </c>
      <c r="D80" t="s">
        <v>73</v>
      </c>
      <c r="E80" t="s">
        <v>29</v>
      </c>
      <c r="F80">
        <v>56</v>
      </c>
      <c r="G80" t="s">
        <v>74</v>
      </c>
      <c r="H80" t="s">
        <v>31</v>
      </c>
      <c r="I80" t="s">
        <v>74</v>
      </c>
      <c r="J80" t="s">
        <v>69</v>
      </c>
      <c r="K80">
        <v>3</v>
      </c>
      <c r="L80">
        <v>38503</v>
      </c>
      <c r="M80">
        <v>15</v>
      </c>
      <c r="N80">
        <v>17326.349999999999</v>
      </c>
      <c r="O80">
        <v>17672.88</v>
      </c>
      <c r="P80">
        <v>380</v>
      </c>
      <c r="Q80">
        <v>116235.53</v>
      </c>
      <c r="R80" t="s">
        <v>33</v>
      </c>
      <c r="S80" t="s">
        <v>63</v>
      </c>
      <c r="T80" t="s">
        <v>76</v>
      </c>
      <c r="U80" t="s">
        <v>77</v>
      </c>
      <c r="V80" t="s">
        <v>57</v>
      </c>
      <c r="W80">
        <v>7</v>
      </c>
      <c r="X80" t="s">
        <v>38</v>
      </c>
      <c r="Y80">
        <v>5</v>
      </c>
      <c r="Z80" t="s">
        <v>47</v>
      </c>
    </row>
    <row r="81" spans="1:26" x14ac:dyDescent="0.3">
      <c r="A81" t="s">
        <v>244</v>
      </c>
      <c r="B81" s="2">
        <v>45804</v>
      </c>
      <c r="C81" t="s">
        <v>245</v>
      </c>
      <c r="D81" t="s">
        <v>73</v>
      </c>
      <c r="E81" t="s">
        <v>29</v>
      </c>
      <c r="F81">
        <v>28</v>
      </c>
      <c r="G81" t="s">
        <v>90</v>
      </c>
      <c r="H81" t="s">
        <v>31</v>
      </c>
      <c r="I81" t="s">
        <v>90</v>
      </c>
      <c r="J81" t="s">
        <v>125</v>
      </c>
      <c r="K81">
        <v>5</v>
      </c>
      <c r="L81">
        <v>39230</v>
      </c>
      <c r="M81">
        <v>20</v>
      </c>
      <c r="N81">
        <v>39230</v>
      </c>
      <c r="O81">
        <v>28245.599999999999</v>
      </c>
      <c r="P81">
        <v>225</v>
      </c>
      <c r="Q81">
        <v>185390.6</v>
      </c>
      <c r="R81" t="s">
        <v>83</v>
      </c>
      <c r="S81" t="s">
        <v>34</v>
      </c>
      <c r="T81" t="s">
        <v>55</v>
      </c>
      <c r="U81" t="s">
        <v>56</v>
      </c>
      <c r="V81" t="s">
        <v>57</v>
      </c>
      <c r="W81">
        <v>4</v>
      </c>
      <c r="X81" t="s">
        <v>47</v>
      </c>
      <c r="Y81">
        <v>2</v>
      </c>
      <c r="Z81" t="s">
        <v>91</v>
      </c>
    </row>
    <row r="82" spans="1:26" x14ac:dyDescent="0.3">
      <c r="A82" t="s">
        <v>246</v>
      </c>
      <c r="B82" s="2">
        <v>45965</v>
      </c>
      <c r="C82" t="s">
        <v>247</v>
      </c>
      <c r="D82" t="s">
        <v>61</v>
      </c>
      <c r="E82" t="s">
        <v>29</v>
      </c>
      <c r="F82">
        <v>43</v>
      </c>
      <c r="G82" t="s">
        <v>99</v>
      </c>
      <c r="H82" t="s">
        <v>52</v>
      </c>
      <c r="I82" t="s">
        <v>99</v>
      </c>
      <c r="J82" t="s">
        <v>62</v>
      </c>
      <c r="K82">
        <v>5</v>
      </c>
      <c r="L82">
        <v>2002</v>
      </c>
      <c r="M82">
        <v>5</v>
      </c>
      <c r="N82">
        <v>500.5</v>
      </c>
      <c r="O82">
        <v>1711.71</v>
      </c>
      <c r="P82">
        <v>358</v>
      </c>
      <c r="Q82">
        <v>11579.21</v>
      </c>
      <c r="R82" t="s">
        <v>54</v>
      </c>
      <c r="S82" t="s">
        <v>34</v>
      </c>
      <c r="T82" t="s">
        <v>35</v>
      </c>
      <c r="U82" t="s">
        <v>36</v>
      </c>
      <c r="V82" t="s">
        <v>37</v>
      </c>
      <c r="W82">
        <v>3</v>
      </c>
      <c r="X82" t="s">
        <v>38</v>
      </c>
      <c r="Y82">
        <v>4</v>
      </c>
      <c r="Z82" t="s">
        <v>58</v>
      </c>
    </row>
    <row r="83" spans="1:26" x14ac:dyDescent="0.3">
      <c r="A83" t="s">
        <v>248</v>
      </c>
      <c r="B83" s="2">
        <v>45886</v>
      </c>
      <c r="C83" t="s">
        <v>249</v>
      </c>
      <c r="D83" t="s">
        <v>111</v>
      </c>
      <c r="E83" t="s">
        <v>43</v>
      </c>
      <c r="F83">
        <v>19</v>
      </c>
      <c r="G83" t="s">
        <v>44</v>
      </c>
      <c r="H83" t="s">
        <v>31</v>
      </c>
      <c r="I83" t="s">
        <v>44</v>
      </c>
      <c r="J83" t="s">
        <v>201</v>
      </c>
      <c r="K83">
        <v>2</v>
      </c>
      <c r="L83">
        <v>44220</v>
      </c>
      <c r="M83">
        <v>15</v>
      </c>
      <c r="N83">
        <v>13266</v>
      </c>
      <c r="O83">
        <v>13531.32</v>
      </c>
      <c r="P83">
        <v>258</v>
      </c>
      <c r="Q83">
        <v>88963.32</v>
      </c>
      <c r="R83" t="s">
        <v>54</v>
      </c>
      <c r="S83" t="s">
        <v>63</v>
      </c>
      <c r="T83" t="s">
        <v>46</v>
      </c>
      <c r="U83" t="s">
        <v>36</v>
      </c>
      <c r="V83" t="s">
        <v>37</v>
      </c>
      <c r="W83">
        <v>7</v>
      </c>
      <c r="X83" t="s">
        <v>47</v>
      </c>
      <c r="Y83">
        <v>2</v>
      </c>
      <c r="Z83" t="s">
        <v>47</v>
      </c>
    </row>
    <row r="84" spans="1:26" x14ac:dyDescent="0.3">
      <c r="A84" t="s">
        <v>250</v>
      </c>
      <c r="B84" s="2">
        <v>45857</v>
      </c>
      <c r="C84" t="s">
        <v>251</v>
      </c>
      <c r="D84" t="s">
        <v>89</v>
      </c>
      <c r="E84" t="s">
        <v>29</v>
      </c>
      <c r="F84">
        <v>39</v>
      </c>
      <c r="G84" t="s">
        <v>90</v>
      </c>
      <c r="H84" t="s">
        <v>31</v>
      </c>
      <c r="I84" t="s">
        <v>90</v>
      </c>
      <c r="J84" t="s">
        <v>150</v>
      </c>
      <c r="K84">
        <v>1</v>
      </c>
      <c r="L84">
        <v>41458</v>
      </c>
      <c r="M84">
        <v>10</v>
      </c>
      <c r="N84">
        <v>4145.8</v>
      </c>
      <c r="O84">
        <v>6716.2</v>
      </c>
      <c r="P84">
        <v>255</v>
      </c>
      <c r="Q84">
        <v>44283.4</v>
      </c>
      <c r="R84" t="s">
        <v>54</v>
      </c>
      <c r="S84" t="s">
        <v>34</v>
      </c>
      <c r="T84" t="s">
        <v>84</v>
      </c>
      <c r="U84" t="s">
        <v>85</v>
      </c>
      <c r="V84" t="s">
        <v>86</v>
      </c>
      <c r="W84">
        <v>9</v>
      </c>
      <c r="X84" t="s">
        <v>47</v>
      </c>
      <c r="Y84">
        <v>2</v>
      </c>
      <c r="Z84" t="s">
        <v>47</v>
      </c>
    </row>
    <row r="85" spans="1:26" x14ac:dyDescent="0.3">
      <c r="A85" t="s">
        <v>252</v>
      </c>
      <c r="B85" s="2">
        <v>46114</v>
      </c>
      <c r="C85" t="s">
        <v>253</v>
      </c>
      <c r="D85" t="s">
        <v>28</v>
      </c>
      <c r="E85" t="s">
        <v>43</v>
      </c>
      <c r="F85">
        <v>28</v>
      </c>
      <c r="G85" t="s">
        <v>134</v>
      </c>
      <c r="H85" t="s">
        <v>31</v>
      </c>
      <c r="I85" t="s">
        <v>134</v>
      </c>
      <c r="J85" t="s">
        <v>102</v>
      </c>
      <c r="K85">
        <v>4</v>
      </c>
      <c r="L85">
        <v>15002</v>
      </c>
      <c r="M85">
        <v>20</v>
      </c>
      <c r="N85">
        <v>12001.6</v>
      </c>
      <c r="O85">
        <v>8641.15</v>
      </c>
      <c r="P85">
        <v>259</v>
      </c>
      <c r="Q85">
        <v>56906.55</v>
      </c>
      <c r="R85" t="s">
        <v>33</v>
      </c>
      <c r="S85" t="s">
        <v>63</v>
      </c>
      <c r="T85" t="s">
        <v>84</v>
      </c>
      <c r="U85" t="s">
        <v>85</v>
      </c>
      <c r="V85" t="s">
        <v>86</v>
      </c>
      <c r="W85">
        <v>1</v>
      </c>
      <c r="X85" t="s">
        <v>38</v>
      </c>
      <c r="Y85">
        <v>3</v>
      </c>
      <c r="Z85" t="s">
        <v>91</v>
      </c>
    </row>
    <row r="86" spans="1:26" x14ac:dyDescent="0.3">
      <c r="A86" t="s">
        <v>254</v>
      </c>
      <c r="B86" s="2">
        <v>45908</v>
      </c>
      <c r="C86" t="s">
        <v>255</v>
      </c>
      <c r="D86" t="s">
        <v>89</v>
      </c>
      <c r="E86" t="s">
        <v>43</v>
      </c>
      <c r="F86">
        <v>29</v>
      </c>
      <c r="G86" t="s">
        <v>90</v>
      </c>
      <c r="H86" t="s">
        <v>31</v>
      </c>
      <c r="I86" t="s">
        <v>90</v>
      </c>
      <c r="J86" t="s">
        <v>32</v>
      </c>
      <c r="K86">
        <v>3</v>
      </c>
      <c r="L86">
        <v>27664</v>
      </c>
      <c r="M86">
        <v>10</v>
      </c>
      <c r="N86">
        <v>8299.2000000000007</v>
      </c>
      <c r="O86">
        <v>13444.7</v>
      </c>
      <c r="P86">
        <v>52</v>
      </c>
      <c r="Q86">
        <v>88189.5</v>
      </c>
      <c r="R86" t="s">
        <v>54</v>
      </c>
      <c r="S86" t="s">
        <v>34</v>
      </c>
      <c r="T86" t="s">
        <v>55</v>
      </c>
      <c r="U86" t="s">
        <v>56</v>
      </c>
      <c r="V86" t="s">
        <v>57</v>
      </c>
      <c r="W86">
        <v>4</v>
      </c>
      <c r="X86" t="s">
        <v>47</v>
      </c>
      <c r="Y86">
        <v>3</v>
      </c>
      <c r="Z86" t="s">
        <v>58</v>
      </c>
    </row>
    <row r="87" spans="1:26" x14ac:dyDescent="0.3">
      <c r="A87" t="s">
        <v>256</v>
      </c>
      <c r="B87" s="2">
        <v>45809</v>
      </c>
      <c r="C87" t="s">
        <v>257</v>
      </c>
      <c r="D87" t="s">
        <v>28</v>
      </c>
      <c r="E87" t="s">
        <v>29</v>
      </c>
      <c r="F87">
        <v>23</v>
      </c>
      <c r="G87" t="s">
        <v>74</v>
      </c>
      <c r="H87" t="s">
        <v>31</v>
      </c>
      <c r="I87" t="s">
        <v>74</v>
      </c>
      <c r="J87" t="s">
        <v>53</v>
      </c>
      <c r="K87">
        <v>1</v>
      </c>
      <c r="L87">
        <v>23710</v>
      </c>
      <c r="M87">
        <v>5</v>
      </c>
      <c r="N87">
        <v>1185.5</v>
      </c>
      <c r="O87">
        <v>4054.41</v>
      </c>
      <c r="P87">
        <v>33</v>
      </c>
      <c r="Q87">
        <v>26611.91</v>
      </c>
      <c r="R87" t="s">
        <v>83</v>
      </c>
      <c r="S87" t="s">
        <v>63</v>
      </c>
      <c r="T87" t="s">
        <v>46</v>
      </c>
      <c r="U87" t="s">
        <v>36</v>
      </c>
      <c r="V87" t="s">
        <v>37</v>
      </c>
      <c r="W87">
        <v>1</v>
      </c>
      <c r="X87" t="s">
        <v>38</v>
      </c>
      <c r="Y87">
        <v>1</v>
      </c>
      <c r="Z87" t="s">
        <v>58</v>
      </c>
    </row>
    <row r="88" spans="1:26" x14ac:dyDescent="0.3">
      <c r="A88" t="s">
        <v>258</v>
      </c>
      <c r="B88" s="2">
        <v>45761</v>
      </c>
      <c r="C88" t="s">
        <v>259</v>
      </c>
      <c r="D88" t="s">
        <v>61</v>
      </c>
      <c r="E88" t="s">
        <v>29</v>
      </c>
      <c r="F88">
        <v>50</v>
      </c>
      <c r="G88" t="s">
        <v>134</v>
      </c>
      <c r="H88" t="s">
        <v>31</v>
      </c>
      <c r="I88" t="s">
        <v>134</v>
      </c>
      <c r="J88" t="s">
        <v>62</v>
      </c>
      <c r="K88">
        <v>5</v>
      </c>
      <c r="L88">
        <v>2722</v>
      </c>
      <c r="M88">
        <v>5</v>
      </c>
      <c r="N88">
        <v>680.5</v>
      </c>
      <c r="O88">
        <v>2327.31</v>
      </c>
      <c r="P88">
        <v>444</v>
      </c>
      <c r="Q88">
        <v>15700.81</v>
      </c>
      <c r="R88" t="s">
        <v>45</v>
      </c>
      <c r="S88" t="s">
        <v>34</v>
      </c>
      <c r="T88" t="s">
        <v>46</v>
      </c>
      <c r="U88" t="s">
        <v>36</v>
      </c>
      <c r="V88" t="s">
        <v>37</v>
      </c>
      <c r="W88">
        <v>3</v>
      </c>
      <c r="X88" t="s">
        <v>47</v>
      </c>
      <c r="Y88">
        <v>1</v>
      </c>
      <c r="Z88" t="s">
        <v>58</v>
      </c>
    </row>
    <row r="89" spans="1:26" x14ac:dyDescent="0.3">
      <c r="A89" t="s">
        <v>260</v>
      </c>
      <c r="B89" s="2">
        <v>46061</v>
      </c>
      <c r="C89" t="s">
        <v>245</v>
      </c>
      <c r="D89" t="s">
        <v>66</v>
      </c>
      <c r="E89" t="s">
        <v>43</v>
      </c>
      <c r="F89">
        <v>53</v>
      </c>
      <c r="G89" t="s">
        <v>74</v>
      </c>
      <c r="H89" t="s">
        <v>31</v>
      </c>
      <c r="I89" t="s">
        <v>74</v>
      </c>
      <c r="J89" t="s">
        <v>125</v>
      </c>
      <c r="K89">
        <v>3</v>
      </c>
      <c r="L89">
        <v>26078</v>
      </c>
      <c r="M89">
        <v>10</v>
      </c>
      <c r="N89">
        <v>7823.4</v>
      </c>
      <c r="O89">
        <v>12673.91</v>
      </c>
      <c r="P89">
        <v>236</v>
      </c>
      <c r="Q89">
        <v>83320.509999999995</v>
      </c>
      <c r="R89" t="s">
        <v>45</v>
      </c>
      <c r="S89" t="s">
        <v>34</v>
      </c>
      <c r="T89" t="s">
        <v>46</v>
      </c>
      <c r="U89" t="s">
        <v>36</v>
      </c>
      <c r="V89" t="s">
        <v>37</v>
      </c>
      <c r="W89">
        <v>5</v>
      </c>
      <c r="X89" t="s">
        <v>47</v>
      </c>
      <c r="Y89">
        <v>5</v>
      </c>
      <c r="Z89" t="s">
        <v>58</v>
      </c>
    </row>
    <row r="90" spans="1:26" x14ac:dyDescent="0.3">
      <c r="A90" t="s">
        <v>261</v>
      </c>
      <c r="B90" s="2">
        <v>46053</v>
      </c>
      <c r="C90" t="s">
        <v>262</v>
      </c>
      <c r="D90" t="s">
        <v>61</v>
      </c>
      <c r="E90" t="s">
        <v>29</v>
      </c>
      <c r="F90">
        <v>56</v>
      </c>
      <c r="G90" t="s">
        <v>30</v>
      </c>
      <c r="H90" t="s">
        <v>31</v>
      </c>
      <c r="I90" t="s">
        <v>30</v>
      </c>
      <c r="J90" t="s">
        <v>75</v>
      </c>
      <c r="K90">
        <v>3</v>
      </c>
      <c r="L90">
        <v>15789</v>
      </c>
      <c r="M90">
        <v>15</v>
      </c>
      <c r="N90">
        <v>7105.05</v>
      </c>
      <c r="O90">
        <v>7247.15</v>
      </c>
      <c r="P90">
        <v>301</v>
      </c>
      <c r="Q90">
        <v>47810.1</v>
      </c>
      <c r="R90" t="s">
        <v>83</v>
      </c>
      <c r="S90" t="s">
        <v>34</v>
      </c>
      <c r="T90" t="s">
        <v>103</v>
      </c>
      <c r="U90" t="s">
        <v>103</v>
      </c>
      <c r="V90" t="s">
        <v>57</v>
      </c>
      <c r="W90">
        <v>4</v>
      </c>
      <c r="X90" t="s">
        <v>38</v>
      </c>
      <c r="Y90">
        <v>3</v>
      </c>
      <c r="Z90" t="s">
        <v>47</v>
      </c>
    </row>
    <row r="91" spans="1:26" x14ac:dyDescent="0.3">
      <c r="A91" t="s">
        <v>263</v>
      </c>
      <c r="B91" s="2">
        <v>45968</v>
      </c>
      <c r="C91" t="s">
        <v>264</v>
      </c>
      <c r="D91" t="s">
        <v>28</v>
      </c>
      <c r="E91" t="s">
        <v>29</v>
      </c>
      <c r="F91">
        <v>32</v>
      </c>
      <c r="G91" t="s">
        <v>139</v>
      </c>
      <c r="H91" t="s">
        <v>31</v>
      </c>
      <c r="I91" t="s">
        <v>139</v>
      </c>
      <c r="J91" t="s">
        <v>125</v>
      </c>
      <c r="K91">
        <v>2</v>
      </c>
      <c r="L91">
        <v>23965</v>
      </c>
      <c r="M91">
        <v>20</v>
      </c>
      <c r="N91">
        <v>9586</v>
      </c>
      <c r="O91">
        <v>6901.92</v>
      </c>
      <c r="P91">
        <v>167</v>
      </c>
      <c r="Q91">
        <v>45412.92</v>
      </c>
      <c r="R91" t="s">
        <v>83</v>
      </c>
      <c r="S91" t="s">
        <v>63</v>
      </c>
      <c r="T91" t="s">
        <v>76</v>
      </c>
      <c r="U91" t="s">
        <v>77</v>
      </c>
      <c r="V91" t="s">
        <v>57</v>
      </c>
      <c r="W91">
        <v>1</v>
      </c>
      <c r="X91" t="s">
        <v>47</v>
      </c>
      <c r="Y91">
        <v>1</v>
      </c>
      <c r="Z91" t="s">
        <v>47</v>
      </c>
    </row>
    <row r="92" spans="1:26" x14ac:dyDescent="0.3">
      <c r="A92" t="s">
        <v>265</v>
      </c>
      <c r="B92" s="2">
        <v>45897</v>
      </c>
      <c r="C92" t="s">
        <v>266</v>
      </c>
      <c r="D92" t="s">
        <v>73</v>
      </c>
      <c r="E92" t="s">
        <v>43</v>
      </c>
      <c r="F92">
        <v>34</v>
      </c>
      <c r="G92" t="s">
        <v>99</v>
      </c>
      <c r="H92" t="s">
        <v>52</v>
      </c>
      <c r="I92" t="s">
        <v>99</v>
      </c>
      <c r="J92" t="s">
        <v>69</v>
      </c>
      <c r="K92">
        <v>1</v>
      </c>
      <c r="L92">
        <v>29036</v>
      </c>
      <c r="M92">
        <v>10</v>
      </c>
      <c r="N92">
        <v>2903.6</v>
      </c>
      <c r="O92">
        <v>4703.83</v>
      </c>
      <c r="P92">
        <v>336</v>
      </c>
      <c r="Q92">
        <v>31172.23</v>
      </c>
      <c r="R92" t="s">
        <v>45</v>
      </c>
      <c r="S92" t="s">
        <v>63</v>
      </c>
      <c r="T92" t="s">
        <v>103</v>
      </c>
      <c r="U92" t="s">
        <v>103</v>
      </c>
      <c r="V92" t="s">
        <v>57</v>
      </c>
      <c r="W92">
        <v>7</v>
      </c>
      <c r="X92" t="s">
        <v>47</v>
      </c>
      <c r="Y92">
        <v>2</v>
      </c>
      <c r="Z92" t="s">
        <v>39</v>
      </c>
    </row>
    <row r="93" spans="1:26" x14ac:dyDescent="0.3">
      <c r="A93" t="s">
        <v>267</v>
      </c>
      <c r="B93" s="2">
        <v>45867</v>
      </c>
      <c r="C93" t="s">
        <v>268</v>
      </c>
      <c r="D93" t="s">
        <v>66</v>
      </c>
      <c r="E93" t="s">
        <v>29</v>
      </c>
      <c r="F93">
        <v>55</v>
      </c>
      <c r="G93" t="s">
        <v>90</v>
      </c>
      <c r="H93" t="s">
        <v>31</v>
      </c>
      <c r="I93" t="s">
        <v>90</v>
      </c>
      <c r="J93" t="s">
        <v>201</v>
      </c>
      <c r="K93">
        <v>4</v>
      </c>
      <c r="L93">
        <v>24259</v>
      </c>
      <c r="M93">
        <v>20</v>
      </c>
      <c r="N93">
        <v>19407.2</v>
      </c>
      <c r="O93">
        <v>13973.18</v>
      </c>
      <c r="P93">
        <v>445</v>
      </c>
      <c r="Q93">
        <v>92046.98</v>
      </c>
      <c r="R93" t="s">
        <v>45</v>
      </c>
      <c r="S93" t="s">
        <v>63</v>
      </c>
      <c r="T93" t="s">
        <v>46</v>
      </c>
      <c r="U93" t="s">
        <v>36</v>
      </c>
      <c r="V93" t="s">
        <v>37</v>
      </c>
      <c r="W93">
        <v>1</v>
      </c>
      <c r="X93" t="s">
        <v>38</v>
      </c>
      <c r="Y93">
        <v>5</v>
      </c>
      <c r="Z93" t="s">
        <v>91</v>
      </c>
    </row>
    <row r="94" spans="1:26" x14ac:dyDescent="0.3">
      <c r="A94" t="s">
        <v>269</v>
      </c>
      <c r="B94" s="2">
        <v>45865</v>
      </c>
      <c r="C94" t="s">
        <v>270</v>
      </c>
      <c r="D94" t="s">
        <v>28</v>
      </c>
      <c r="E94" t="s">
        <v>43</v>
      </c>
      <c r="F94">
        <v>55</v>
      </c>
      <c r="G94" t="s">
        <v>30</v>
      </c>
      <c r="H94" t="s">
        <v>31</v>
      </c>
      <c r="I94" t="s">
        <v>30</v>
      </c>
      <c r="J94" t="s">
        <v>53</v>
      </c>
      <c r="K94">
        <v>4</v>
      </c>
      <c r="L94">
        <v>27999</v>
      </c>
      <c r="M94">
        <v>0</v>
      </c>
      <c r="N94">
        <v>0</v>
      </c>
      <c r="O94">
        <v>20159.28</v>
      </c>
      <c r="P94">
        <v>169</v>
      </c>
      <c r="Q94">
        <v>132324.28</v>
      </c>
      <c r="R94" t="s">
        <v>33</v>
      </c>
      <c r="S94" t="s">
        <v>63</v>
      </c>
      <c r="T94" t="s">
        <v>84</v>
      </c>
      <c r="U94" t="s">
        <v>85</v>
      </c>
      <c r="V94" t="s">
        <v>86</v>
      </c>
      <c r="W94">
        <v>8</v>
      </c>
      <c r="X94" t="s">
        <v>47</v>
      </c>
      <c r="Y94">
        <v>2</v>
      </c>
      <c r="Z94" t="s">
        <v>91</v>
      </c>
    </row>
    <row r="95" spans="1:26" x14ac:dyDescent="0.3">
      <c r="A95" t="s">
        <v>271</v>
      </c>
      <c r="B95" s="2">
        <v>45865</v>
      </c>
      <c r="C95" t="s">
        <v>107</v>
      </c>
      <c r="D95" t="s">
        <v>66</v>
      </c>
      <c r="E95" t="s">
        <v>29</v>
      </c>
      <c r="F95">
        <v>54</v>
      </c>
      <c r="G95" t="s">
        <v>134</v>
      </c>
      <c r="H95" t="s">
        <v>31</v>
      </c>
      <c r="I95" t="s">
        <v>134</v>
      </c>
      <c r="J95" t="s">
        <v>32</v>
      </c>
      <c r="K95">
        <v>5</v>
      </c>
      <c r="L95">
        <v>44136</v>
      </c>
      <c r="M95">
        <v>10</v>
      </c>
      <c r="N95">
        <v>22068</v>
      </c>
      <c r="O95">
        <v>35750.160000000003</v>
      </c>
      <c r="P95">
        <v>127</v>
      </c>
      <c r="Q95">
        <v>234489.16</v>
      </c>
      <c r="R95" t="s">
        <v>45</v>
      </c>
      <c r="S95" t="s">
        <v>34</v>
      </c>
      <c r="T95" t="s">
        <v>46</v>
      </c>
      <c r="U95" t="s">
        <v>36</v>
      </c>
      <c r="V95" t="s">
        <v>37</v>
      </c>
      <c r="W95">
        <v>8</v>
      </c>
      <c r="X95" t="s">
        <v>38</v>
      </c>
      <c r="Y95">
        <v>5</v>
      </c>
      <c r="Z95" t="s">
        <v>47</v>
      </c>
    </row>
    <row r="96" spans="1:26" x14ac:dyDescent="0.3">
      <c r="A96" t="s">
        <v>272</v>
      </c>
      <c r="B96" s="2">
        <v>46031</v>
      </c>
      <c r="C96" t="s">
        <v>273</v>
      </c>
      <c r="D96" t="s">
        <v>111</v>
      </c>
      <c r="E96" t="s">
        <v>43</v>
      </c>
      <c r="F96">
        <v>55</v>
      </c>
      <c r="G96" t="s">
        <v>90</v>
      </c>
      <c r="H96" t="s">
        <v>31</v>
      </c>
      <c r="I96" t="s">
        <v>90</v>
      </c>
      <c r="J96" t="s">
        <v>53</v>
      </c>
      <c r="K96">
        <v>5</v>
      </c>
      <c r="L96">
        <v>34596</v>
      </c>
      <c r="M96">
        <v>15</v>
      </c>
      <c r="N96">
        <v>25947</v>
      </c>
      <c r="O96">
        <v>26465.94</v>
      </c>
      <c r="P96">
        <v>316</v>
      </c>
      <c r="Q96">
        <v>173814.94</v>
      </c>
      <c r="R96" t="s">
        <v>54</v>
      </c>
      <c r="S96" t="s">
        <v>63</v>
      </c>
      <c r="T96" t="s">
        <v>35</v>
      </c>
      <c r="U96" t="s">
        <v>36</v>
      </c>
      <c r="V96" t="s">
        <v>37</v>
      </c>
      <c r="W96">
        <v>7</v>
      </c>
      <c r="X96" t="s">
        <v>38</v>
      </c>
      <c r="Y96">
        <v>1</v>
      </c>
      <c r="Z96" t="s">
        <v>47</v>
      </c>
    </row>
    <row r="97" spans="1:26" x14ac:dyDescent="0.3">
      <c r="A97" t="s">
        <v>274</v>
      </c>
      <c r="B97" s="2">
        <v>45762</v>
      </c>
      <c r="C97" t="s">
        <v>275</v>
      </c>
      <c r="D97" t="s">
        <v>80</v>
      </c>
      <c r="E97" t="s">
        <v>29</v>
      </c>
      <c r="F97">
        <v>51</v>
      </c>
      <c r="G97" t="s">
        <v>90</v>
      </c>
      <c r="H97" t="s">
        <v>31</v>
      </c>
      <c r="I97" t="s">
        <v>90</v>
      </c>
      <c r="J97" t="s">
        <v>62</v>
      </c>
      <c r="K97">
        <v>1</v>
      </c>
      <c r="L97">
        <v>30323</v>
      </c>
      <c r="M97">
        <v>15</v>
      </c>
      <c r="N97">
        <v>4548.45</v>
      </c>
      <c r="O97">
        <v>4639.42</v>
      </c>
      <c r="P97">
        <v>45</v>
      </c>
      <c r="Q97">
        <v>30458.97</v>
      </c>
      <c r="R97" t="s">
        <v>83</v>
      </c>
      <c r="S97" t="s">
        <v>63</v>
      </c>
      <c r="T97" t="s">
        <v>46</v>
      </c>
      <c r="U97" t="s">
        <v>36</v>
      </c>
      <c r="V97" t="s">
        <v>37</v>
      </c>
      <c r="W97">
        <v>1</v>
      </c>
      <c r="X97" t="s">
        <v>47</v>
      </c>
      <c r="Y97">
        <v>4</v>
      </c>
      <c r="Z97" t="s">
        <v>58</v>
      </c>
    </row>
    <row r="98" spans="1:26" x14ac:dyDescent="0.3">
      <c r="A98" t="s">
        <v>276</v>
      </c>
      <c r="B98" s="2">
        <v>46001</v>
      </c>
      <c r="C98" t="s">
        <v>277</v>
      </c>
      <c r="D98" t="s">
        <v>66</v>
      </c>
      <c r="E98" t="s">
        <v>29</v>
      </c>
      <c r="F98">
        <v>27</v>
      </c>
      <c r="G98" t="s">
        <v>139</v>
      </c>
      <c r="H98" t="s">
        <v>31</v>
      </c>
      <c r="I98" t="s">
        <v>139</v>
      </c>
      <c r="J98" t="s">
        <v>102</v>
      </c>
      <c r="K98">
        <v>4</v>
      </c>
      <c r="L98">
        <v>14331</v>
      </c>
      <c r="M98">
        <v>0</v>
      </c>
      <c r="N98">
        <v>0</v>
      </c>
      <c r="O98">
        <v>10318.32</v>
      </c>
      <c r="P98">
        <v>41</v>
      </c>
      <c r="Q98">
        <v>67683.320000000007</v>
      </c>
      <c r="R98" t="s">
        <v>83</v>
      </c>
      <c r="S98" t="s">
        <v>34</v>
      </c>
      <c r="T98" t="s">
        <v>95</v>
      </c>
      <c r="U98" t="s">
        <v>96</v>
      </c>
      <c r="V98" t="s">
        <v>57</v>
      </c>
      <c r="W98">
        <v>1</v>
      </c>
      <c r="X98" t="s">
        <v>47</v>
      </c>
      <c r="Y98">
        <v>4</v>
      </c>
      <c r="Z98" t="s">
        <v>39</v>
      </c>
    </row>
    <row r="99" spans="1:26" x14ac:dyDescent="0.3">
      <c r="A99" t="s">
        <v>278</v>
      </c>
      <c r="B99" s="2">
        <v>45812</v>
      </c>
      <c r="C99" t="s">
        <v>279</v>
      </c>
      <c r="D99" t="s">
        <v>50</v>
      </c>
      <c r="E99" t="s">
        <v>29</v>
      </c>
      <c r="F99">
        <v>24</v>
      </c>
      <c r="G99" t="s">
        <v>51</v>
      </c>
      <c r="H99" t="s">
        <v>52</v>
      </c>
      <c r="I99" t="s">
        <v>51</v>
      </c>
      <c r="J99" t="s">
        <v>125</v>
      </c>
      <c r="K99">
        <v>3</v>
      </c>
      <c r="L99">
        <v>3679</v>
      </c>
      <c r="M99">
        <v>10</v>
      </c>
      <c r="N99">
        <v>1103.7</v>
      </c>
      <c r="O99">
        <v>1787.99</v>
      </c>
      <c r="P99">
        <v>262</v>
      </c>
      <c r="Q99">
        <v>11983.29</v>
      </c>
      <c r="R99" t="s">
        <v>45</v>
      </c>
      <c r="S99" t="s">
        <v>63</v>
      </c>
      <c r="T99" t="s">
        <v>35</v>
      </c>
      <c r="U99" t="s">
        <v>36</v>
      </c>
      <c r="V99" t="s">
        <v>37</v>
      </c>
      <c r="W99">
        <v>4</v>
      </c>
      <c r="X99" t="s">
        <v>47</v>
      </c>
      <c r="Y99">
        <v>1</v>
      </c>
      <c r="Z99" t="s">
        <v>39</v>
      </c>
    </row>
    <row r="100" spans="1:26" x14ac:dyDescent="0.3">
      <c r="A100" t="s">
        <v>280</v>
      </c>
      <c r="B100" s="2">
        <v>45821</v>
      </c>
      <c r="C100" t="s">
        <v>281</v>
      </c>
      <c r="D100" t="s">
        <v>89</v>
      </c>
      <c r="E100" t="s">
        <v>29</v>
      </c>
      <c r="F100">
        <v>56</v>
      </c>
      <c r="G100" t="s">
        <v>74</v>
      </c>
      <c r="H100" t="s">
        <v>31</v>
      </c>
      <c r="I100" t="s">
        <v>74</v>
      </c>
      <c r="J100" t="s">
        <v>75</v>
      </c>
      <c r="K100">
        <v>3</v>
      </c>
      <c r="L100">
        <v>25123</v>
      </c>
      <c r="M100">
        <v>20</v>
      </c>
      <c r="N100">
        <v>15073.8</v>
      </c>
      <c r="O100">
        <v>10853.14</v>
      </c>
      <c r="P100">
        <v>393</v>
      </c>
      <c r="Q100">
        <v>71541.34</v>
      </c>
      <c r="R100" t="s">
        <v>33</v>
      </c>
      <c r="S100" t="s">
        <v>34</v>
      </c>
      <c r="T100" t="s">
        <v>84</v>
      </c>
      <c r="U100" t="s">
        <v>85</v>
      </c>
      <c r="V100" t="s">
        <v>86</v>
      </c>
      <c r="W100">
        <v>10</v>
      </c>
      <c r="X100" t="s">
        <v>47</v>
      </c>
      <c r="Y100">
        <v>5</v>
      </c>
      <c r="Z100" t="s">
        <v>39</v>
      </c>
    </row>
    <row r="101" spans="1:26" x14ac:dyDescent="0.3">
      <c r="A101" t="s">
        <v>282</v>
      </c>
      <c r="B101" s="2">
        <v>45891</v>
      </c>
      <c r="C101" t="s">
        <v>283</v>
      </c>
      <c r="D101" t="s">
        <v>61</v>
      </c>
      <c r="E101" t="s">
        <v>43</v>
      </c>
      <c r="F101">
        <v>41</v>
      </c>
      <c r="G101" t="s">
        <v>99</v>
      </c>
      <c r="H101" t="s">
        <v>52</v>
      </c>
      <c r="I101" t="s">
        <v>99</v>
      </c>
      <c r="J101" t="s">
        <v>102</v>
      </c>
      <c r="K101">
        <v>4</v>
      </c>
      <c r="L101">
        <v>46566</v>
      </c>
      <c r="M101">
        <v>10</v>
      </c>
      <c r="N101">
        <v>18626.400000000001</v>
      </c>
      <c r="O101">
        <v>30174.77</v>
      </c>
      <c r="P101">
        <v>402</v>
      </c>
      <c r="Q101">
        <v>198214.37</v>
      </c>
      <c r="R101" t="s">
        <v>54</v>
      </c>
      <c r="S101" t="s">
        <v>34</v>
      </c>
      <c r="T101" t="s">
        <v>55</v>
      </c>
      <c r="U101" t="s">
        <v>56</v>
      </c>
      <c r="V101" t="s">
        <v>57</v>
      </c>
      <c r="W101">
        <v>7</v>
      </c>
      <c r="X101" t="s">
        <v>47</v>
      </c>
      <c r="Y101">
        <v>4</v>
      </c>
      <c r="Z101" t="s">
        <v>39</v>
      </c>
    </row>
    <row r="102" spans="1:26" x14ac:dyDescent="0.3">
      <c r="A102" t="s">
        <v>284</v>
      </c>
      <c r="B102" s="2">
        <v>45905</v>
      </c>
      <c r="C102" t="s">
        <v>285</v>
      </c>
      <c r="D102" t="s">
        <v>50</v>
      </c>
      <c r="E102" t="s">
        <v>29</v>
      </c>
      <c r="F102">
        <v>60</v>
      </c>
      <c r="G102" t="s">
        <v>134</v>
      </c>
      <c r="H102" t="s">
        <v>31</v>
      </c>
      <c r="I102" t="s">
        <v>134</v>
      </c>
      <c r="J102" t="s">
        <v>62</v>
      </c>
      <c r="K102">
        <v>1</v>
      </c>
      <c r="L102">
        <v>42289</v>
      </c>
      <c r="M102">
        <v>20</v>
      </c>
      <c r="N102">
        <v>8457.7999999999993</v>
      </c>
      <c r="O102">
        <v>6089.62</v>
      </c>
      <c r="P102">
        <v>250</v>
      </c>
      <c r="Q102">
        <v>40170.82</v>
      </c>
      <c r="R102" t="s">
        <v>45</v>
      </c>
      <c r="S102" t="s">
        <v>63</v>
      </c>
      <c r="T102" t="s">
        <v>103</v>
      </c>
      <c r="U102" t="s">
        <v>103</v>
      </c>
      <c r="V102" t="s">
        <v>57</v>
      </c>
      <c r="W102">
        <v>1</v>
      </c>
      <c r="X102" t="s">
        <v>38</v>
      </c>
      <c r="Y102">
        <v>2</v>
      </c>
      <c r="Z102" t="s">
        <v>47</v>
      </c>
    </row>
    <row r="103" spans="1:26" x14ac:dyDescent="0.3">
      <c r="A103" t="s">
        <v>286</v>
      </c>
      <c r="B103" s="2">
        <v>46108</v>
      </c>
      <c r="C103" t="s">
        <v>287</v>
      </c>
      <c r="D103" t="s">
        <v>89</v>
      </c>
      <c r="E103" t="s">
        <v>29</v>
      </c>
      <c r="F103">
        <v>31</v>
      </c>
      <c r="G103" t="s">
        <v>51</v>
      </c>
      <c r="H103" t="s">
        <v>52</v>
      </c>
      <c r="I103" t="s">
        <v>51</v>
      </c>
      <c r="J103" t="s">
        <v>75</v>
      </c>
      <c r="K103">
        <v>5</v>
      </c>
      <c r="L103">
        <v>4012</v>
      </c>
      <c r="M103">
        <v>0</v>
      </c>
      <c r="N103">
        <v>0</v>
      </c>
      <c r="O103">
        <v>3610.8</v>
      </c>
      <c r="P103">
        <v>329</v>
      </c>
      <c r="Q103">
        <v>23999.8</v>
      </c>
      <c r="R103" t="s">
        <v>83</v>
      </c>
      <c r="S103" t="s">
        <v>63</v>
      </c>
      <c r="T103" t="s">
        <v>84</v>
      </c>
      <c r="U103" t="s">
        <v>85</v>
      </c>
      <c r="V103" t="s">
        <v>86</v>
      </c>
      <c r="W103">
        <v>8</v>
      </c>
      <c r="X103" t="s">
        <v>47</v>
      </c>
      <c r="Y103">
        <v>4</v>
      </c>
      <c r="Z103" t="s">
        <v>39</v>
      </c>
    </row>
    <row r="104" spans="1:26" x14ac:dyDescent="0.3">
      <c r="A104" t="s">
        <v>288</v>
      </c>
      <c r="B104" s="2">
        <v>45793</v>
      </c>
      <c r="C104" t="s">
        <v>289</v>
      </c>
      <c r="D104" t="s">
        <v>61</v>
      </c>
      <c r="E104" t="s">
        <v>29</v>
      </c>
      <c r="F104">
        <v>52</v>
      </c>
      <c r="G104" t="s">
        <v>74</v>
      </c>
      <c r="H104" t="s">
        <v>31</v>
      </c>
      <c r="I104" t="s">
        <v>74</v>
      </c>
      <c r="J104" t="s">
        <v>150</v>
      </c>
      <c r="K104">
        <v>2</v>
      </c>
      <c r="L104">
        <v>30405</v>
      </c>
      <c r="M104">
        <v>0</v>
      </c>
      <c r="N104">
        <v>0</v>
      </c>
      <c r="O104">
        <v>10945.8</v>
      </c>
      <c r="P104">
        <v>301</v>
      </c>
      <c r="Q104">
        <v>72056.800000000003</v>
      </c>
      <c r="R104" t="s">
        <v>33</v>
      </c>
      <c r="S104" t="s">
        <v>63</v>
      </c>
      <c r="T104" t="s">
        <v>76</v>
      </c>
      <c r="U104" t="s">
        <v>77</v>
      </c>
      <c r="V104" t="s">
        <v>57</v>
      </c>
      <c r="W104">
        <v>8</v>
      </c>
      <c r="X104" t="s">
        <v>38</v>
      </c>
      <c r="Y104">
        <v>5</v>
      </c>
      <c r="Z104" t="s">
        <v>58</v>
      </c>
    </row>
    <row r="105" spans="1:26" x14ac:dyDescent="0.3">
      <c r="A105" t="s">
        <v>290</v>
      </c>
      <c r="B105" s="2">
        <v>46023</v>
      </c>
      <c r="C105" t="s">
        <v>291</v>
      </c>
      <c r="D105" t="s">
        <v>108</v>
      </c>
      <c r="E105" t="s">
        <v>29</v>
      </c>
      <c r="F105">
        <v>23</v>
      </c>
      <c r="G105" t="s">
        <v>94</v>
      </c>
      <c r="H105" t="s">
        <v>31</v>
      </c>
      <c r="I105" t="s">
        <v>94</v>
      </c>
      <c r="J105" t="s">
        <v>102</v>
      </c>
      <c r="K105">
        <v>4</v>
      </c>
      <c r="L105">
        <v>19141</v>
      </c>
      <c r="M105">
        <v>20</v>
      </c>
      <c r="N105">
        <v>15312.8</v>
      </c>
      <c r="O105">
        <v>11025.22</v>
      </c>
      <c r="P105">
        <v>482</v>
      </c>
      <c r="Q105">
        <v>72758.42</v>
      </c>
      <c r="R105" t="s">
        <v>83</v>
      </c>
      <c r="S105" t="s">
        <v>34</v>
      </c>
      <c r="T105" t="s">
        <v>103</v>
      </c>
      <c r="U105" t="s">
        <v>103</v>
      </c>
      <c r="V105" t="s">
        <v>57</v>
      </c>
      <c r="W105">
        <v>5</v>
      </c>
      <c r="X105" t="s">
        <v>47</v>
      </c>
      <c r="Y105">
        <v>4</v>
      </c>
      <c r="Z105" t="s">
        <v>47</v>
      </c>
    </row>
    <row r="106" spans="1:26" x14ac:dyDescent="0.3">
      <c r="A106" t="s">
        <v>292</v>
      </c>
      <c r="B106" s="2">
        <v>46087</v>
      </c>
      <c r="C106" t="s">
        <v>293</v>
      </c>
      <c r="D106" t="s">
        <v>50</v>
      </c>
      <c r="E106" t="s">
        <v>43</v>
      </c>
      <c r="F106">
        <v>22</v>
      </c>
      <c r="G106" t="s">
        <v>67</v>
      </c>
      <c r="H106" t="s">
        <v>68</v>
      </c>
      <c r="I106" t="s">
        <v>67</v>
      </c>
      <c r="J106" t="s">
        <v>75</v>
      </c>
      <c r="K106">
        <v>4</v>
      </c>
      <c r="L106">
        <v>19962</v>
      </c>
      <c r="M106">
        <v>5</v>
      </c>
      <c r="N106">
        <v>3992.4</v>
      </c>
      <c r="O106">
        <v>13654.01</v>
      </c>
      <c r="P106">
        <v>104</v>
      </c>
      <c r="Q106">
        <v>89613.61</v>
      </c>
      <c r="R106" t="s">
        <v>45</v>
      </c>
      <c r="S106" t="s">
        <v>34</v>
      </c>
      <c r="T106" t="s">
        <v>46</v>
      </c>
      <c r="U106" t="s">
        <v>36</v>
      </c>
      <c r="V106" t="s">
        <v>37</v>
      </c>
      <c r="W106">
        <v>7</v>
      </c>
      <c r="X106" t="s">
        <v>47</v>
      </c>
      <c r="Y106">
        <v>5</v>
      </c>
      <c r="Z106" t="s">
        <v>47</v>
      </c>
    </row>
    <row r="107" spans="1:26" x14ac:dyDescent="0.3">
      <c r="A107" t="s">
        <v>294</v>
      </c>
      <c r="B107" s="2">
        <v>45765</v>
      </c>
      <c r="C107" t="s">
        <v>295</v>
      </c>
      <c r="D107" t="s">
        <v>73</v>
      </c>
      <c r="E107" t="s">
        <v>29</v>
      </c>
      <c r="F107">
        <v>46</v>
      </c>
      <c r="G107" t="s">
        <v>67</v>
      </c>
      <c r="H107" t="s">
        <v>68</v>
      </c>
      <c r="I107" t="s">
        <v>67</v>
      </c>
      <c r="J107" t="s">
        <v>62</v>
      </c>
      <c r="K107">
        <v>5</v>
      </c>
      <c r="L107">
        <v>30045</v>
      </c>
      <c r="M107">
        <v>0</v>
      </c>
      <c r="N107">
        <v>0</v>
      </c>
      <c r="O107">
        <v>27040.5</v>
      </c>
      <c r="P107">
        <v>295</v>
      </c>
      <c r="Q107">
        <v>177560.5</v>
      </c>
      <c r="R107" t="s">
        <v>45</v>
      </c>
      <c r="S107" t="s">
        <v>63</v>
      </c>
      <c r="T107" t="s">
        <v>70</v>
      </c>
      <c r="U107" t="s">
        <v>56</v>
      </c>
      <c r="V107" t="s">
        <v>57</v>
      </c>
      <c r="W107">
        <v>9</v>
      </c>
      <c r="X107" t="s">
        <v>38</v>
      </c>
      <c r="Y107">
        <v>2</v>
      </c>
      <c r="Z107" t="s">
        <v>91</v>
      </c>
    </row>
    <row r="108" spans="1:26" x14ac:dyDescent="0.3">
      <c r="A108" t="s">
        <v>296</v>
      </c>
      <c r="B108" s="2">
        <v>45980</v>
      </c>
      <c r="C108" t="s">
        <v>297</v>
      </c>
      <c r="D108" t="s">
        <v>89</v>
      </c>
      <c r="E108" t="s">
        <v>29</v>
      </c>
      <c r="F108">
        <v>33</v>
      </c>
      <c r="G108" t="s">
        <v>30</v>
      </c>
      <c r="H108" t="s">
        <v>31</v>
      </c>
      <c r="I108" t="s">
        <v>30</v>
      </c>
      <c r="J108" t="s">
        <v>150</v>
      </c>
      <c r="K108">
        <v>1</v>
      </c>
      <c r="L108">
        <v>30617</v>
      </c>
      <c r="M108">
        <v>0</v>
      </c>
      <c r="N108">
        <v>0</v>
      </c>
      <c r="O108">
        <v>5511.06</v>
      </c>
      <c r="P108">
        <v>291</v>
      </c>
      <c r="Q108">
        <v>36419.06</v>
      </c>
      <c r="R108" t="s">
        <v>33</v>
      </c>
      <c r="S108" t="s">
        <v>34</v>
      </c>
      <c r="T108" t="s">
        <v>35</v>
      </c>
      <c r="U108" t="s">
        <v>36</v>
      </c>
      <c r="V108" t="s">
        <v>37</v>
      </c>
      <c r="W108">
        <v>9</v>
      </c>
      <c r="X108" t="s">
        <v>47</v>
      </c>
      <c r="Y108">
        <v>5</v>
      </c>
      <c r="Z108" t="s">
        <v>58</v>
      </c>
    </row>
    <row r="109" spans="1:26" x14ac:dyDescent="0.3">
      <c r="A109" t="s">
        <v>298</v>
      </c>
      <c r="B109" s="2">
        <v>45856</v>
      </c>
      <c r="C109" t="s">
        <v>299</v>
      </c>
      <c r="D109" t="s">
        <v>73</v>
      </c>
      <c r="E109" t="s">
        <v>43</v>
      </c>
      <c r="F109">
        <v>29</v>
      </c>
      <c r="G109" t="s">
        <v>134</v>
      </c>
      <c r="H109" t="s">
        <v>31</v>
      </c>
      <c r="I109" t="s">
        <v>134</v>
      </c>
      <c r="J109" t="s">
        <v>53</v>
      </c>
      <c r="K109">
        <v>1</v>
      </c>
      <c r="L109">
        <v>36884</v>
      </c>
      <c r="M109">
        <v>5</v>
      </c>
      <c r="N109">
        <v>1844.2</v>
      </c>
      <c r="O109">
        <v>6307.16</v>
      </c>
      <c r="P109">
        <v>88</v>
      </c>
      <c r="Q109">
        <v>41434.959999999999</v>
      </c>
      <c r="R109" t="s">
        <v>45</v>
      </c>
      <c r="S109" t="s">
        <v>63</v>
      </c>
      <c r="T109" t="s">
        <v>70</v>
      </c>
      <c r="U109" t="s">
        <v>56</v>
      </c>
      <c r="V109" t="s">
        <v>57</v>
      </c>
      <c r="W109">
        <v>2</v>
      </c>
      <c r="X109" t="s">
        <v>47</v>
      </c>
      <c r="Y109">
        <v>2</v>
      </c>
      <c r="Z109" t="s">
        <v>91</v>
      </c>
    </row>
    <row r="110" spans="1:26" x14ac:dyDescent="0.3">
      <c r="A110" t="s">
        <v>300</v>
      </c>
      <c r="B110" s="2">
        <v>45948</v>
      </c>
      <c r="C110" t="s">
        <v>301</v>
      </c>
      <c r="D110" t="s">
        <v>108</v>
      </c>
      <c r="E110" t="s">
        <v>43</v>
      </c>
      <c r="F110">
        <v>35</v>
      </c>
      <c r="G110" t="s">
        <v>99</v>
      </c>
      <c r="H110" t="s">
        <v>52</v>
      </c>
      <c r="I110" t="s">
        <v>99</v>
      </c>
      <c r="J110" t="s">
        <v>125</v>
      </c>
      <c r="K110">
        <v>2</v>
      </c>
      <c r="L110">
        <v>44392</v>
      </c>
      <c r="M110">
        <v>10</v>
      </c>
      <c r="N110">
        <v>8878.4</v>
      </c>
      <c r="O110">
        <v>14383.01</v>
      </c>
      <c r="P110">
        <v>36</v>
      </c>
      <c r="Q110">
        <v>94324.61</v>
      </c>
      <c r="R110" t="s">
        <v>83</v>
      </c>
      <c r="S110" t="s">
        <v>34</v>
      </c>
      <c r="T110" t="s">
        <v>35</v>
      </c>
      <c r="U110" t="s">
        <v>36</v>
      </c>
      <c r="V110" t="s">
        <v>37</v>
      </c>
      <c r="W110">
        <v>4</v>
      </c>
      <c r="X110" t="s">
        <v>47</v>
      </c>
      <c r="Y110">
        <v>3</v>
      </c>
      <c r="Z110" t="s">
        <v>47</v>
      </c>
    </row>
    <row r="111" spans="1:26" x14ac:dyDescent="0.3">
      <c r="A111" t="s">
        <v>302</v>
      </c>
      <c r="B111" s="2">
        <v>45950</v>
      </c>
      <c r="C111" t="s">
        <v>303</v>
      </c>
      <c r="D111" t="s">
        <v>111</v>
      </c>
      <c r="E111" t="s">
        <v>29</v>
      </c>
      <c r="F111">
        <v>49</v>
      </c>
      <c r="G111" t="s">
        <v>67</v>
      </c>
      <c r="H111" t="s">
        <v>68</v>
      </c>
      <c r="I111" t="s">
        <v>67</v>
      </c>
      <c r="J111" t="s">
        <v>53</v>
      </c>
      <c r="K111">
        <v>2</v>
      </c>
      <c r="L111">
        <v>45616</v>
      </c>
      <c r="M111">
        <v>15</v>
      </c>
      <c r="N111">
        <v>13684.8</v>
      </c>
      <c r="O111">
        <v>13958.5</v>
      </c>
      <c r="P111">
        <v>173</v>
      </c>
      <c r="Q111">
        <v>91678.7</v>
      </c>
      <c r="R111" t="s">
        <v>33</v>
      </c>
      <c r="S111" t="s">
        <v>63</v>
      </c>
      <c r="T111" t="s">
        <v>84</v>
      </c>
      <c r="U111" t="s">
        <v>85</v>
      </c>
      <c r="V111" t="s">
        <v>86</v>
      </c>
      <c r="W111">
        <v>4</v>
      </c>
      <c r="X111" t="s">
        <v>47</v>
      </c>
      <c r="Y111">
        <v>5</v>
      </c>
      <c r="Z111" t="s">
        <v>58</v>
      </c>
    </row>
    <row r="112" spans="1:26" x14ac:dyDescent="0.3">
      <c r="A112" t="s">
        <v>304</v>
      </c>
      <c r="B112" s="2">
        <v>45935</v>
      </c>
      <c r="C112" t="s">
        <v>305</v>
      </c>
      <c r="D112" t="s">
        <v>50</v>
      </c>
      <c r="E112" t="s">
        <v>43</v>
      </c>
      <c r="F112">
        <v>25</v>
      </c>
      <c r="G112" t="s">
        <v>94</v>
      </c>
      <c r="H112" t="s">
        <v>31</v>
      </c>
      <c r="I112" t="s">
        <v>94</v>
      </c>
      <c r="J112" t="s">
        <v>102</v>
      </c>
      <c r="K112">
        <v>4</v>
      </c>
      <c r="L112">
        <v>13466</v>
      </c>
      <c r="M112">
        <v>15</v>
      </c>
      <c r="N112">
        <v>8079.6</v>
      </c>
      <c r="O112">
        <v>8241.19</v>
      </c>
      <c r="P112">
        <v>298</v>
      </c>
      <c r="Q112">
        <v>54323.59</v>
      </c>
      <c r="R112" t="s">
        <v>83</v>
      </c>
      <c r="S112" t="s">
        <v>63</v>
      </c>
      <c r="T112" t="s">
        <v>95</v>
      </c>
      <c r="U112" t="s">
        <v>96</v>
      </c>
      <c r="V112" t="s">
        <v>57</v>
      </c>
      <c r="W112">
        <v>6</v>
      </c>
      <c r="X112" t="s">
        <v>38</v>
      </c>
      <c r="Y112">
        <v>5</v>
      </c>
      <c r="Z112" t="s">
        <v>58</v>
      </c>
    </row>
    <row r="113" spans="1:26" x14ac:dyDescent="0.3">
      <c r="A113" t="s">
        <v>306</v>
      </c>
      <c r="B113" s="2">
        <v>46039</v>
      </c>
      <c r="C113" t="s">
        <v>307</v>
      </c>
      <c r="D113" t="s">
        <v>50</v>
      </c>
      <c r="E113" t="s">
        <v>29</v>
      </c>
      <c r="F113">
        <v>53</v>
      </c>
      <c r="G113" t="s">
        <v>44</v>
      </c>
      <c r="H113" t="s">
        <v>31</v>
      </c>
      <c r="I113" t="s">
        <v>44</v>
      </c>
      <c r="J113" t="s">
        <v>32</v>
      </c>
      <c r="K113">
        <v>3</v>
      </c>
      <c r="L113">
        <v>10297</v>
      </c>
      <c r="M113">
        <v>5</v>
      </c>
      <c r="N113">
        <v>1544.55</v>
      </c>
      <c r="O113">
        <v>5282.36</v>
      </c>
      <c r="P113">
        <v>382</v>
      </c>
      <c r="Q113">
        <v>35010.81</v>
      </c>
      <c r="R113" t="s">
        <v>54</v>
      </c>
      <c r="S113" t="s">
        <v>63</v>
      </c>
      <c r="T113" t="s">
        <v>76</v>
      </c>
      <c r="U113" t="s">
        <v>77</v>
      </c>
      <c r="V113" t="s">
        <v>57</v>
      </c>
      <c r="W113">
        <v>4</v>
      </c>
      <c r="X113" t="s">
        <v>38</v>
      </c>
      <c r="Y113">
        <v>1</v>
      </c>
      <c r="Z113" t="s">
        <v>47</v>
      </c>
    </row>
    <row r="114" spans="1:26" x14ac:dyDescent="0.3">
      <c r="A114" t="s">
        <v>308</v>
      </c>
      <c r="B114" s="2">
        <v>45845</v>
      </c>
      <c r="C114" t="s">
        <v>101</v>
      </c>
      <c r="D114" t="s">
        <v>42</v>
      </c>
      <c r="E114" t="s">
        <v>29</v>
      </c>
      <c r="F114">
        <v>38</v>
      </c>
      <c r="G114" t="s">
        <v>139</v>
      </c>
      <c r="H114" t="s">
        <v>31</v>
      </c>
      <c r="I114" t="s">
        <v>139</v>
      </c>
      <c r="J114" t="s">
        <v>102</v>
      </c>
      <c r="K114">
        <v>2</v>
      </c>
      <c r="L114">
        <v>20743</v>
      </c>
      <c r="M114">
        <v>20</v>
      </c>
      <c r="N114">
        <v>8297.2000000000007</v>
      </c>
      <c r="O114">
        <v>5973.98</v>
      </c>
      <c r="P114">
        <v>397</v>
      </c>
      <c r="Q114">
        <v>39559.78</v>
      </c>
      <c r="R114" t="s">
        <v>54</v>
      </c>
      <c r="S114" t="s">
        <v>34</v>
      </c>
      <c r="T114" t="s">
        <v>35</v>
      </c>
      <c r="U114" t="s">
        <v>36</v>
      </c>
      <c r="V114" t="s">
        <v>37</v>
      </c>
      <c r="W114">
        <v>8</v>
      </c>
      <c r="X114" t="s">
        <v>38</v>
      </c>
      <c r="Y114">
        <v>1</v>
      </c>
      <c r="Z114" t="s">
        <v>39</v>
      </c>
    </row>
    <row r="115" spans="1:26" x14ac:dyDescent="0.3">
      <c r="A115" t="s">
        <v>309</v>
      </c>
      <c r="B115" s="2">
        <v>45993</v>
      </c>
      <c r="C115" t="s">
        <v>310</v>
      </c>
      <c r="D115" t="s">
        <v>42</v>
      </c>
      <c r="E115" t="s">
        <v>43</v>
      </c>
      <c r="F115">
        <v>56</v>
      </c>
      <c r="G115" t="s">
        <v>139</v>
      </c>
      <c r="H115" t="s">
        <v>31</v>
      </c>
      <c r="I115" t="s">
        <v>139</v>
      </c>
      <c r="J115" t="s">
        <v>125</v>
      </c>
      <c r="K115">
        <v>3</v>
      </c>
      <c r="L115">
        <v>45793</v>
      </c>
      <c r="M115">
        <v>0</v>
      </c>
      <c r="N115">
        <v>0</v>
      </c>
      <c r="O115">
        <v>24728.22</v>
      </c>
      <c r="P115">
        <v>20</v>
      </c>
      <c r="Q115">
        <v>162127.22</v>
      </c>
      <c r="R115" t="s">
        <v>54</v>
      </c>
      <c r="S115" t="s">
        <v>34</v>
      </c>
      <c r="T115" t="s">
        <v>46</v>
      </c>
      <c r="U115" t="s">
        <v>36</v>
      </c>
      <c r="V115" t="s">
        <v>37</v>
      </c>
      <c r="W115">
        <v>5</v>
      </c>
      <c r="X115" t="s">
        <v>38</v>
      </c>
      <c r="Y115">
        <v>5</v>
      </c>
      <c r="Z115" t="s">
        <v>39</v>
      </c>
    </row>
    <row r="116" spans="1:26" x14ac:dyDescent="0.3">
      <c r="A116" t="s">
        <v>311</v>
      </c>
      <c r="B116" s="2">
        <v>45983</v>
      </c>
      <c r="C116" t="s">
        <v>312</v>
      </c>
      <c r="D116" t="s">
        <v>89</v>
      </c>
      <c r="E116" t="s">
        <v>29</v>
      </c>
      <c r="F116">
        <v>24</v>
      </c>
      <c r="G116" t="s">
        <v>67</v>
      </c>
      <c r="H116" t="s">
        <v>68</v>
      </c>
      <c r="I116" t="s">
        <v>67</v>
      </c>
      <c r="J116" t="s">
        <v>62</v>
      </c>
      <c r="K116">
        <v>5</v>
      </c>
      <c r="L116">
        <v>39903</v>
      </c>
      <c r="M116">
        <v>20</v>
      </c>
      <c r="N116">
        <v>39903</v>
      </c>
      <c r="O116">
        <v>28730.16</v>
      </c>
      <c r="P116">
        <v>492</v>
      </c>
      <c r="Q116">
        <v>188834.16</v>
      </c>
      <c r="R116" t="s">
        <v>83</v>
      </c>
      <c r="S116" t="s">
        <v>63</v>
      </c>
      <c r="T116" t="s">
        <v>70</v>
      </c>
      <c r="U116" t="s">
        <v>56</v>
      </c>
      <c r="V116" t="s">
        <v>57</v>
      </c>
      <c r="W116">
        <v>2</v>
      </c>
      <c r="X116" t="s">
        <v>47</v>
      </c>
      <c r="Y116">
        <v>5</v>
      </c>
      <c r="Z116" t="s">
        <v>47</v>
      </c>
    </row>
    <row r="117" spans="1:26" x14ac:dyDescent="0.3">
      <c r="A117" t="s">
        <v>313</v>
      </c>
      <c r="B117" s="2">
        <v>46095</v>
      </c>
      <c r="C117" t="s">
        <v>314</v>
      </c>
      <c r="D117" t="s">
        <v>50</v>
      </c>
      <c r="E117" t="s">
        <v>43</v>
      </c>
      <c r="F117">
        <v>58</v>
      </c>
      <c r="G117" t="s">
        <v>30</v>
      </c>
      <c r="H117" t="s">
        <v>31</v>
      </c>
      <c r="I117" t="s">
        <v>30</v>
      </c>
      <c r="J117" t="s">
        <v>53</v>
      </c>
      <c r="K117">
        <v>3</v>
      </c>
      <c r="L117">
        <v>22776</v>
      </c>
      <c r="M117">
        <v>0</v>
      </c>
      <c r="N117">
        <v>0</v>
      </c>
      <c r="O117">
        <v>12299.04</v>
      </c>
      <c r="P117">
        <v>94</v>
      </c>
      <c r="Q117">
        <v>80721.039999999994</v>
      </c>
      <c r="R117" t="s">
        <v>54</v>
      </c>
      <c r="S117" t="s">
        <v>63</v>
      </c>
      <c r="T117" t="s">
        <v>76</v>
      </c>
      <c r="U117" t="s">
        <v>77</v>
      </c>
      <c r="V117" t="s">
        <v>57</v>
      </c>
      <c r="W117">
        <v>6</v>
      </c>
      <c r="X117" t="s">
        <v>38</v>
      </c>
      <c r="Y117">
        <v>1</v>
      </c>
      <c r="Z117" t="s">
        <v>39</v>
      </c>
    </row>
    <row r="118" spans="1:26" x14ac:dyDescent="0.3">
      <c r="A118" t="s">
        <v>315</v>
      </c>
      <c r="B118" s="2">
        <v>45809</v>
      </c>
      <c r="C118" t="s">
        <v>316</v>
      </c>
      <c r="D118" t="s">
        <v>111</v>
      </c>
      <c r="E118" t="s">
        <v>43</v>
      </c>
      <c r="F118">
        <v>30</v>
      </c>
      <c r="G118" t="s">
        <v>134</v>
      </c>
      <c r="H118" t="s">
        <v>31</v>
      </c>
      <c r="I118" t="s">
        <v>134</v>
      </c>
      <c r="J118" t="s">
        <v>125</v>
      </c>
      <c r="K118">
        <v>5</v>
      </c>
      <c r="L118">
        <v>18787</v>
      </c>
      <c r="M118">
        <v>20</v>
      </c>
      <c r="N118">
        <v>18787</v>
      </c>
      <c r="O118">
        <v>13526.64</v>
      </c>
      <c r="P118">
        <v>101</v>
      </c>
      <c r="Q118">
        <v>88775.64</v>
      </c>
      <c r="R118" t="s">
        <v>83</v>
      </c>
      <c r="S118" t="s">
        <v>63</v>
      </c>
      <c r="T118" t="s">
        <v>46</v>
      </c>
      <c r="U118" t="s">
        <v>36</v>
      </c>
      <c r="V118" t="s">
        <v>37</v>
      </c>
      <c r="W118">
        <v>4</v>
      </c>
      <c r="X118" t="s">
        <v>47</v>
      </c>
      <c r="Y118">
        <v>5</v>
      </c>
      <c r="Z118" t="s">
        <v>39</v>
      </c>
    </row>
    <row r="119" spans="1:26" x14ac:dyDescent="0.3">
      <c r="A119" t="s">
        <v>317</v>
      </c>
      <c r="B119" s="2">
        <v>45834</v>
      </c>
      <c r="C119" t="s">
        <v>318</v>
      </c>
      <c r="D119" t="s">
        <v>42</v>
      </c>
      <c r="E119" t="s">
        <v>29</v>
      </c>
      <c r="F119">
        <v>28</v>
      </c>
      <c r="G119" t="s">
        <v>30</v>
      </c>
      <c r="H119" t="s">
        <v>31</v>
      </c>
      <c r="I119" t="s">
        <v>30</v>
      </c>
      <c r="J119" t="s">
        <v>32</v>
      </c>
      <c r="K119">
        <v>1</v>
      </c>
      <c r="L119">
        <v>956</v>
      </c>
      <c r="M119">
        <v>20</v>
      </c>
      <c r="N119">
        <v>191.2</v>
      </c>
      <c r="O119">
        <v>137.66</v>
      </c>
      <c r="P119">
        <v>446</v>
      </c>
      <c r="Q119">
        <v>1348.46</v>
      </c>
      <c r="R119" t="s">
        <v>45</v>
      </c>
      <c r="S119" t="s">
        <v>63</v>
      </c>
      <c r="T119" t="s">
        <v>46</v>
      </c>
      <c r="U119" t="s">
        <v>36</v>
      </c>
      <c r="V119" t="s">
        <v>37</v>
      </c>
      <c r="W119">
        <v>3</v>
      </c>
      <c r="X119" t="s">
        <v>47</v>
      </c>
      <c r="Y119">
        <v>2</v>
      </c>
      <c r="Z119" t="s">
        <v>47</v>
      </c>
    </row>
    <row r="120" spans="1:26" x14ac:dyDescent="0.3">
      <c r="A120" t="s">
        <v>319</v>
      </c>
      <c r="B120" s="2">
        <v>46080</v>
      </c>
      <c r="C120" t="s">
        <v>101</v>
      </c>
      <c r="D120" t="s">
        <v>108</v>
      </c>
      <c r="E120" t="s">
        <v>43</v>
      </c>
      <c r="F120">
        <v>20</v>
      </c>
      <c r="G120" t="s">
        <v>94</v>
      </c>
      <c r="H120" t="s">
        <v>31</v>
      </c>
      <c r="I120" t="s">
        <v>94</v>
      </c>
      <c r="J120" t="s">
        <v>75</v>
      </c>
      <c r="K120">
        <v>5</v>
      </c>
      <c r="L120">
        <v>28102</v>
      </c>
      <c r="M120">
        <v>5</v>
      </c>
      <c r="N120">
        <v>7025.5</v>
      </c>
      <c r="O120">
        <v>24027.21</v>
      </c>
      <c r="P120">
        <v>281</v>
      </c>
      <c r="Q120">
        <v>157792.71</v>
      </c>
      <c r="R120" t="s">
        <v>83</v>
      </c>
      <c r="S120" t="s">
        <v>34</v>
      </c>
      <c r="T120" t="s">
        <v>70</v>
      </c>
      <c r="U120" t="s">
        <v>56</v>
      </c>
      <c r="V120" t="s">
        <v>57</v>
      </c>
      <c r="W120">
        <v>5</v>
      </c>
      <c r="X120" t="s">
        <v>38</v>
      </c>
      <c r="Y120">
        <v>3</v>
      </c>
      <c r="Z120" t="s">
        <v>39</v>
      </c>
    </row>
    <row r="121" spans="1:26" x14ac:dyDescent="0.3">
      <c r="A121" t="s">
        <v>320</v>
      </c>
      <c r="B121" s="2">
        <v>45985</v>
      </c>
      <c r="C121" t="s">
        <v>321</v>
      </c>
      <c r="D121" t="s">
        <v>80</v>
      </c>
      <c r="E121" t="s">
        <v>29</v>
      </c>
      <c r="F121">
        <v>29</v>
      </c>
      <c r="G121" t="s">
        <v>134</v>
      </c>
      <c r="H121" t="s">
        <v>31</v>
      </c>
      <c r="I121" t="s">
        <v>134</v>
      </c>
      <c r="J121" t="s">
        <v>150</v>
      </c>
      <c r="K121">
        <v>4</v>
      </c>
      <c r="L121">
        <v>2455</v>
      </c>
      <c r="M121">
        <v>5</v>
      </c>
      <c r="N121">
        <v>491</v>
      </c>
      <c r="O121">
        <v>1679.22</v>
      </c>
      <c r="P121">
        <v>255</v>
      </c>
      <c r="Q121">
        <v>11263.22</v>
      </c>
      <c r="R121" t="s">
        <v>54</v>
      </c>
      <c r="S121" t="s">
        <v>63</v>
      </c>
      <c r="T121" t="s">
        <v>70</v>
      </c>
      <c r="U121" t="s">
        <v>56</v>
      </c>
      <c r="V121" t="s">
        <v>57</v>
      </c>
      <c r="W121">
        <v>4</v>
      </c>
      <c r="X121" t="s">
        <v>38</v>
      </c>
      <c r="Y121">
        <v>4</v>
      </c>
      <c r="Z121" t="s">
        <v>39</v>
      </c>
    </row>
    <row r="122" spans="1:26" x14ac:dyDescent="0.3">
      <c r="A122" t="s">
        <v>322</v>
      </c>
      <c r="B122" s="2">
        <v>46002</v>
      </c>
      <c r="C122" t="s">
        <v>323</v>
      </c>
      <c r="D122" t="s">
        <v>80</v>
      </c>
      <c r="E122" t="s">
        <v>29</v>
      </c>
      <c r="F122">
        <v>39</v>
      </c>
      <c r="G122" t="s">
        <v>67</v>
      </c>
      <c r="H122" t="s">
        <v>68</v>
      </c>
      <c r="I122" t="s">
        <v>67</v>
      </c>
      <c r="J122" t="s">
        <v>125</v>
      </c>
      <c r="K122">
        <v>2</v>
      </c>
      <c r="L122">
        <v>14902</v>
      </c>
      <c r="M122">
        <v>20</v>
      </c>
      <c r="N122">
        <v>5960.8</v>
      </c>
      <c r="O122">
        <v>4291.78</v>
      </c>
      <c r="P122">
        <v>348</v>
      </c>
      <c r="Q122">
        <v>28482.98</v>
      </c>
      <c r="R122" t="s">
        <v>83</v>
      </c>
      <c r="S122" t="s">
        <v>63</v>
      </c>
      <c r="T122" t="s">
        <v>76</v>
      </c>
      <c r="U122" t="s">
        <v>77</v>
      </c>
      <c r="V122" t="s">
        <v>57</v>
      </c>
      <c r="W122">
        <v>8</v>
      </c>
      <c r="X122" t="s">
        <v>38</v>
      </c>
      <c r="Y122">
        <v>1</v>
      </c>
      <c r="Z122" t="s">
        <v>58</v>
      </c>
    </row>
    <row r="123" spans="1:26" x14ac:dyDescent="0.3">
      <c r="A123" t="s">
        <v>324</v>
      </c>
      <c r="B123" s="2">
        <v>45898</v>
      </c>
      <c r="C123" t="s">
        <v>325</v>
      </c>
      <c r="D123" t="s">
        <v>89</v>
      </c>
      <c r="E123" t="s">
        <v>29</v>
      </c>
      <c r="F123">
        <v>30</v>
      </c>
      <c r="G123" t="s">
        <v>51</v>
      </c>
      <c r="H123" t="s">
        <v>52</v>
      </c>
      <c r="I123" t="s">
        <v>51</v>
      </c>
      <c r="J123" t="s">
        <v>150</v>
      </c>
      <c r="K123">
        <v>2</v>
      </c>
      <c r="L123">
        <v>13003</v>
      </c>
      <c r="M123">
        <v>5</v>
      </c>
      <c r="N123">
        <v>1300.3</v>
      </c>
      <c r="O123">
        <v>4447.03</v>
      </c>
      <c r="P123">
        <v>199</v>
      </c>
      <c r="Q123">
        <v>29351.73</v>
      </c>
      <c r="R123" t="s">
        <v>33</v>
      </c>
      <c r="S123" t="s">
        <v>63</v>
      </c>
      <c r="T123" t="s">
        <v>46</v>
      </c>
      <c r="U123" t="s">
        <v>36</v>
      </c>
      <c r="V123" t="s">
        <v>37</v>
      </c>
      <c r="W123">
        <v>1</v>
      </c>
      <c r="X123" t="s">
        <v>47</v>
      </c>
      <c r="Y123">
        <v>5</v>
      </c>
      <c r="Z123" t="s">
        <v>39</v>
      </c>
    </row>
    <row r="124" spans="1:26" x14ac:dyDescent="0.3">
      <c r="A124" t="s">
        <v>326</v>
      </c>
      <c r="B124" s="2">
        <v>45907</v>
      </c>
      <c r="C124" t="s">
        <v>327</v>
      </c>
      <c r="D124" t="s">
        <v>50</v>
      </c>
      <c r="E124" t="s">
        <v>43</v>
      </c>
      <c r="F124">
        <v>44</v>
      </c>
      <c r="G124" t="s">
        <v>74</v>
      </c>
      <c r="H124" t="s">
        <v>31</v>
      </c>
      <c r="I124" t="s">
        <v>74</v>
      </c>
      <c r="J124" t="s">
        <v>75</v>
      </c>
      <c r="K124">
        <v>5</v>
      </c>
      <c r="L124">
        <v>7255</v>
      </c>
      <c r="M124">
        <v>5</v>
      </c>
      <c r="N124">
        <v>1813.75</v>
      </c>
      <c r="O124">
        <v>6203.02</v>
      </c>
      <c r="P124">
        <v>388</v>
      </c>
      <c r="Q124">
        <v>41052.28</v>
      </c>
      <c r="R124" t="s">
        <v>45</v>
      </c>
      <c r="S124" t="s">
        <v>34</v>
      </c>
      <c r="T124" t="s">
        <v>55</v>
      </c>
      <c r="U124" t="s">
        <v>56</v>
      </c>
      <c r="V124" t="s">
        <v>57</v>
      </c>
      <c r="W124">
        <v>10</v>
      </c>
      <c r="X124" t="s">
        <v>47</v>
      </c>
      <c r="Y124">
        <v>2</v>
      </c>
      <c r="Z124" t="s">
        <v>58</v>
      </c>
    </row>
    <row r="125" spans="1:26" x14ac:dyDescent="0.3">
      <c r="A125" t="s">
        <v>328</v>
      </c>
      <c r="B125" s="2">
        <v>45897</v>
      </c>
      <c r="C125" t="s">
        <v>323</v>
      </c>
      <c r="D125" t="s">
        <v>111</v>
      </c>
      <c r="E125" t="s">
        <v>29</v>
      </c>
      <c r="F125">
        <v>39</v>
      </c>
      <c r="G125" t="s">
        <v>99</v>
      </c>
      <c r="H125" t="s">
        <v>52</v>
      </c>
      <c r="I125" t="s">
        <v>99</v>
      </c>
      <c r="J125" t="s">
        <v>112</v>
      </c>
      <c r="K125">
        <v>1</v>
      </c>
      <c r="L125">
        <v>31663</v>
      </c>
      <c r="M125">
        <v>5</v>
      </c>
      <c r="N125">
        <v>1583.15</v>
      </c>
      <c r="O125">
        <v>5414.37</v>
      </c>
      <c r="P125">
        <v>166</v>
      </c>
      <c r="Q125">
        <v>35660.22</v>
      </c>
      <c r="R125" t="s">
        <v>83</v>
      </c>
      <c r="S125" t="s">
        <v>34</v>
      </c>
      <c r="T125" t="s">
        <v>55</v>
      </c>
      <c r="U125" t="s">
        <v>56</v>
      </c>
      <c r="V125" t="s">
        <v>57</v>
      </c>
      <c r="W125">
        <v>1</v>
      </c>
      <c r="X125" t="s">
        <v>47</v>
      </c>
      <c r="Y125">
        <v>2</v>
      </c>
      <c r="Z125" t="s">
        <v>47</v>
      </c>
    </row>
    <row r="126" spans="1:26" x14ac:dyDescent="0.3">
      <c r="A126" t="s">
        <v>329</v>
      </c>
      <c r="B126" s="2">
        <v>45870</v>
      </c>
      <c r="C126" t="s">
        <v>330</v>
      </c>
      <c r="D126" t="s">
        <v>66</v>
      </c>
      <c r="E126" t="s">
        <v>29</v>
      </c>
      <c r="F126">
        <v>40</v>
      </c>
      <c r="G126" t="s">
        <v>99</v>
      </c>
      <c r="H126" t="s">
        <v>52</v>
      </c>
      <c r="I126" t="s">
        <v>99</v>
      </c>
      <c r="J126" t="s">
        <v>53</v>
      </c>
      <c r="K126">
        <v>2</v>
      </c>
      <c r="L126">
        <v>48930</v>
      </c>
      <c r="M126">
        <v>10</v>
      </c>
      <c r="N126">
        <v>9786</v>
      </c>
      <c r="O126">
        <v>15853.32</v>
      </c>
      <c r="P126">
        <v>400</v>
      </c>
      <c r="Q126">
        <v>104327.32</v>
      </c>
      <c r="R126" t="s">
        <v>83</v>
      </c>
      <c r="S126" t="s">
        <v>63</v>
      </c>
      <c r="T126" t="s">
        <v>76</v>
      </c>
      <c r="U126" t="s">
        <v>77</v>
      </c>
      <c r="V126" t="s">
        <v>57</v>
      </c>
      <c r="W126">
        <v>10</v>
      </c>
      <c r="X126" t="s">
        <v>38</v>
      </c>
      <c r="Y126">
        <v>1</v>
      </c>
      <c r="Z126" t="s">
        <v>58</v>
      </c>
    </row>
    <row r="127" spans="1:26" x14ac:dyDescent="0.3">
      <c r="A127" t="s">
        <v>331</v>
      </c>
      <c r="B127" s="2">
        <v>46079</v>
      </c>
      <c r="C127" t="s">
        <v>332</v>
      </c>
      <c r="D127" t="s">
        <v>50</v>
      </c>
      <c r="E127" t="s">
        <v>43</v>
      </c>
      <c r="F127">
        <v>42</v>
      </c>
      <c r="G127" t="s">
        <v>139</v>
      </c>
      <c r="H127" t="s">
        <v>31</v>
      </c>
      <c r="I127" t="s">
        <v>139</v>
      </c>
      <c r="J127" t="s">
        <v>125</v>
      </c>
      <c r="K127">
        <v>4</v>
      </c>
      <c r="L127">
        <v>11876</v>
      </c>
      <c r="M127">
        <v>20</v>
      </c>
      <c r="N127">
        <v>9500.7999999999993</v>
      </c>
      <c r="O127">
        <v>6840.58</v>
      </c>
      <c r="P127">
        <v>31</v>
      </c>
      <c r="Q127">
        <v>44874.78</v>
      </c>
      <c r="R127" t="s">
        <v>83</v>
      </c>
      <c r="S127" t="s">
        <v>34</v>
      </c>
      <c r="T127" t="s">
        <v>35</v>
      </c>
      <c r="U127" t="s">
        <v>36</v>
      </c>
      <c r="V127" t="s">
        <v>37</v>
      </c>
      <c r="W127">
        <v>3</v>
      </c>
      <c r="X127" t="s">
        <v>38</v>
      </c>
      <c r="Y127">
        <v>3</v>
      </c>
      <c r="Z127" t="s">
        <v>47</v>
      </c>
    </row>
    <row r="128" spans="1:26" x14ac:dyDescent="0.3">
      <c r="A128" t="s">
        <v>333</v>
      </c>
      <c r="B128" s="2">
        <v>46017</v>
      </c>
      <c r="C128" t="s">
        <v>334</v>
      </c>
      <c r="D128" t="s">
        <v>66</v>
      </c>
      <c r="E128" t="s">
        <v>29</v>
      </c>
      <c r="F128">
        <v>18</v>
      </c>
      <c r="G128" t="s">
        <v>51</v>
      </c>
      <c r="H128" t="s">
        <v>52</v>
      </c>
      <c r="I128" t="s">
        <v>51</v>
      </c>
      <c r="J128" t="s">
        <v>102</v>
      </c>
      <c r="K128">
        <v>3</v>
      </c>
      <c r="L128">
        <v>6898</v>
      </c>
      <c r="M128">
        <v>10</v>
      </c>
      <c r="N128">
        <v>2069.4</v>
      </c>
      <c r="O128">
        <v>3352.43</v>
      </c>
      <c r="P128">
        <v>417</v>
      </c>
      <c r="Q128">
        <v>22394.03</v>
      </c>
      <c r="R128" t="s">
        <v>83</v>
      </c>
      <c r="S128" t="s">
        <v>34</v>
      </c>
      <c r="T128" t="s">
        <v>76</v>
      </c>
      <c r="U128" t="s">
        <v>77</v>
      </c>
      <c r="V128" t="s">
        <v>57</v>
      </c>
      <c r="W128">
        <v>4</v>
      </c>
      <c r="X128" t="s">
        <v>38</v>
      </c>
      <c r="Y128">
        <v>2</v>
      </c>
      <c r="Z128" t="s">
        <v>39</v>
      </c>
    </row>
    <row r="129" spans="1:26" x14ac:dyDescent="0.3">
      <c r="A129" t="s">
        <v>335</v>
      </c>
      <c r="B129" s="2">
        <v>46114</v>
      </c>
      <c r="C129" t="s">
        <v>336</v>
      </c>
      <c r="D129" t="s">
        <v>50</v>
      </c>
      <c r="E129" t="s">
        <v>43</v>
      </c>
      <c r="F129">
        <v>33</v>
      </c>
      <c r="G129" t="s">
        <v>94</v>
      </c>
      <c r="H129" t="s">
        <v>31</v>
      </c>
      <c r="I129" t="s">
        <v>94</v>
      </c>
      <c r="J129" t="s">
        <v>69</v>
      </c>
      <c r="K129">
        <v>5</v>
      </c>
      <c r="L129">
        <v>27664</v>
      </c>
      <c r="M129">
        <v>0</v>
      </c>
      <c r="N129">
        <v>0</v>
      </c>
      <c r="O129">
        <v>24897.599999999999</v>
      </c>
      <c r="P129">
        <v>18</v>
      </c>
      <c r="Q129">
        <v>163235.6</v>
      </c>
      <c r="R129" t="s">
        <v>33</v>
      </c>
      <c r="S129" t="s">
        <v>63</v>
      </c>
      <c r="T129" t="s">
        <v>103</v>
      </c>
      <c r="U129" t="s">
        <v>103</v>
      </c>
      <c r="V129" t="s">
        <v>57</v>
      </c>
      <c r="W129">
        <v>10</v>
      </c>
      <c r="X129" t="s">
        <v>47</v>
      </c>
      <c r="Y129">
        <v>3</v>
      </c>
      <c r="Z129" t="s">
        <v>47</v>
      </c>
    </row>
    <row r="130" spans="1:26" x14ac:dyDescent="0.3">
      <c r="A130" t="s">
        <v>337</v>
      </c>
      <c r="B130" s="2">
        <v>45899</v>
      </c>
      <c r="C130" t="s">
        <v>338</v>
      </c>
      <c r="D130" t="s">
        <v>28</v>
      </c>
      <c r="E130" t="s">
        <v>43</v>
      </c>
      <c r="F130">
        <v>25</v>
      </c>
      <c r="G130" t="s">
        <v>74</v>
      </c>
      <c r="H130" t="s">
        <v>31</v>
      </c>
      <c r="I130" t="s">
        <v>74</v>
      </c>
      <c r="J130" t="s">
        <v>125</v>
      </c>
      <c r="K130">
        <v>5</v>
      </c>
      <c r="L130">
        <v>31878</v>
      </c>
      <c r="M130">
        <v>5</v>
      </c>
      <c r="N130">
        <v>7969.5</v>
      </c>
      <c r="O130">
        <v>27255.69</v>
      </c>
      <c r="P130">
        <v>288</v>
      </c>
      <c r="Q130">
        <v>178964.19</v>
      </c>
      <c r="R130" t="s">
        <v>45</v>
      </c>
      <c r="S130" t="s">
        <v>63</v>
      </c>
      <c r="T130" t="s">
        <v>95</v>
      </c>
      <c r="U130" t="s">
        <v>96</v>
      </c>
      <c r="V130" t="s">
        <v>57</v>
      </c>
      <c r="W130">
        <v>7</v>
      </c>
      <c r="X130" t="s">
        <v>38</v>
      </c>
      <c r="Y130">
        <v>4</v>
      </c>
      <c r="Z130" t="s">
        <v>47</v>
      </c>
    </row>
    <row r="131" spans="1:26" x14ac:dyDescent="0.3">
      <c r="A131" t="s">
        <v>339</v>
      </c>
      <c r="B131" s="2">
        <v>46019</v>
      </c>
      <c r="C131" t="s">
        <v>340</v>
      </c>
      <c r="D131" t="s">
        <v>89</v>
      </c>
      <c r="E131" t="s">
        <v>29</v>
      </c>
      <c r="F131">
        <v>40</v>
      </c>
      <c r="G131" t="s">
        <v>139</v>
      </c>
      <c r="H131" t="s">
        <v>31</v>
      </c>
      <c r="I131" t="s">
        <v>139</v>
      </c>
      <c r="J131" t="s">
        <v>112</v>
      </c>
      <c r="K131">
        <v>2</v>
      </c>
      <c r="L131">
        <v>33074</v>
      </c>
      <c r="M131">
        <v>10</v>
      </c>
      <c r="N131">
        <v>6614.8</v>
      </c>
      <c r="O131">
        <v>10715.98</v>
      </c>
      <c r="P131">
        <v>377</v>
      </c>
      <c r="Q131">
        <v>70626.179999999993</v>
      </c>
      <c r="R131" t="s">
        <v>33</v>
      </c>
      <c r="S131" t="s">
        <v>34</v>
      </c>
      <c r="T131" t="s">
        <v>103</v>
      </c>
      <c r="U131" t="s">
        <v>103</v>
      </c>
      <c r="V131" t="s">
        <v>57</v>
      </c>
      <c r="W131">
        <v>4</v>
      </c>
      <c r="X131" t="s">
        <v>47</v>
      </c>
      <c r="Y131">
        <v>3</v>
      </c>
      <c r="Z131" t="s">
        <v>39</v>
      </c>
    </row>
    <row r="132" spans="1:26" x14ac:dyDescent="0.3">
      <c r="A132" t="s">
        <v>341</v>
      </c>
      <c r="B132" s="2">
        <v>46112</v>
      </c>
      <c r="C132" t="s">
        <v>342</v>
      </c>
      <c r="D132" t="s">
        <v>108</v>
      </c>
      <c r="E132" t="s">
        <v>29</v>
      </c>
      <c r="F132">
        <v>29</v>
      </c>
      <c r="G132" t="s">
        <v>134</v>
      </c>
      <c r="H132" t="s">
        <v>31</v>
      </c>
      <c r="I132" t="s">
        <v>134</v>
      </c>
      <c r="J132" t="s">
        <v>102</v>
      </c>
      <c r="K132">
        <v>1</v>
      </c>
      <c r="L132">
        <v>24321</v>
      </c>
      <c r="M132">
        <v>10</v>
      </c>
      <c r="N132">
        <v>2432.1</v>
      </c>
      <c r="O132">
        <v>3940</v>
      </c>
      <c r="P132">
        <v>350</v>
      </c>
      <c r="Q132">
        <v>26178.9</v>
      </c>
      <c r="R132" t="s">
        <v>45</v>
      </c>
      <c r="S132" t="s">
        <v>63</v>
      </c>
      <c r="T132" t="s">
        <v>103</v>
      </c>
      <c r="U132" t="s">
        <v>103</v>
      </c>
      <c r="V132" t="s">
        <v>57</v>
      </c>
      <c r="W132">
        <v>3</v>
      </c>
      <c r="X132" t="s">
        <v>47</v>
      </c>
      <c r="Y132">
        <v>5</v>
      </c>
      <c r="Z132" t="s">
        <v>39</v>
      </c>
    </row>
    <row r="133" spans="1:26" x14ac:dyDescent="0.3">
      <c r="A133" t="s">
        <v>343</v>
      </c>
      <c r="B133" s="2">
        <v>45800</v>
      </c>
      <c r="C133" t="s">
        <v>344</v>
      </c>
      <c r="D133" t="s">
        <v>108</v>
      </c>
      <c r="E133" t="s">
        <v>29</v>
      </c>
      <c r="F133">
        <v>45</v>
      </c>
      <c r="G133" t="s">
        <v>74</v>
      </c>
      <c r="H133" t="s">
        <v>31</v>
      </c>
      <c r="I133" t="s">
        <v>74</v>
      </c>
      <c r="J133" t="s">
        <v>150</v>
      </c>
      <c r="K133">
        <v>4</v>
      </c>
      <c r="L133">
        <v>42895</v>
      </c>
      <c r="M133">
        <v>15</v>
      </c>
      <c r="N133">
        <v>25737</v>
      </c>
      <c r="O133">
        <v>26251.74</v>
      </c>
      <c r="P133">
        <v>98</v>
      </c>
      <c r="Q133">
        <v>172192.74</v>
      </c>
      <c r="R133" t="s">
        <v>83</v>
      </c>
      <c r="S133" t="s">
        <v>34</v>
      </c>
      <c r="T133" t="s">
        <v>95</v>
      </c>
      <c r="U133" t="s">
        <v>96</v>
      </c>
      <c r="V133" t="s">
        <v>57</v>
      </c>
      <c r="W133">
        <v>9</v>
      </c>
      <c r="X133" t="s">
        <v>47</v>
      </c>
      <c r="Y133">
        <v>1</v>
      </c>
      <c r="Z133" t="s">
        <v>91</v>
      </c>
    </row>
    <row r="134" spans="1:26" x14ac:dyDescent="0.3">
      <c r="A134" t="s">
        <v>345</v>
      </c>
      <c r="B134" s="2">
        <v>46058</v>
      </c>
      <c r="C134" t="s">
        <v>346</v>
      </c>
      <c r="D134" t="s">
        <v>28</v>
      </c>
      <c r="E134" t="s">
        <v>29</v>
      </c>
      <c r="F134">
        <v>58</v>
      </c>
      <c r="G134" t="s">
        <v>44</v>
      </c>
      <c r="H134" t="s">
        <v>31</v>
      </c>
      <c r="I134" t="s">
        <v>44</v>
      </c>
      <c r="J134" t="s">
        <v>125</v>
      </c>
      <c r="K134">
        <v>5</v>
      </c>
      <c r="L134">
        <v>48980</v>
      </c>
      <c r="M134">
        <v>0</v>
      </c>
      <c r="N134">
        <v>0</v>
      </c>
      <c r="O134">
        <v>44082</v>
      </c>
      <c r="P134">
        <v>96</v>
      </c>
      <c r="Q134">
        <v>289078</v>
      </c>
      <c r="R134" t="s">
        <v>83</v>
      </c>
      <c r="S134" t="s">
        <v>34</v>
      </c>
      <c r="T134" t="s">
        <v>76</v>
      </c>
      <c r="U134" t="s">
        <v>77</v>
      </c>
      <c r="V134" t="s">
        <v>57</v>
      </c>
      <c r="W134">
        <v>5</v>
      </c>
      <c r="X134" t="s">
        <v>47</v>
      </c>
      <c r="Y134">
        <v>2</v>
      </c>
      <c r="Z134" t="s">
        <v>47</v>
      </c>
    </row>
    <row r="135" spans="1:26" x14ac:dyDescent="0.3">
      <c r="A135" t="s">
        <v>347</v>
      </c>
      <c r="B135" s="2">
        <v>45852</v>
      </c>
      <c r="C135" t="s">
        <v>225</v>
      </c>
      <c r="D135" t="s">
        <v>50</v>
      </c>
      <c r="E135" t="s">
        <v>43</v>
      </c>
      <c r="F135">
        <v>33</v>
      </c>
      <c r="G135" t="s">
        <v>134</v>
      </c>
      <c r="H135" t="s">
        <v>31</v>
      </c>
      <c r="I135" t="s">
        <v>134</v>
      </c>
      <c r="J135" t="s">
        <v>150</v>
      </c>
      <c r="K135">
        <v>1</v>
      </c>
      <c r="L135">
        <v>49527</v>
      </c>
      <c r="M135">
        <v>0</v>
      </c>
      <c r="N135">
        <v>0</v>
      </c>
      <c r="O135">
        <v>8914.86</v>
      </c>
      <c r="P135">
        <v>456</v>
      </c>
      <c r="Q135">
        <v>58897.86</v>
      </c>
      <c r="R135" t="s">
        <v>54</v>
      </c>
      <c r="S135" t="s">
        <v>34</v>
      </c>
      <c r="T135" t="s">
        <v>46</v>
      </c>
      <c r="U135" t="s">
        <v>36</v>
      </c>
      <c r="V135" t="s">
        <v>37</v>
      </c>
      <c r="W135">
        <v>5</v>
      </c>
      <c r="X135" t="s">
        <v>47</v>
      </c>
      <c r="Y135">
        <v>5</v>
      </c>
      <c r="Z135" t="s">
        <v>47</v>
      </c>
    </row>
    <row r="136" spans="1:26" x14ac:dyDescent="0.3">
      <c r="A136" t="s">
        <v>348</v>
      </c>
      <c r="B136" s="2">
        <v>45771</v>
      </c>
      <c r="C136" t="s">
        <v>349</v>
      </c>
      <c r="D136" t="s">
        <v>73</v>
      </c>
      <c r="E136" t="s">
        <v>29</v>
      </c>
      <c r="F136">
        <v>55</v>
      </c>
      <c r="G136" t="s">
        <v>134</v>
      </c>
      <c r="H136" t="s">
        <v>31</v>
      </c>
      <c r="I136" t="s">
        <v>134</v>
      </c>
      <c r="J136" t="s">
        <v>102</v>
      </c>
      <c r="K136">
        <v>4</v>
      </c>
      <c r="L136">
        <v>24297</v>
      </c>
      <c r="M136">
        <v>5</v>
      </c>
      <c r="N136">
        <v>4859.3999999999996</v>
      </c>
      <c r="O136">
        <v>16619.150000000001</v>
      </c>
      <c r="P136">
        <v>167</v>
      </c>
      <c r="Q136">
        <v>109114.75</v>
      </c>
      <c r="R136" t="s">
        <v>45</v>
      </c>
      <c r="S136" t="s">
        <v>34</v>
      </c>
      <c r="T136" t="s">
        <v>95</v>
      </c>
      <c r="U136" t="s">
        <v>96</v>
      </c>
      <c r="V136" t="s">
        <v>57</v>
      </c>
      <c r="W136">
        <v>5</v>
      </c>
      <c r="X136" t="s">
        <v>38</v>
      </c>
      <c r="Y136">
        <v>1</v>
      </c>
      <c r="Z136" t="s">
        <v>39</v>
      </c>
    </row>
    <row r="137" spans="1:26" x14ac:dyDescent="0.3">
      <c r="A137" t="s">
        <v>350</v>
      </c>
      <c r="B137" s="2">
        <v>45793</v>
      </c>
      <c r="C137" t="s">
        <v>351</v>
      </c>
      <c r="D137" t="s">
        <v>80</v>
      </c>
      <c r="E137" t="s">
        <v>43</v>
      </c>
      <c r="F137">
        <v>57</v>
      </c>
      <c r="G137" t="s">
        <v>74</v>
      </c>
      <c r="H137" t="s">
        <v>31</v>
      </c>
      <c r="I137" t="s">
        <v>74</v>
      </c>
      <c r="J137" t="s">
        <v>112</v>
      </c>
      <c r="K137">
        <v>5</v>
      </c>
      <c r="L137">
        <v>47683</v>
      </c>
      <c r="M137">
        <v>5</v>
      </c>
      <c r="N137">
        <v>11920.75</v>
      </c>
      <c r="O137">
        <v>40768.959999999999</v>
      </c>
      <c r="P137">
        <v>420</v>
      </c>
      <c r="Q137">
        <v>267683.21000000002</v>
      </c>
      <c r="R137" t="s">
        <v>33</v>
      </c>
      <c r="S137" t="s">
        <v>34</v>
      </c>
      <c r="T137" t="s">
        <v>103</v>
      </c>
      <c r="U137" t="s">
        <v>103</v>
      </c>
      <c r="V137" t="s">
        <v>57</v>
      </c>
      <c r="W137">
        <v>4</v>
      </c>
      <c r="X137" t="s">
        <v>47</v>
      </c>
      <c r="Y137">
        <v>4</v>
      </c>
      <c r="Z137" t="s">
        <v>39</v>
      </c>
    </row>
    <row r="138" spans="1:26" x14ac:dyDescent="0.3">
      <c r="A138" t="s">
        <v>352</v>
      </c>
      <c r="B138" s="2">
        <v>45910</v>
      </c>
      <c r="C138" t="s">
        <v>353</v>
      </c>
      <c r="D138" t="s">
        <v>61</v>
      </c>
      <c r="E138" t="s">
        <v>43</v>
      </c>
      <c r="F138">
        <v>59</v>
      </c>
      <c r="G138" t="s">
        <v>44</v>
      </c>
      <c r="H138" t="s">
        <v>31</v>
      </c>
      <c r="I138" t="s">
        <v>44</v>
      </c>
      <c r="J138" t="s">
        <v>201</v>
      </c>
      <c r="K138">
        <v>3</v>
      </c>
      <c r="L138">
        <v>48486</v>
      </c>
      <c r="M138">
        <v>0</v>
      </c>
      <c r="N138">
        <v>0</v>
      </c>
      <c r="O138">
        <v>26182.44</v>
      </c>
      <c r="P138">
        <v>460</v>
      </c>
      <c r="Q138">
        <v>172100.44</v>
      </c>
      <c r="R138" t="s">
        <v>54</v>
      </c>
      <c r="S138" t="s">
        <v>34</v>
      </c>
      <c r="T138" t="s">
        <v>84</v>
      </c>
      <c r="U138" t="s">
        <v>85</v>
      </c>
      <c r="V138" t="s">
        <v>86</v>
      </c>
      <c r="W138">
        <v>6</v>
      </c>
      <c r="X138" t="s">
        <v>38</v>
      </c>
      <c r="Y138">
        <v>2</v>
      </c>
      <c r="Z138" t="s">
        <v>58</v>
      </c>
    </row>
    <row r="139" spans="1:26" x14ac:dyDescent="0.3">
      <c r="A139" t="s">
        <v>354</v>
      </c>
      <c r="B139" s="2">
        <v>45844</v>
      </c>
      <c r="C139" t="s">
        <v>355</v>
      </c>
      <c r="D139" t="s">
        <v>80</v>
      </c>
      <c r="E139" t="s">
        <v>43</v>
      </c>
      <c r="F139">
        <v>18</v>
      </c>
      <c r="G139" t="s">
        <v>74</v>
      </c>
      <c r="H139" t="s">
        <v>31</v>
      </c>
      <c r="I139" t="s">
        <v>74</v>
      </c>
      <c r="J139" t="s">
        <v>62</v>
      </c>
      <c r="K139">
        <v>4</v>
      </c>
      <c r="L139">
        <v>35587</v>
      </c>
      <c r="M139">
        <v>10</v>
      </c>
      <c r="N139">
        <v>14234.8</v>
      </c>
      <c r="O139">
        <v>23060.38</v>
      </c>
      <c r="P139">
        <v>243</v>
      </c>
      <c r="Q139">
        <v>151416.57999999999</v>
      </c>
      <c r="R139" t="s">
        <v>83</v>
      </c>
      <c r="S139" t="s">
        <v>34</v>
      </c>
      <c r="T139" t="s">
        <v>70</v>
      </c>
      <c r="U139" t="s">
        <v>56</v>
      </c>
      <c r="V139" t="s">
        <v>57</v>
      </c>
      <c r="W139">
        <v>3</v>
      </c>
      <c r="X139" t="s">
        <v>38</v>
      </c>
      <c r="Y139">
        <v>4</v>
      </c>
      <c r="Z139" t="s">
        <v>91</v>
      </c>
    </row>
    <row r="140" spans="1:26" x14ac:dyDescent="0.3">
      <c r="A140" t="s">
        <v>356</v>
      </c>
      <c r="B140" s="2">
        <v>45870</v>
      </c>
      <c r="C140" t="s">
        <v>332</v>
      </c>
      <c r="D140" t="s">
        <v>28</v>
      </c>
      <c r="E140" t="s">
        <v>43</v>
      </c>
      <c r="F140">
        <v>47</v>
      </c>
      <c r="G140" t="s">
        <v>90</v>
      </c>
      <c r="H140" t="s">
        <v>31</v>
      </c>
      <c r="I140" t="s">
        <v>90</v>
      </c>
      <c r="J140" t="s">
        <v>150</v>
      </c>
      <c r="K140">
        <v>5</v>
      </c>
      <c r="L140">
        <v>38537</v>
      </c>
      <c r="M140">
        <v>20</v>
      </c>
      <c r="N140">
        <v>38537</v>
      </c>
      <c r="O140">
        <v>27746.639999999999</v>
      </c>
      <c r="P140">
        <v>428</v>
      </c>
      <c r="Q140">
        <v>182322.64</v>
      </c>
      <c r="R140" t="s">
        <v>54</v>
      </c>
      <c r="S140" t="s">
        <v>63</v>
      </c>
      <c r="T140" t="s">
        <v>84</v>
      </c>
      <c r="U140" t="s">
        <v>85</v>
      </c>
      <c r="V140" t="s">
        <v>86</v>
      </c>
      <c r="W140">
        <v>8</v>
      </c>
      <c r="X140" t="s">
        <v>38</v>
      </c>
      <c r="Y140">
        <v>1</v>
      </c>
      <c r="Z140" t="s">
        <v>91</v>
      </c>
    </row>
    <row r="141" spans="1:26" x14ac:dyDescent="0.3">
      <c r="A141" t="s">
        <v>357</v>
      </c>
      <c r="B141" s="2">
        <v>46021</v>
      </c>
      <c r="C141" t="s">
        <v>279</v>
      </c>
      <c r="D141" t="s">
        <v>42</v>
      </c>
      <c r="E141" t="s">
        <v>29</v>
      </c>
      <c r="F141">
        <v>18</v>
      </c>
      <c r="G141" t="s">
        <v>90</v>
      </c>
      <c r="H141" t="s">
        <v>31</v>
      </c>
      <c r="I141" t="s">
        <v>90</v>
      </c>
      <c r="J141" t="s">
        <v>125</v>
      </c>
      <c r="K141">
        <v>5</v>
      </c>
      <c r="L141">
        <v>2675</v>
      </c>
      <c r="M141">
        <v>15</v>
      </c>
      <c r="N141">
        <v>2006.25</v>
      </c>
      <c r="O141">
        <v>2046.38</v>
      </c>
      <c r="P141">
        <v>318</v>
      </c>
      <c r="Q141">
        <v>13733.12</v>
      </c>
      <c r="R141" t="s">
        <v>33</v>
      </c>
      <c r="S141" t="s">
        <v>34</v>
      </c>
      <c r="T141" t="s">
        <v>46</v>
      </c>
      <c r="U141" t="s">
        <v>36</v>
      </c>
      <c r="V141" t="s">
        <v>37</v>
      </c>
      <c r="W141">
        <v>3</v>
      </c>
      <c r="X141" t="s">
        <v>47</v>
      </c>
      <c r="Y141">
        <v>1</v>
      </c>
      <c r="Z141" t="s">
        <v>58</v>
      </c>
    </row>
    <row r="142" spans="1:26" x14ac:dyDescent="0.3">
      <c r="A142" t="s">
        <v>358</v>
      </c>
      <c r="B142" s="2">
        <v>45776</v>
      </c>
      <c r="C142" t="s">
        <v>359</v>
      </c>
      <c r="D142" t="s">
        <v>80</v>
      </c>
      <c r="E142" t="s">
        <v>43</v>
      </c>
      <c r="F142">
        <v>43</v>
      </c>
      <c r="G142" t="s">
        <v>67</v>
      </c>
      <c r="H142" t="s">
        <v>68</v>
      </c>
      <c r="I142" t="s">
        <v>67</v>
      </c>
      <c r="J142" t="s">
        <v>150</v>
      </c>
      <c r="K142">
        <v>3</v>
      </c>
      <c r="L142">
        <v>31905</v>
      </c>
      <c r="M142">
        <v>5</v>
      </c>
      <c r="N142">
        <v>4785.75</v>
      </c>
      <c r="O142">
        <v>16367.26</v>
      </c>
      <c r="P142">
        <v>396</v>
      </c>
      <c r="Q142">
        <v>107692.51</v>
      </c>
      <c r="R142" t="s">
        <v>83</v>
      </c>
      <c r="S142" t="s">
        <v>63</v>
      </c>
      <c r="T142" t="s">
        <v>70</v>
      </c>
      <c r="U142" t="s">
        <v>56</v>
      </c>
      <c r="V142" t="s">
        <v>57</v>
      </c>
      <c r="W142">
        <v>2</v>
      </c>
      <c r="X142" t="s">
        <v>47</v>
      </c>
      <c r="Y142">
        <v>5</v>
      </c>
      <c r="Z142" t="s">
        <v>58</v>
      </c>
    </row>
    <row r="143" spans="1:26" x14ac:dyDescent="0.3">
      <c r="A143" t="s">
        <v>360</v>
      </c>
      <c r="B143" s="2">
        <v>45869</v>
      </c>
      <c r="C143" t="s">
        <v>105</v>
      </c>
      <c r="D143" t="s">
        <v>28</v>
      </c>
      <c r="E143" t="s">
        <v>43</v>
      </c>
      <c r="F143">
        <v>60</v>
      </c>
      <c r="G143" t="s">
        <v>90</v>
      </c>
      <c r="H143" t="s">
        <v>31</v>
      </c>
      <c r="I143" t="s">
        <v>90</v>
      </c>
      <c r="J143" t="s">
        <v>201</v>
      </c>
      <c r="K143">
        <v>1</v>
      </c>
      <c r="L143">
        <v>37253</v>
      </c>
      <c r="M143">
        <v>5</v>
      </c>
      <c r="N143">
        <v>1862.65</v>
      </c>
      <c r="O143">
        <v>6370.26</v>
      </c>
      <c r="P143">
        <v>234</v>
      </c>
      <c r="Q143">
        <v>41994.61</v>
      </c>
      <c r="R143" t="s">
        <v>45</v>
      </c>
      <c r="S143" t="s">
        <v>34</v>
      </c>
      <c r="T143" t="s">
        <v>76</v>
      </c>
      <c r="U143" t="s">
        <v>77</v>
      </c>
      <c r="V143" t="s">
        <v>57</v>
      </c>
      <c r="W143">
        <v>4</v>
      </c>
      <c r="X143" t="s">
        <v>38</v>
      </c>
      <c r="Y143">
        <v>1</v>
      </c>
      <c r="Z143" t="s">
        <v>39</v>
      </c>
    </row>
    <row r="144" spans="1:26" x14ac:dyDescent="0.3">
      <c r="A144" t="s">
        <v>361</v>
      </c>
      <c r="B144" s="2">
        <v>45941</v>
      </c>
      <c r="C144" t="s">
        <v>351</v>
      </c>
      <c r="D144" t="s">
        <v>80</v>
      </c>
      <c r="E144" t="s">
        <v>29</v>
      </c>
      <c r="F144">
        <v>24</v>
      </c>
      <c r="G144" t="s">
        <v>74</v>
      </c>
      <c r="H144" t="s">
        <v>31</v>
      </c>
      <c r="I144" t="s">
        <v>74</v>
      </c>
      <c r="J144" t="s">
        <v>112</v>
      </c>
      <c r="K144">
        <v>1</v>
      </c>
      <c r="L144">
        <v>7447</v>
      </c>
      <c r="M144">
        <v>20</v>
      </c>
      <c r="N144">
        <v>1489.4</v>
      </c>
      <c r="O144">
        <v>1072.3699999999999</v>
      </c>
      <c r="P144">
        <v>383</v>
      </c>
      <c r="Q144">
        <v>7412.97</v>
      </c>
      <c r="R144" t="s">
        <v>33</v>
      </c>
      <c r="S144" t="s">
        <v>34</v>
      </c>
      <c r="T144" t="s">
        <v>103</v>
      </c>
      <c r="U144" t="s">
        <v>103</v>
      </c>
      <c r="V144" t="s">
        <v>57</v>
      </c>
      <c r="W144">
        <v>6</v>
      </c>
      <c r="X144" t="s">
        <v>38</v>
      </c>
      <c r="Y144">
        <v>5</v>
      </c>
      <c r="Z144" t="s">
        <v>91</v>
      </c>
    </row>
    <row r="145" spans="1:26" x14ac:dyDescent="0.3">
      <c r="A145" t="s">
        <v>362</v>
      </c>
      <c r="B145" s="2">
        <v>45831</v>
      </c>
      <c r="C145" t="s">
        <v>363</v>
      </c>
      <c r="D145" t="s">
        <v>28</v>
      </c>
      <c r="E145" t="s">
        <v>29</v>
      </c>
      <c r="F145">
        <v>27</v>
      </c>
      <c r="G145" t="s">
        <v>94</v>
      </c>
      <c r="H145" t="s">
        <v>31</v>
      </c>
      <c r="I145" t="s">
        <v>94</v>
      </c>
      <c r="J145" t="s">
        <v>112</v>
      </c>
      <c r="K145">
        <v>3</v>
      </c>
      <c r="L145">
        <v>2465</v>
      </c>
      <c r="M145">
        <v>5</v>
      </c>
      <c r="N145">
        <v>369.75</v>
      </c>
      <c r="O145">
        <v>1264.54</v>
      </c>
      <c r="P145">
        <v>407</v>
      </c>
      <c r="Q145">
        <v>8696.7999999999993</v>
      </c>
      <c r="R145" t="s">
        <v>33</v>
      </c>
      <c r="S145" t="s">
        <v>63</v>
      </c>
      <c r="T145" t="s">
        <v>70</v>
      </c>
      <c r="U145" t="s">
        <v>56</v>
      </c>
      <c r="V145" t="s">
        <v>57</v>
      </c>
      <c r="W145">
        <v>5</v>
      </c>
      <c r="X145" t="s">
        <v>47</v>
      </c>
      <c r="Y145">
        <v>5</v>
      </c>
      <c r="Z145" t="s">
        <v>47</v>
      </c>
    </row>
    <row r="146" spans="1:26" x14ac:dyDescent="0.3">
      <c r="A146" t="s">
        <v>364</v>
      </c>
      <c r="B146" s="2">
        <v>45857</v>
      </c>
      <c r="C146" t="s">
        <v>365</v>
      </c>
      <c r="D146" t="s">
        <v>80</v>
      </c>
      <c r="E146" t="s">
        <v>43</v>
      </c>
      <c r="F146">
        <v>52</v>
      </c>
      <c r="G146" t="s">
        <v>94</v>
      </c>
      <c r="H146" t="s">
        <v>31</v>
      </c>
      <c r="I146" t="s">
        <v>94</v>
      </c>
      <c r="J146" t="s">
        <v>75</v>
      </c>
      <c r="K146">
        <v>2</v>
      </c>
      <c r="L146">
        <v>43125</v>
      </c>
      <c r="M146">
        <v>10</v>
      </c>
      <c r="N146">
        <v>8625</v>
      </c>
      <c r="O146">
        <v>13972.5</v>
      </c>
      <c r="P146">
        <v>153</v>
      </c>
      <c r="Q146">
        <v>91750.5</v>
      </c>
      <c r="R146" t="s">
        <v>33</v>
      </c>
      <c r="S146" t="s">
        <v>63</v>
      </c>
      <c r="T146" t="s">
        <v>95</v>
      </c>
      <c r="U146" t="s">
        <v>96</v>
      </c>
      <c r="V146" t="s">
        <v>57</v>
      </c>
      <c r="W146">
        <v>5</v>
      </c>
      <c r="X146" t="s">
        <v>47</v>
      </c>
      <c r="Y146">
        <v>2</v>
      </c>
      <c r="Z146" t="s">
        <v>47</v>
      </c>
    </row>
    <row r="147" spans="1:26" x14ac:dyDescent="0.3">
      <c r="A147" t="s">
        <v>366</v>
      </c>
      <c r="B147" s="2">
        <v>45786</v>
      </c>
      <c r="C147" t="s">
        <v>367</v>
      </c>
      <c r="D147" t="s">
        <v>73</v>
      </c>
      <c r="E147" t="s">
        <v>43</v>
      </c>
      <c r="F147">
        <v>48</v>
      </c>
      <c r="G147" t="s">
        <v>90</v>
      </c>
      <c r="H147" t="s">
        <v>31</v>
      </c>
      <c r="I147" t="s">
        <v>90</v>
      </c>
      <c r="J147" t="s">
        <v>125</v>
      </c>
      <c r="K147">
        <v>2</v>
      </c>
      <c r="L147">
        <v>25854</v>
      </c>
      <c r="M147">
        <v>15</v>
      </c>
      <c r="N147">
        <v>7756.2</v>
      </c>
      <c r="O147">
        <v>7911.32</v>
      </c>
      <c r="P147">
        <v>26</v>
      </c>
      <c r="Q147">
        <v>51889.120000000003</v>
      </c>
      <c r="R147" t="s">
        <v>54</v>
      </c>
      <c r="S147" t="s">
        <v>63</v>
      </c>
      <c r="T147" t="s">
        <v>70</v>
      </c>
      <c r="U147" t="s">
        <v>56</v>
      </c>
      <c r="V147" t="s">
        <v>57</v>
      </c>
      <c r="W147">
        <v>1</v>
      </c>
      <c r="X147" t="s">
        <v>47</v>
      </c>
      <c r="Y147">
        <v>5</v>
      </c>
      <c r="Z147" t="s">
        <v>58</v>
      </c>
    </row>
    <row r="148" spans="1:26" x14ac:dyDescent="0.3">
      <c r="A148" t="s">
        <v>368</v>
      </c>
      <c r="B148" s="2">
        <v>45939</v>
      </c>
      <c r="C148" t="s">
        <v>369</v>
      </c>
      <c r="D148" t="s">
        <v>80</v>
      </c>
      <c r="E148" t="s">
        <v>43</v>
      </c>
      <c r="F148">
        <v>24</v>
      </c>
      <c r="G148" t="s">
        <v>44</v>
      </c>
      <c r="H148" t="s">
        <v>31</v>
      </c>
      <c r="I148" t="s">
        <v>44</v>
      </c>
      <c r="J148" t="s">
        <v>53</v>
      </c>
      <c r="K148">
        <v>4</v>
      </c>
      <c r="L148">
        <v>24413</v>
      </c>
      <c r="M148">
        <v>0</v>
      </c>
      <c r="N148">
        <v>0</v>
      </c>
      <c r="O148">
        <v>17577.36</v>
      </c>
      <c r="P148">
        <v>0</v>
      </c>
      <c r="Q148">
        <v>115229.36</v>
      </c>
      <c r="R148" t="s">
        <v>54</v>
      </c>
      <c r="S148" t="s">
        <v>63</v>
      </c>
      <c r="T148" t="s">
        <v>35</v>
      </c>
      <c r="U148" t="s">
        <v>36</v>
      </c>
      <c r="V148" t="s">
        <v>37</v>
      </c>
      <c r="W148">
        <v>2</v>
      </c>
      <c r="X148" t="s">
        <v>38</v>
      </c>
      <c r="Y148">
        <v>1</v>
      </c>
      <c r="Z148" t="s">
        <v>91</v>
      </c>
    </row>
    <row r="149" spans="1:26" x14ac:dyDescent="0.3">
      <c r="A149" t="s">
        <v>370</v>
      </c>
      <c r="B149" s="2">
        <v>45947</v>
      </c>
      <c r="C149" t="s">
        <v>371</v>
      </c>
      <c r="D149" t="s">
        <v>111</v>
      </c>
      <c r="E149" t="s">
        <v>43</v>
      </c>
      <c r="F149">
        <v>59</v>
      </c>
      <c r="G149" t="s">
        <v>139</v>
      </c>
      <c r="H149" t="s">
        <v>31</v>
      </c>
      <c r="I149" t="s">
        <v>139</v>
      </c>
      <c r="J149" t="s">
        <v>69</v>
      </c>
      <c r="K149">
        <v>2</v>
      </c>
      <c r="L149">
        <v>8194</v>
      </c>
      <c r="M149">
        <v>5</v>
      </c>
      <c r="N149">
        <v>819.4</v>
      </c>
      <c r="O149">
        <v>2802.35</v>
      </c>
      <c r="P149">
        <v>178</v>
      </c>
      <c r="Q149">
        <v>18548.95</v>
      </c>
      <c r="R149" t="s">
        <v>33</v>
      </c>
      <c r="S149" t="s">
        <v>63</v>
      </c>
      <c r="T149" t="s">
        <v>103</v>
      </c>
      <c r="U149" t="s">
        <v>103</v>
      </c>
      <c r="V149" t="s">
        <v>57</v>
      </c>
      <c r="W149">
        <v>2</v>
      </c>
      <c r="X149" t="s">
        <v>47</v>
      </c>
      <c r="Y149">
        <v>3</v>
      </c>
      <c r="Z149" t="s">
        <v>58</v>
      </c>
    </row>
    <row r="150" spans="1:26" x14ac:dyDescent="0.3">
      <c r="A150" t="s">
        <v>372</v>
      </c>
      <c r="B150" s="2">
        <v>45810</v>
      </c>
      <c r="C150" t="s">
        <v>373</v>
      </c>
      <c r="D150" t="s">
        <v>42</v>
      </c>
      <c r="E150" t="s">
        <v>43</v>
      </c>
      <c r="F150">
        <v>31</v>
      </c>
      <c r="G150" t="s">
        <v>94</v>
      </c>
      <c r="H150" t="s">
        <v>31</v>
      </c>
      <c r="I150" t="s">
        <v>94</v>
      </c>
      <c r="J150" t="s">
        <v>75</v>
      </c>
      <c r="K150">
        <v>2</v>
      </c>
      <c r="L150">
        <v>23798</v>
      </c>
      <c r="M150">
        <v>5</v>
      </c>
      <c r="N150">
        <v>2379.8000000000002</v>
      </c>
      <c r="O150">
        <v>8138.92</v>
      </c>
      <c r="P150">
        <v>62</v>
      </c>
      <c r="Q150">
        <v>53417.120000000003</v>
      </c>
      <c r="R150" t="s">
        <v>45</v>
      </c>
      <c r="S150" t="s">
        <v>63</v>
      </c>
      <c r="T150" t="s">
        <v>46</v>
      </c>
      <c r="U150" t="s">
        <v>36</v>
      </c>
      <c r="V150" t="s">
        <v>37</v>
      </c>
      <c r="W150">
        <v>2</v>
      </c>
      <c r="X150" t="s">
        <v>47</v>
      </c>
      <c r="Y150">
        <v>5</v>
      </c>
      <c r="Z150" t="s">
        <v>58</v>
      </c>
    </row>
    <row r="151" spans="1:26" x14ac:dyDescent="0.3">
      <c r="A151" t="s">
        <v>374</v>
      </c>
      <c r="B151" s="2">
        <v>45903</v>
      </c>
      <c r="C151" t="s">
        <v>375</v>
      </c>
      <c r="D151" t="s">
        <v>61</v>
      </c>
      <c r="E151" t="s">
        <v>29</v>
      </c>
      <c r="F151">
        <v>50</v>
      </c>
      <c r="G151" t="s">
        <v>51</v>
      </c>
      <c r="H151" t="s">
        <v>52</v>
      </c>
      <c r="I151" t="s">
        <v>51</v>
      </c>
      <c r="J151" t="s">
        <v>62</v>
      </c>
      <c r="K151">
        <v>1</v>
      </c>
      <c r="L151">
        <v>26351</v>
      </c>
      <c r="M151">
        <v>5</v>
      </c>
      <c r="N151">
        <v>1317.55</v>
      </c>
      <c r="O151">
        <v>4506.0200000000004</v>
      </c>
      <c r="P151">
        <v>205</v>
      </c>
      <c r="Q151">
        <v>29744.47</v>
      </c>
      <c r="R151" t="s">
        <v>45</v>
      </c>
      <c r="S151" t="s">
        <v>63</v>
      </c>
      <c r="T151" t="s">
        <v>103</v>
      </c>
      <c r="U151" t="s">
        <v>103</v>
      </c>
      <c r="V151" t="s">
        <v>57</v>
      </c>
      <c r="W151">
        <v>9</v>
      </c>
      <c r="X151" t="s">
        <v>47</v>
      </c>
      <c r="Y151">
        <v>1</v>
      </c>
      <c r="Z151" t="s">
        <v>39</v>
      </c>
    </row>
    <row r="152" spans="1:26" x14ac:dyDescent="0.3">
      <c r="A152" t="s">
        <v>376</v>
      </c>
      <c r="B152" s="2">
        <v>45890</v>
      </c>
      <c r="C152" t="s">
        <v>377</v>
      </c>
      <c r="D152" t="s">
        <v>42</v>
      </c>
      <c r="E152" t="s">
        <v>29</v>
      </c>
      <c r="F152">
        <v>40</v>
      </c>
      <c r="G152" t="s">
        <v>134</v>
      </c>
      <c r="H152" t="s">
        <v>31</v>
      </c>
      <c r="I152" t="s">
        <v>134</v>
      </c>
      <c r="J152" t="s">
        <v>75</v>
      </c>
      <c r="K152">
        <v>2</v>
      </c>
      <c r="L152">
        <v>32644</v>
      </c>
      <c r="M152">
        <v>0</v>
      </c>
      <c r="N152">
        <v>0</v>
      </c>
      <c r="O152">
        <v>11751.84</v>
      </c>
      <c r="P152">
        <v>413</v>
      </c>
      <c r="Q152">
        <v>77452.84</v>
      </c>
      <c r="R152" t="s">
        <v>83</v>
      </c>
      <c r="S152" t="s">
        <v>34</v>
      </c>
      <c r="T152" t="s">
        <v>46</v>
      </c>
      <c r="U152" t="s">
        <v>36</v>
      </c>
      <c r="V152" t="s">
        <v>37</v>
      </c>
      <c r="W152">
        <v>7</v>
      </c>
      <c r="X152" t="s">
        <v>38</v>
      </c>
      <c r="Y152">
        <v>4</v>
      </c>
      <c r="Z152" t="s">
        <v>58</v>
      </c>
    </row>
    <row r="153" spans="1:26" x14ac:dyDescent="0.3">
      <c r="A153" t="s">
        <v>378</v>
      </c>
      <c r="B153" s="2">
        <v>45772</v>
      </c>
      <c r="C153" t="s">
        <v>379</v>
      </c>
      <c r="D153" t="s">
        <v>66</v>
      </c>
      <c r="E153" t="s">
        <v>29</v>
      </c>
      <c r="F153">
        <v>34</v>
      </c>
      <c r="G153" t="s">
        <v>134</v>
      </c>
      <c r="H153" t="s">
        <v>31</v>
      </c>
      <c r="I153" t="s">
        <v>134</v>
      </c>
      <c r="J153" t="s">
        <v>32</v>
      </c>
      <c r="K153">
        <v>5</v>
      </c>
      <c r="L153">
        <v>13792</v>
      </c>
      <c r="M153">
        <v>0</v>
      </c>
      <c r="N153">
        <v>0</v>
      </c>
      <c r="O153">
        <v>12412.8</v>
      </c>
      <c r="P153">
        <v>437</v>
      </c>
      <c r="Q153">
        <v>81809.8</v>
      </c>
      <c r="R153" t="s">
        <v>54</v>
      </c>
      <c r="S153" t="s">
        <v>63</v>
      </c>
      <c r="T153" t="s">
        <v>95</v>
      </c>
      <c r="U153" t="s">
        <v>96</v>
      </c>
      <c r="V153" t="s">
        <v>57</v>
      </c>
      <c r="W153">
        <v>1</v>
      </c>
      <c r="X153" t="s">
        <v>38</v>
      </c>
      <c r="Y153">
        <v>4</v>
      </c>
      <c r="Z153" t="s">
        <v>39</v>
      </c>
    </row>
    <row r="154" spans="1:26" x14ac:dyDescent="0.3">
      <c r="A154" t="s">
        <v>380</v>
      </c>
      <c r="B154" s="2">
        <v>45828</v>
      </c>
      <c r="C154" t="s">
        <v>257</v>
      </c>
      <c r="D154" t="s">
        <v>89</v>
      </c>
      <c r="E154" t="s">
        <v>43</v>
      </c>
      <c r="F154">
        <v>31</v>
      </c>
      <c r="G154" t="s">
        <v>74</v>
      </c>
      <c r="H154" t="s">
        <v>31</v>
      </c>
      <c r="I154" t="s">
        <v>74</v>
      </c>
      <c r="J154" t="s">
        <v>125</v>
      </c>
      <c r="K154">
        <v>5</v>
      </c>
      <c r="L154">
        <v>12497</v>
      </c>
      <c r="M154">
        <v>15</v>
      </c>
      <c r="N154">
        <v>9372.75</v>
      </c>
      <c r="O154">
        <v>9560.2000000000007</v>
      </c>
      <c r="P154">
        <v>71</v>
      </c>
      <c r="Q154">
        <v>62743.46</v>
      </c>
      <c r="R154" t="s">
        <v>33</v>
      </c>
      <c r="S154" t="s">
        <v>63</v>
      </c>
      <c r="T154" t="s">
        <v>95</v>
      </c>
      <c r="U154" t="s">
        <v>96</v>
      </c>
      <c r="V154" t="s">
        <v>57</v>
      </c>
      <c r="W154">
        <v>10</v>
      </c>
      <c r="X154" t="s">
        <v>47</v>
      </c>
      <c r="Y154">
        <v>5</v>
      </c>
      <c r="Z154" t="s">
        <v>39</v>
      </c>
    </row>
    <row r="155" spans="1:26" x14ac:dyDescent="0.3">
      <c r="A155" t="s">
        <v>381</v>
      </c>
      <c r="B155" s="2">
        <v>45939</v>
      </c>
      <c r="C155" t="s">
        <v>382</v>
      </c>
      <c r="D155" t="s">
        <v>108</v>
      </c>
      <c r="E155" t="s">
        <v>29</v>
      </c>
      <c r="F155">
        <v>51</v>
      </c>
      <c r="G155" t="s">
        <v>51</v>
      </c>
      <c r="H155" t="s">
        <v>52</v>
      </c>
      <c r="I155" t="s">
        <v>51</v>
      </c>
      <c r="J155" t="s">
        <v>53</v>
      </c>
      <c r="K155">
        <v>5</v>
      </c>
      <c r="L155">
        <v>46090</v>
      </c>
      <c r="M155">
        <v>5</v>
      </c>
      <c r="N155">
        <v>11522.5</v>
      </c>
      <c r="O155">
        <v>39406.949999999997</v>
      </c>
      <c r="P155">
        <v>212</v>
      </c>
      <c r="Q155">
        <v>258546.45</v>
      </c>
      <c r="R155" t="s">
        <v>54</v>
      </c>
      <c r="S155" t="s">
        <v>63</v>
      </c>
      <c r="T155" t="s">
        <v>84</v>
      </c>
      <c r="U155" t="s">
        <v>85</v>
      </c>
      <c r="V155" t="s">
        <v>86</v>
      </c>
      <c r="W155">
        <v>6</v>
      </c>
      <c r="X155" t="s">
        <v>38</v>
      </c>
      <c r="Y155">
        <v>2</v>
      </c>
      <c r="Z155" t="s">
        <v>58</v>
      </c>
    </row>
    <row r="156" spans="1:26" x14ac:dyDescent="0.3">
      <c r="A156" t="s">
        <v>383</v>
      </c>
      <c r="B156" s="2">
        <v>45974</v>
      </c>
      <c r="C156" t="s">
        <v>384</v>
      </c>
      <c r="D156" t="s">
        <v>42</v>
      </c>
      <c r="E156" t="s">
        <v>29</v>
      </c>
      <c r="F156">
        <v>34</v>
      </c>
      <c r="G156" t="s">
        <v>94</v>
      </c>
      <c r="H156" t="s">
        <v>31</v>
      </c>
      <c r="I156" t="s">
        <v>94</v>
      </c>
      <c r="J156" t="s">
        <v>201</v>
      </c>
      <c r="K156">
        <v>5</v>
      </c>
      <c r="L156">
        <v>5689</v>
      </c>
      <c r="M156">
        <v>10</v>
      </c>
      <c r="N156">
        <v>2844.5</v>
      </c>
      <c r="O156">
        <v>4608.09</v>
      </c>
      <c r="P156">
        <v>96</v>
      </c>
      <c r="Q156">
        <v>30304.59</v>
      </c>
      <c r="R156" t="s">
        <v>54</v>
      </c>
      <c r="S156" t="s">
        <v>34</v>
      </c>
      <c r="T156" t="s">
        <v>70</v>
      </c>
      <c r="U156" t="s">
        <v>56</v>
      </c>
      <c r="V156" t="s">
        <v>57</v>
      </c>
      <c r="W156">
        <v>6</v>
      </c>
      <c r="X156" t="s">
        <v>47</v>
      </c>
      <c r="Y156">
        <v>1</v>
      </c>
      <c r="Z156" t="s">
        <v>58</v>
      </c>
    </row>
    <row r="157" spans="1:26" x14ac:dyDescent="0.3">
      <c r="A157" t="s">
        <v>385</v>
      </c>
      <c r="B157" s="2">
        <v>46120</v>
      </c>
      <c r="C157" t="s">
        <v>386</v>
      </c>
      <c r="D157" t="s">
        <v>73</v>
      </c>
      <c r="E157" t="s">
        <v>29</v>
      </c>
      <c r="F157">
        <v>39</v>
      </c>
      <c r="G157" t="s">
        <v>51</v>
      </c>
      <c r="H157" t="s">
        <v>52</v>
      </c>
      <c r="I157" t="s">
        <v>51</v>
      </c>
      <c r="J157" t="s">
        <v>75</v>
      </c>
      <c r="K157">
        <v>1</v>
      </c>
      <c r="L157">
        <v>37843</v>
      </c>
      <c r="M157">
        <v>0</v>
      </c>
      <c r="N157">
        <v>0</v>
      </c>
      <c r="O157">
        <v>6811.74</v>
      </c>
      <c r="P157">
        <v>134</v>
      </c>
      <c r="Q157">
        <v>44788.74</v>
      </c>
      <c r="R157" t="s">
        <v>45</v>
      </c>
      <c r="S157" t="s">
        <v>34</v>
      </c>
      <c r="T157" t="s">
        <v>84</v>
      </c>
      <c r="U157" t="s">
        <v>85</v>
      </c>
      <c r="V157" t="s">
        <v>86</v>
      </c>
      <c r="W157">
        <v>8</v>
      </c>
      <c r="X157" t="s">
        <v>38</v>
      </c>
      <c r="Y157">
        <v>3</v>
      </c>
      <c r="Z157" t="s">
        <v>91</v>
      </c>
    </row>
    <row r="158" spans="1:26" x14ac:dyDescent="0.3">
      <c r="A158" t="s">
        <v>387</v>
      </c>
      <c r="B158" s="2">
        <v>46064</v>
      </c>
      <c r="C158" t="s">
        <v>388</v>
      </c>
      <c r="D158" t="s">
        <v>42</v>
      </c>
      <c r="E158" t="s">
        <v>43</v>
      </c>
      <c r="F158">
        <v>26</v>
      </c>
      <c r="G158" t="s">
        <v>139</v>
      </c>
      <c r="H158" t="s">
        <v>31</v>
      </c>
      <c r="I158" t="s">
        <v>139</v>
      </c>
      <c r="J158" t="s">
        <v>53</v>
      </c>
      <c r="K158">
        <v>2</v>
      </c>
      <c r="L158">
        <v>11265</v>
      </c>
      <c r="M158">
        <v>20</v>
      </c>
      <c r="N158">
        <v>4506</v>
      </c>
      <c r="O158">
        <v>3244.32</v>
      </c>
      <c r="P158">
        <v>220</v>
      </c>
      <c r="Q158">
        <v>21488.32</v>
      </c>
      <c r="R158" t="s">
        <v>54</v>
      </c>
      <c r="S158" t="s">
        <v>63</v>
      </c>
      <c r="T158" t="s">
        <v>84</v>
      </c>
      <c r="U158" t="s">
        <v>85</v>
      </c>
      <c r="V158" t="s">
        <v>86</v>
      </c>
      <c r="W158">
        <v>4</v>
      </c>
      <c r="X158" t="s">
        <v>47</v>
      </c>
      <c r="Y158">
        <v>2</v>
      </c>
      <c r="Z158" t="s">
        <v>58</v>
      </c>
    </row>
    <row r="159" spans="1:26" x14ac:dyDescent="0.3">
      <c r="A159" t="s">
        <v>389</v>
      </c>
      <c r="B159" s="2">
        <v>45853</v>
      </c>
      <c r="C159" t="s">
        <v>390</v>
      </c>
      <c r="D159" t="s">
        <v>42</v>
      </c>
      <c r="E159" t="s">
        <v>29</v>
      </c>
      <c r="F159">
        <v>28</v>
      </c>
      <c r="G159" t="s">
        <v>74</v>
      </c>
      <c r="H159" t="s">
        <v>31</v>
      </c>
      <c r="I159" t="s">
        <v>74</v>
      </c>
      <c r="J159" t="s">
        <v>75</v>
      </c>
      <c r="K159">
        <v>2</v>
      </c>
      <c r="L159">
        <v>3628</v>
      </c>
      <c r="M159">
        <v>20</v>
      </c>
      <c r="N159">
        <v>1451.2</v>
      </c>
      <c r="O159">
        <v>1044.8599999999999</v>
      </c>
      <c r="P159">
        <v>45</v>
      </c>
      <c r="Q159">
        <v>6894.66</v>
      </c>
      <c r="R159" t="s">
        <v>83</v>
      </c>
      <c r="S159" t="s">
        <v>34</v>
      </c>
      <c r="T159" t="s">
        <v>103</v>
      </c>
      <c r="U159" t="s">
        <v>103</v>
      </c>
      <c r="V159" t="s">
        <v>57</v>
      </c>
      <c r="W159">
        <v>2</v>
      </c>
      <c r="X159" t="s">
        <v>47</v>
      </c>
      <c r="Y159">
        <v>1</v>
      </c>
      <c r="Z159" t="s">
        <v>39</v>
      </c>
    </row>
    <row r="160" spans="1:26" x14ac:dyDescent="0.3">
      <c r="A160" t="s">
        <v>391</v>
      </c>
      <c r="B160" s="2">
        <v>46043</v>
      </c>
      <c r="C160" t="s">
        <v>392</v>
      </c>
      <c r="D160" t="s">
        <v>80</v>
      </c>
      <c r="E160" t="s">
        <v>43</v>
      </c>
      <c r="F160">
        <v>35</v>
      </c>
      <c r="G160" t="s">
        <v>74</v>
      </c>
      <c r="H160" t="s">
        <v>31</v>
      </c>
      <c r="I160" t="s">
        <v>74</v>
      </c>
      <c r="J160" t="s">
        <v>62</v>
      </c>
      <c r="K160">
        <v>2</v>
      </c>
      <c r="L160">
        <v>7118</v>
      </c>
      <c r="M160">
        <v>10</v>
      </c>
      <c r="N160">
        <v>1423.6</v>
      </c>
      <c r="O160">
        <v>2306.23</v>
      </c>
      <c r="P160">
        <v>140</v>
      </c>
      <c r="Q160">
        <v>15258.63</v>
      </c>
      <c r="R160" t="s">
        <v>83</v>
      </c>
      <c r="S160" t="s">
        <v>63</v>
      </c>
      <c r="T160" t="s">
        <v>46</v>
      </c>
      <c r="U160" t="s">
        <v>36</v>
      </c>
      <c r="V160" t="s">
        <v>37</v>
      </c>
      <c r="W160">
        <v>10</v>
      </c>
      <c r="X160" t="s">
        <v>38</v>
      </c>
      <c r="Y160">
        <v>3</v>
      </c>
      <c r="Z160" t="s">
        <v>91</v>
      </c>
    </row>
    <row r="161" spans="1:26" x14ac:dyDescent="0.3">
      <c r="A161" t="s">
        <v>393</v>
      </c>
      <c r="B161" s="2">
        <v>45812</v>
      </c>
      <c r="C161" t="s">
        <v>127</v>
      </c>
      <c r="D161" t="s">
        <v>108</v>
      </c>
      <c r="E161" t="s">
        <v>43</v>
      </c>
      <c r="F161">
        <v>48</v>
      </c>
      <c r="G161" t="s">
        <v>94</v>
      </c>
      <c r="H161" t="s">
        <v>31</v>
      </c>
      <c r="I161" t="s">
        <v>94</v>
      </c>
      <c r="J161" t="s">
        <v>62</v>
      </c>
      <c r="K161">
        <v>2</v>
      </c>
      <c r="L161">
        <v>31726</v>
      </c>
      <c r="M161">
        <v>15</v>
      </c>
      <c r="N161">
        <v>9517.7999999999993</v>
      </c>
      <c r="O161">
        <v>9708.16</v>
      </c>
      <c r="P161">
        <v>13</v>
      </c>
      <c r="Q161">
        <v>63655.360000000001</v>
      </c>
      <c r="R161" t="s">
        <v>83</v>
      </c>
      <c r="S161" t="s">
        <v>63</v>
      </c>
      <c r="T161" t="s">
        <v>35</v>
      </c>
      <c r="U161" t="s">
        <v>36</v>
      </c>
      <c r="V161" t="s">
        <v>37</v>
      </c>
      <c r="W161">
        <v>1</v>
      </c>
      <c r="X161" t="s">
        <v>38</v>
      </c>
      <c r="Y161">
        <v>5</v>
      </c>
      <c r="Z161" t="s">
        <v>58</v>
      </c>
    </row>
    <row r="162" spans="1:26" x14ac:dyDescent="0.3">
      <c r="A162" t="s">
        <v>394</v>
      </c>
      <c r="B162" s="2">
        <v>45935</v>
      </c>
      <c r="C162" t="s">
        <v>395</v>
      </c>
      <c r="D162" t="s">
        <v>89</v>
      </c>
      <c r="E162" t="s">
        <v>29</v>
      </c>
      <c r="F162">
        <v>24</v>
      </c>
      <c r="G162" t="s">
        <v>139</v>
      </c>
      <c r="H162" t="s">
        <v>31</v>
      </c>
      <c r="I162" t="s">
        <v>139</v>
      </c>
      <c r="J162" t="s">
        <v>69</v>
      </c>
      <c r="K162">
        <v>4</v>
      </c>
      <c r="L162">
        <v>42298</v>
      </c>
      <c r="M162">
        <v>20</v>
      </c>
      <c r="N162">
        <v>33838.400000000001</v>
      </c>
      <c r="O162">
        <v>24363.65</v>
      </c>
      <c r="P162">
        <v>262</v>
      </c>
      <c r="Q162">
        <v>159979.25</v>
      </c>
      <c r="R162" t="s">
        <v>45</v>
      </c>
      <c r="S162" t="s">
        <v>63</v>
      </c>
      <c r="T162" t="s">
        <v>70</v>
      </c>
      <c r="U162" t="s">
        <v>56</v>
      </c>
      <c r="V162" t="s">
        <v>57</v>
      </c>
      <c r="W162">
        <v>8</v>
      </c>
      <c r="X162" t="s">
        <v>38</v>
      </c>
      <c r="Y162">
        <v>5</v>
      </c>
      <c r="Z162" t="s">
        <v>39</v>
      </c>
    </row>
    <row r="163" spans="1:26" x14ac:dyDescent="0.3">
      <c r="A163" t="s">
        <v>396</v>
      </c>
      <c r="B163" s="2">
        <v>45949</v>
      </c>
      <c r="C163" t="s">
        <v>397</v>
      </c>
      <c r="D163" t="s">
        <v>61</v>
      </c>
      <c r="E163" t="s">
        <v>43</v>
      </c>
      <c r="F163">
        <v>30</v>
      </c>
      <c r="G163" t="s">
        <v>44</v>
      </c>
      <c r="H163" t="s">
        <v>31</v>
      </c>
      <c r="I163" t="s">
        <v>44</v>
      </c>
      <c r="J163" t="s">
        <v>112</v>
      </c>
      <c r="K163">
        <v>4</v>
      </c>
      <c r="L163">
        <v>43897</v>
      </c>
      <c r="M163">
        <v>15</v>
      </c>
      <c r="N163">
        <v>26338.2</v>
      </c>
      <c r="O163">
        <v>26864.959999999999</v>
      </c>
      <c r="P163">
        <v>108</v>
      </c>
      <c r="Q163">
        <v>176222.76</v>
      </c>
      <c r="R163" t="s">
        <v>45</v>
      </c>
      <c r="S163" t="s">
        <v>63</v>
      </c>
      <c r="T163" t="s">
        <v>70</v>
      </c>
      <c r="U163" t="s">
        <v>56</v>
      </c>
      <c r="V163" t="s">
        <v>57</v>
      </c>
      <c r="W163">
        <v>8</v>
      </c>
      <c r="X163" t="s">
        <v>38</v>
      </c>
      <c r="Y163">
        <v>3</v>
      </c>
      <c r="Z163" t="s">
        <v>58</v>
      </c>
    </row>
    <row r="164" spans="1:26" x14ac:dyDescent="0.3">
      <c r="A164" t="s">
        <v>398</v>
      </c>
      <c r="B164" s="2">
        <v>45923</v>
      </c>
      <c r="C164" t="s">
        <v>351</v>
      </c>
      <c r="D164" t="s">
        <v>28</v>
      </c>
      <c r="E164" t="s">
        <v>29</v>
      </c>
      <c r="F164">
        <v>19</v>
      </c>
      <c r="G164" t="s">
        <v>99</v>
      </c>
      <c r="H164" t="s">
        <v>52</v>
      </c>
      <c r="I164" t="s">
        <v>99</v>
      </c>
      <c r="J164" t="s">
        <v>112</v>
      </c>
      <c r="K164">
        <v>2</v>
      </c>
      <c r="L164">
        <v>48486</v>
      </c>
      <c r="M164">
        <v>0</v>
      </c>
      <c r="N164">
        <v>0</v>
      </c>
      <c r="O164">
        <v>17454.96</v>
      </c>
      <c r="P164">
        <v>267</v>
      </c>
      <c r="Q164">
        <v>114693.96</v>
      </c>
      <c r="R164" t="s">
        <v>45</v>
      </c>
      <c r="S164" t="s">
        <v>34</v>
      </c>
      <c r="T164" t="s">
        <v>84</v>
      </c>
      <c r="U164" t="s">
        <v>85</v>
      </c>
      <c r="V164" t="s">
        <v>86</v>
      </c>
      <c r="W164">
        <v>1</v>
      </c>
      <c r="X164" t="s">
        <v>38</v>
      </c>
      <c r="Y164">
        <v>5</v>
      </c>
      <c r="Z164" t="s">
        <v>39</v>
      </c>
    </row>
    <row r="165" spans="1:26" x14ac:dyDescent="0.3">
      <c r="A165" t="s">
        <v>399</v>
      </c>
      <c r="B165" s="2">
        <v>45860</v>
      </c>
      <c r="C165" t="s">
        <v>118</v>
      </c>
      <c r="D165" t="s">
        <v>80</v>
      </c>
      <c r="E165" t="s">
        <v>29</v>
      </c>
      <c r="F165">
        <v>37</v>
      </c>
      <c r="G165" t="s">
        <v>99</v>
      </c>
      <c r="H165" t="s">
        <v>52</v>
      </c>
      <c r="I165" t="s">
        <v>99</v>
      </c>
      <c r="J165" t="s">
        <v>75</v>
      </c>
      <c r="K165">
        <v>3</v>
      </c>
      <c r="L165">
        <v>11761</v>
      </c>
      <c r="M165">
        <v>15</v>
      </c>
      <c r="N165">
        <v>5292.45</v>
      </c>
      <c r="O165">
        <v>5398.3</v>
      </c>
      <c r="P165">
        <v>14</v>
      </c>
      <c r="Q165">
        <v>35402.85</v>
      </c>
      <c r="R165" t="s">
        <v>33</v>
      </c>
      <c r="S165" t="s">
        <v>63</v>
      </c>
      <c r="T165" t="s">
        <v>55</v>
      </c>
      <c r="U165" t="s">
        <v>56</v>
      </c>
      <c r="V165" t="s">
        <v>57</v>
      </c>
      <c r="W165">
        <v>5</v>
      </c>
      <c r="X165" t="s">
        <v>38</v>
      </c>
      <c r="Y165">
        <v>1</v>
      </c>
      <c r="Z165" t="s">
        <v>39</v>
      </c>
    </row>
    <row r="166" spans="1:26" x14ac:dyDescent="0.3">
      <c r="A166" t="s">
        <v>400</v>
      </c>
      <c r="B166" s="2">
        <v>46001</v>
      </c>
      <c r="C166" t="s">
        <v>401</v>
      </c>
      <c r="D166" t="s">
        <v>73</v>
      </c>
      <c r="E166" t="s">
        <v>43</v>
      </c>
      <c r="F166">
        <v>19</v>
      </c>
      <c r="G166" t="s">
        <v>90</v>
      </c>
      <c r="H166" t="s">
        <v>31</v>
      </c>
      <c r="I166" t="s">
        <v>90</v>
      </c>
      <c r="J166" t="s">
        <v>102</v>
      </c>
      <c r="K166">
        <v>1</v>
      </c>
      <c r="L166">
        <v>34466</v>
      </c>
      <c r="M166">
        <v>5</v>
      </c>
      <c r="N166">
        <v>1723.3</v>
      </c>
      <c r="O166">
        <v>5893.69</v>
      </c>
      <c r="P166">
        <v>50</v>
      </c>
      <c r="Q166">
        <v>38686.39</v>
      </c>
      <c r="R166" t="s">
        <v>83</v>
      </c>
      <c r="S166" t="s">
        <v>34</v>
      </c>
      <c r="T166" t="s">
        <v>95</v>
      </c>
      <c r="U166" t="s">
        <v>96</v>
      </c>
      <c r="V166" t="s">
        <v>57</v>
      </c>
      <c r="W166">
        <v>1</v>
      </c>
      <c r="X166" t="s">
        <v>38</v>
      </c>
      <c r="Y166">
        <v>3</v>
      </c>
      <c r="Z166" t="s">
        <v>39</v>
      </c>
    </row>
    <row r="167" spans="1:26" x14ac:dyDescent="0.3">
      <c r="A167" t="s">
        <v>402</v>
      </c>
      <c r="B167" s="2">
        <v>45947</v>
      </c>
      <c r="C167" t="s">
        <v>384</v>
      </c>
      <c r="D167" t="s">
        <v>66</v>
      </c>
      <c r="E167" t="s">
        <v>29</v>
      </c>
      <c r="F167">
        <v>57</v>
      </c>
      <c r="G167" t="s">
        <v>99</v>
      </c>
      <c r="H167" t="s">
        <v>52</v>
      </c>
      <c r="I167" t="s">
        <v>99</v>
      </c>
      <c r="J167" t="s">
        <v>32</v>
      </c>
      <c r="K167">
        <v>3</v>
      </c>
      <c r="L167">
        <v>42623</v>
      </c>
      <c r="M167">
        <v>20</v>
      </c>
      <c r="N167">
        <v>25573.8</v>
      </c>
      <c r="O167">
        <v>18413.14</v>
      </c>
      <c r="P167">
        <v>20</v>
      </c>
      <c r="Q167">
        <v>120728.34</v>
      </c>
      <c r="R167" t="s">
        <v>45</v>
      </c>
      <c r="S167" t="s">
        <v>63</v>
      </c>
      <c r="T167" t="s">
        <v>95</v>
      </c>
      <c r="U167" t="s">
        <v>96</v>
      </c>
      <c r="V167" t="s">
        <v>57</v>
      </c>
      <c r="W167">
        <v>1</v>
      </c>
      <c r="X167" t="s">
        <v>47</v>
      </c>
      <c r="Y167">
        <v>1</v>
      </c>
      <c r="Z167" t="s">
        <v>91</v>
      </c>
    </row>
    <row r="168" spans="1:26" x14ac:dyDescent="0.3">
      <c r="A168" t="s">
        <v>403</v>
      </c>
      <c r="B168" s="2">
        <v>46059</v>
      </c>
      <c r="C168" t="s">
        <v>404</v>
      </c>
      <c r="D168" t="s">
        <v>89</v>
      </c>
      <c r="E168" t="s">
        <v>29</v>
      </c>
      <c r="F168">
        <v>45</v>
      </c>
      <c r="G168" t="s">
        <v>51</v>
      </c>
      <c r="H168" t="s">
        <v>52</v>
      </c>
      <c r="I168" t="s">
        <v>51</v>
      </c>
      <c r="J168" t="s">
        <v>150</v>
      </c>
      <c r="K168">
        <v>2</v>
      </c>
      <c r="L168">
        <v>35830</v>
      </c>
      <c r="M168">
        <v>10</v>
      </c>
      <c r="N168">
        <v>7166</v>
      </c>
      <c r="O168">
        <v>11608.92</v>
      </c>
      <c r="P168">
        <v>133</v>
      </c>
      <c r="Q168">
        <v>76235.92</v>
      </c>
      <c r="R168" t="s">
        <v>54</v>
      </c>
      <c r="S168" t="s">
        <v>34</v>
      </c>
      <c r="T168" t="s">
        <v>55</v>
      </c>
      <c r="U168" t="s">
        <v>56</v>
      </c>
      <c r="V168" t="s">
        <v>57</v>
      </c>
      <c r="W168">
        <v>8</v>
      </c>
      <c r="X168" t="s">
        <v>47</v>
      </c>
      <c r="Y168">
        <v>1</v>
      </c>
      <c r="Z168" t="s">
        <v>39</v>
      </c>
    </row>
    <row r="169" spans="1:26" x14ac:dyDescent="0.3">
      <c r="A169" t="s">
        <v>405</v>
      </c>
      <c r="B169" s="2">
        <v>45837</v>
      </c>
      <c r="C169" t="s">
        <v>406</v>
      </c>
      <c r="D169" t="s">
        <v>108</v>
      </c>
      <c r="E169" t="s">
        <v>29</v>
      </c>
      <c r="F169">
        <v>37</v>
      </c>
      <c r="G169" t="s">
        <v>99</v>
      </c>
      <c r="H169" t="s">
        <v>52</v>
      </c>
      <c r="I169" t="s">
        <v>99</v>
      </c>
      <c r="J169" t="s">
        <v>32</v>
      </c>
      <c r="K169">
        <v>1</v>
      </c>
      <c r="L169">
        <v>40523</v>
      </c>
      <c r="M169">
        <v>0</v>
      </c>
      <c r="N169">
        <v>0</v>
      </c>
      <c r="O169">
        <v>7294.14</v>
      </c>
      <c r="P169">
        <v>302</v>
      </c>
      <c r="Q169">
        <v>48119.14</v>
      </c>
      <c r="R169" t="s">
        <v>83</v>
      </c>
      <c r="S169" t="s">
        <v>63</v>
      </c>
      <c r="T169" t="s">
        <v>70</v>
      </c>
      <c r="U169" t="s">
        <v>56</v>
      </c>
      <c r="V169" t="s">
        <v>57</v>
      </c>
      <c r="W169">
        <v>9</v>
      </c>
      <c r="X169" t="s">
        <v>38</v>
      </c>
      <c r="Y169">
        <v>5</v>
      </c>
      <c r="Z169" t="s">
        <v>47</v>
      </c>
    </row>
    <row r="170" spans="1:26" x14ac:dyDescent="0.3">
      <c r="A170" t="s">
        <v>407</v>
      </c>
      <c r="B170" s="2">
        <v>46085</v>
      </c>
      <c r="C170" t="s">
        <v>408</v>
      </c>
      <c r="D170" t="s">
        <v>80</v>
      </c>
      <c r="E170" t="s">
        <v>43</v>
      </c>
      <c r="F170">
        <v>24</v>
      </c>
      <c r="G170" t="s">
        <v>44</v>
      </c>
      <c r="H170" t="s">
        <v>31</v>
      </c>
      <c r="I170" t="s">
        <v>44</v>
      </c>
      <c r="J170" t="s">
        <v>201</v>
      </c>
      <c r="K170">
        <v>4</v>
      </c>
      <c r="L170">
        <v>11352</v>
      </c>
      <c r="M170">
        <v>0</v>
      </c>
      <c r="N170">
        <v>0</v>
      </c>
      <c r="O170">
        <v>8173.44</v>
      </c>
      <c r="P170">
        <v>161</v>
      </c>
      <c r="Q170">
        <v>53742.44</v>
      </c>
      <c r="R170" t="s">
        <v>45</v>
      </c>
      <c r="S170" t="s">
        <v>34</v>
      </c>
      <c r="T170" t="s">
        <v>35</v>
      </c>
      <c r="U170" t="s">
        <v>36</v>
      </c>
      <c r="V170" t="s">
        <v>37</v>
      </c>
      <c r="W170">
        <v>6</v>
      </c>
      <c r="X170" t="s">
        <v>38</v>
      </c>
      <c r="Y170">
        <v>1</v>
      </c>
      <c r="Z170" t="s">
        <v>58</v>
      </c>
    </row>
    <row r="171" spans="1:26" x14ac:dyDescent="0.3">
      <c r="A171" t="s">
        <v>409</v>
      </c>
      <c r="B171" s="2">
        <v>45956</v>
      </c>
      <c r="C171" t="s">
        <v>410</v>
      </c>
      <c r="D171" t="s">
        <v>28</v>
      </c>
      <c r="E171" t="s">
        <v>43</v>
      </c>
      <c r="F171">
        <v>18</v>
      </c>
      <c r="G171" t="s">
        <v>67</v>
      </c>
      <c r="H171" t="s">
        <v>68</v>
      </c>
      <c r="I171" t="s">
        <v>67</v>
      </c>
      <c r="J171" t="s">
        <v>32</v>
      </c>
      <c r="K171">
        <v>4</v>
      </c>
      <c r="L171">
        <v>42955</v>
      </c>
      <c r="M171">
        <v>0</v>
      </c>
      <c r="N171">
        <v>0</v>
      </c>
      <c r="O171">
        <v>30927.599999999999</v>
      </c>
      <c r="P171">
        <v>41</v>
      </c>
      <c r="Q171">
        <v>202788.6</v>
      </c>
      <c r="R171" t="s">
        <v>45</v>
      </c>
      <c r="S171" t="s">
        <v>63</v>
      </c>
      <c r="T171" t="s">
        <v>46</v>
      </c>
      <c r="U171" t="s">
        <v>36</v>
      </c>
      <c r="V171" t="s">
        <v>37</v>
      </c>
      <c r="W171">
        <v>9</v>
      </c>
      <c r="X171" t="s">
        <v>38</v>
      </c>
      <c r="Y171">
        <v>3</v>
      </c>
      <c r="Z171" t="s">
        <v>47</v>
      </c>
    </row>
    <row r="172" spans="1:26" x14ac:dyDescent="0.3">
      <c r="A172" t="s">
        <v>411</v>
      </c>
      <c r="B172" s="2">
        <v>45931</v>
      </c>
      <c r="C172" t="s">
        <v>412</v>
      </c>
      <c r="D172" t="s">
        <v>108</v>
      </c>
      <c r="E172" t="s">
        <v>29</v>
      </c>
      <c r="F172">
        <v>59</v>
      </c>
      <c r="G172" t="s">
        <v>51</v>
      </c>
      <c r="H172" t="s">
        <v>52</v>
      </c>
      <c r="I172" t="s">
        <v>51</v>
      </c>
      <c r="J172" t="s">
        <v>112</v>
      </c>
      <c r="K172">
        <v>3</v>
      </c>
      <c r="L172">
        <v>40789</v>
      </c>
      <c r="M172">
        <v>10</v>
      </c>
      <c r="N172">
        <v>12236.7</v>
      </c>
      <c r="O172">
        <v>19823.45</v>
      </c>
      <c r="P172">
        <v>488</v>
      </c>
      <c r="Q172">
        <v>130441.75</v>
      </c>
      <c r="R172" t="s">
        <v>83</v>
      </c>
      <c r="S172" t="s">
        <v>34</v>
      </c>
      <c r="T172" t="s">
        <v>55</v>
      </c>
      <c r="U172" t="s">
        <v>56</v>
      </c>
      <c r="V172" t="s">
        <v>57</v>
      </c>
      <c r="W172">
        <v>3</v>
      </c>
      <c r="X172" t="s">
        <v>38</v>
      </c>
      <c r="Y172">
        <v>1</v>
      </c>
      <c r="Z172" t="s">
        <v>47</v>
      </c>
    </row>
    <row r="173" spans="1:26" x14ac:dyDescent="0.3">
      <c r="A173" t="s">
        <v>413</v>
      </c>
      <c r="B173" s="2">
        <v>45865</v>
      </c>
      <c r="C173" t="s">
        <v>414</v>
      </c>
      <c r="D173" t="s">
        <v>66</v>
      </c>
      <c r="E173" t="s">
        <v>29</v>
      </c>
      <c r="F173">
        <v>56</v>
      </c>
      <c r="G173" t="s">
        <v>30</v>
      </c>
      <c r="H173" t="s">
        <v>31</v>
      </c>
      <c r="I173" t="s">
        <v>30</v>
      </c>
      <c r="J173" t="s">
        <v>32</v>
      </c>
      <c r="K173">
        <v>5</v>
      </c>
      <c r="L173">
        <v>39991</v>
      </c>
      <c r="M173">
        <v>5</v>
      </c>
      <c r="N173">
        <v>9997.75</v>
      </c>
      <c r="O173">
        <v>34192.31</v>
      </c>
      <c r="P173">
        <v>328</v>
      </c>
      <c r="Q173">
        <v>224477.55</v>
      </c>
      <c r="R173" t="s">
        <v>33</v>
      </c>
      <c r="S173" t="s">
        <v>63</v>
      </c>
      <c r="T173" t="s">
        <v>103</v>
      </c>
      <c r="U173" t="s">
        <v>103</v>
      </c>
      <c r="V173" t="s">
        <v>57</v>
      </c>
      <c r="W173">
        <v>10</v>
      </c>
      <c r="X173" t="s">
        <v>47</v>
      </c>
      <c r="Y173">
        <v>4</v>
      </c>
      <c r="Z173" t="s">
        <v>58</v>
      </c>
    </row>
    <row r="174" spans="1:26" x14ac:dyDescent="0.3">
      <c r="A174" t="s">
        <v>415</v>
      </c>
      <c r="B174" s="2">
        <v>46009</v>
      </c>
      <c r="C174" t="s">
        <v>266</v>
      </c>
      <c r="D174" t="s">
        <v>89</v>
      </c>
      <c r="E174" t="s">
        <v>43</v>
      </c>
      <c r="F174">
        <v>41</v>
      </c>
      <c r="G174" t="s">
        <v>44</v>
      </c>
      <c r="H174" t="s">
        <v>31</v>
      </c>
      <c r="I174" t="s">
        <v>44</v>
      </c>
      <c r="J174" t="s">
        <v>201</v>
      </c>
      <c r="K174">
        <v>3</v>
      </c>
      <c r="L174">
        <v>22410</v>
      </c>
      <c r="M174">
        <v>10</v>
      </c>
      <c r="N174">
        <v>6723</v>
      </c>
      <c r="O174">
        <v>10891.26</v>
      </c>
      <c r="P174">
        <v>365</v>
      </c>
      <c r="Q174">
        <v>71763.259999999995</v>
      </c>
      <c r="R174" t="s">
        <v>45</v>
      </c>
      <c r="S174" t="s">
        <v>63</v>
      </c>
      <c r="T174" t="s">
        <v>103</v>
      </c>
      <c r="U174" t="s">
        <v>103</v>
      </c>
      <c r="V174" t="s">
        <v>57</v>
      </c>
      <c r="W174">
        <v>1</v>
      </c>
      <c r="X174" t="s">
        <v>47</v>
      </c>
      <c r="Y174">
        <v>1</v>
      </c>
      <c r="Z174" t="s">
        <v>47</v>
      </c>
    </row>
    <row r="175" spans="1:26" x14ac:dyDescent="0.3">
      <c r="A175" t="s">
        <v>416</v>
      </c>
      <c r="B175" s="2">
        <v>45938</v>
      </c>
      <c r="C175" t="s">
        <v>417</v>
      </c>
      <c r="D175" t="s">
        <v>80</v>
      </c>
      <c r="E175" t="s">
        <v>29</v>
      </c>
      <c r="F175">
        <v>18</v>
      </c>
      <c r="G175" t="s">
        <v>94</v>
      </c>
      <c r="H175" t="s">
        <v>31</v>
      </c>
      <c r="I175" t="s">
        <v>94</v>
      </c>
      <c r="J175" t="s">
        <v>53</v>
      </c>
      <c r="K175">
        <v>4</v>
      </c>
      <c r="L175">
        <v>3086</v>
      </c>
      <c r="M175">
        <v>10</v>
      </c>
      <c r="N175">
        <v>1234.4000000000001</v>
      </c>
      <c r="O175">
        <v>1999.73</v>
      </c>
      <c r="P175">
        <v>247</v>
      </c>
      <c r="Q175">
        <v>13356.33</v>
      </c>
      <c r="R175" t="s">
        <v>33</v>
      </c>
      <c r="S175" t="s">
        <v>63</v>
      </c>
      <c r="T175" t="s">
        <v>35</v>
      </c>
      <c r="U175" t="s">
        <v>36</v>
      </c>
      <c r="V175" t="s">
        <v>37</v>
      </c>
      <c r="W175">
        <v>4</v>
      </c>
      <c r="X175" t="s">
        <v>47</v>
      </c>
      <c r="Y175">
        <v>5</v>
      </c>
      <c r="Z175" t="s">
        <v>58</v>
      </c>
    </row>
    <row r="176" spans="1:26" x14ac:dyDescent="0.3">
      <c r="A176" t="s">
        <v>418</v>
      </c>
      <c r="B176" s="2">
        <v>45868</v>
      </c>
      <c r="C176" t="s">
        <v>419</v>
      </c>
      <c r="D176" t="s">
        <v>50</v>
      </c>
      <c r="E176" t="s">
        <v>43</v>
      </c>
      <c r="F176">
        <v>53</v>
      </c>
      <c r="G176" t="s">
        <v>30</v>
      </c>
      <c r="H176" t="s">
        <v>31</v>
      </c>
      <c r="I176" t="s">
        <v>30</v>
      </c>
      <c r="J176" t="s">
        <v>62</v>
      </c>
      <c r="K176">
        <v>3</v>
      </c>
      <c r="L176">
        <v>39476</v>
      </c>
      <c r="M176">
        <v>20</v>
      </c>
      <c r="N176">
        <v>23685.599999999999</v>
      </c>
      <c r="O176">
        <v>17053.63</v>
      </c>
      <c r="P176">
        <v>78</v>
      </c>
      <c r="Q176">
        <v>111874.03</v>
      </c>
      <c r="R176" t="s">
        <v>83</v>
      </c>
      <c r="S176" t="s">
        <v>63</v>
      </c>
      <c r="T176" t="s">
        <v>103</v>
      </c>
      <c r="U176" t="s">
        <v>103</v>
      </c>
      <c r="V176" t="s">
        <v>57</v>
      </c>
      <c r="W176">
        <v>5</v>
      </c>
      <c r="X176" t="s">
        <v>47</v>
      </c>
      <c r="Y176">
        <v>2</v>
      </c>
      <c r="Z176" t="s">
        <v>47</v>
      </c>
    </row>
    <row r="177" spans="1:26" x14ac:dyDescent="0.3">
      <c r="A177" t="s">
        <v>420</v>
      </c>
      <c r="B177" s="2">
        <v>45925</v>
      </c>
      <c r="C177" t="s">
        <v>421</v>
      </c>
      <c r="D177" t="s">
        <v>50</v>
      </c>
      <c r="E177" t="s">
        <v>29</v>
      </c>
      <c r="F177">
        <v>31</v>
      </c>
      <c r="G177" t="s">
        <v>44</v>
      </c>
      <c r="H177" t="s">
        <v>31</v>
      </c>
      <c r="I177" t="s">
        <v>44</v>
      </c>
      <c r="J177" t="s">
        <v>53</v>
      </c>
      <c r="K177">
        <v>1</v>
      </c>
      <c r="L177">
        <v>31021</v>
      </c>
      <c r="M177">
        <v>15</v>
      </c>
      <c r="N177">
        <v>4653.1499999999996</v>
      </c>
      <c r="O177">
        <v>4746.21</v>
      </c>
      <c r="P177">
        <v>39</v>
      </c>
      <c r="Q177">
        <v>31153.06</v>
      </c>
      <c r="R177" t="s">
        <v>83</v>
      </c>
      <c r="S177" t="s">
        <v>34</v>
      </c>
      <c r="T177" t="s">
        <v>70</v>
      </c>
      <c r="U177" t="s">
        <v>56</v>
      </c>
      <c r="V177" t="s">
        <v>57</v>
      </c>
      <c r="W177">
        <v>8</v>
      </c>
      <c r="X177" t="s">
        <v>47</v>
      </c>
      <c r="Y177">
        <v>4</v>
      </c>
      <c r="Z177" t="s">
        <v>39</v>
      </c>
    </row>
    <row r="178" spans="1:26" x14ac:dyDescent="0.3">
      <c r="A178" t="s">
        <v>422</v>
      </c>
      <c r="B178" s="2">
        <v>45842</v>
      </c>
      <c r="C178" t="s">
        <v>423</v>
      </c>
      <c r="D178" t="s">
        <v>73</v>
      </c>
      <c r="E178" t="s">
        <v>43</v>
      </c>
      <c r="F178">
        <v>46</v>
      </c>
      <c r="G178" t="s">
        <v>74</v>
      </c>
      <c r="H178" t="s">
        <v>31</v>
      </c>
      <c r="I178" t="s">
        <v>74</v>
      </c>
      <c r="J178" t="s">
        <v>201</v>
      </c>
      <c r="K178">
        <v>1</v>
      </c>
      <c r="L178">
        <v>581</v>
      </c>
      <c r="M178">
        <v>0</v>
      </c>
      <c r="N178">
        <v>0</v>
      </c>
      <c r="O178">
        <v>104.58</v>
      </c>
      <c r="P178">
        <v>19</v>
      </c>
      <c r="Q178">
        <v>704.58</v>
      </c>
      <c r="R178" t="s">
        <v>83</v>
      </c>
      <c r="S178" t="s">
        <v>34</v>
      </c>
      <c r="T178" t="s">
        <v>103</v>
      </c>
      <c r="U178" t="s">
        <v>103</v>
      </c>
      <c r="V178" t="s">
        <v>57</v>
      </c>
      <c r="W178">
        <v>4</v>
      </c>
      <c r="X178" t="s">
        <v>47</v>
      </c>
      <c r="Y178">
        <v>2</v>
      </c>
      <c r="Z178" t="s">
        <v>91</v>
      </c>
    </row>
    <row r="179" spans="1:26" x14ac:dyDescent="0.3">
      <c r="A179" t="s">
        <v>424</v>
      </c>
      <c r="B179" s="2">
        <v>46058</v>
      </c>
      <c r="C179" t="s">
        <v>425</v>
      </c>
      <c r="D179" t="s">
        <v>111</v>
      </c>
      <c r="E179" t="s">
        <v>29</v>
      </c>
      <c r="F179">
        <v>23</v>
      </c>
      <c r="G179" t="s">
        <v>134</v>
      </c>
      <c r="H179" t="s">
        <v>31</v>
      </c>
      <c r="I179" t="s">
        <v>134</v>
      </c>
      <c r="J179" t="s">
        <v>102</v>
      </c>
      <c r="K179">
        <v>3</v>
      </c>
      <c r="L179">
        <v>36753</v>
      </c>
      <c r="M179">
        <v>10</v>
      </c>
      <c r="N179">
        <v>11025.9</v>
      </c>
      <c r="O179">
        <v>17861.96</v>
      </c>
      <c r="P179">
        <v>200</v>
      </c>
      <c r="Q179">
        <v>117295.06</v>
      </c>
      <c r="R179" t="s">
        <v>54</v>
      </c>
      <c r="S179" t="s">
        <v>34</v>
      </c>
      <c r="T179" t="s">
        <v>95</v>
      </c>
      <c r="U179" t="s">
        <v>96</v>
      </c>
      <c r="V179" t="s">
        <v>57</v>
      </c>
      <c r="W179">
        <v>9</v>
      </c>
      <c r="X179" t="s">
        <v>38</v>
      </c>
      <c r="Y179">
        <v>3</v>
      </c>
      <c r="Z179" t="s">
        <v>58</v>
      </c>
    </row>
    <row r="180" spans="1:26" x14ac:dyDescent="0.3">
      <c r="A180" t="s">
        <v>426</v>
      </c>
      <c r="B180" s="2">
        <v>46011</v>
      </c>
      <c r="C180" t="s">
        <v>427</v>
      </c>
      <c r="D180" t="s">
        <v>28</v>
      </c>
      <c r="E180" t="s">
        <v>43</v>
      </c>
      <c r="F180">
        <v>30</v>
      </c>
      <c r="G180" t="s">
        <v>139</v>
      </c>
      <c r="H180" t="s">
        <v>31</v>
      </c>
      <c r="I180" t="s">
        <v>139</v>
      </c>
      <c r="J180" t="s">
        <v>75</v>
      </c>
      <c r="K180">
        <v>3</v>
      </c>
      <c r="L180">
        <v>34859</v>
      </c>
      <c r="M180">
        <v>5</v>
      </c>
      <c r="N180">
        <v>5228.8500000000004</v>
      </c>
      <c r="O180">
        <v>17882.669999999998</v>
      </c>
      <c r="P180">
        <v>482</v>
      </c>
      <c r="Q180">
        <v>117712.82</v>
      </c>
      <c r="R180" t="s">
        <v>54</v>
      </c>
      <c r="S180" t="s">
        <v>34</v>
      </c>
      <c r="T180" t="s">
        <v>70</v>
      </c>
      <c r="U180" t="s">
        <v>56</v>
      </c>
      <c r="V180" t="s">
        <v>57</v>
      </c>
      <c r="W180">
        <v>6</v>
      </c>
      <c r="X180" t="s">
        <v>47</v>
      </c>
      <c r="Y180">
        <v>1</v>
      </c>
      <c r="Z180" t="s">
        <v>47</v>
      </c>
    </row>
    <row r="181" spans="1:26" x14ac:dyDescent="0.3">
      <c r="A181" t="s">
        <v>428</v>
      </c>
      <c r="B181" s="2">
        <v>46101</v>
      </c>
      <c r="C181" t="s">
        <v>172</v>
      </c>
      <c r="D181" t="s">
        <v>108</v>
      </c>
      <c r="E181" t="s">
        <v>43</v>
      </c>
      <c r="F181">
        <v>38</v>
      </c>
      <c r="G181" t="s">
        <v>67</v>
      </c>
      <c r="H181" t="s">
        <v>68</v>
      </c>
      <c r="I181" t="s">
        <v>67</v>
      </c>
      <c r="J181" t="s">
        <v>150</v>
      </c>
      <c r="K181">
        <v>3</v>
      </c>
      <c r="L181">
        <v>27908</v>
      </c>
      <c r="M181">
        <v>15</v>
      </c>
      <c r="N181">
        <v>12558.6</v>
      </c>
      <c r="O181">
        <v>12809.77</v>
      </c>
      <c r="P181">
        <v>250</v>
      </c>
      <c r="Q181">
        <v>84225.17</v>
      </c>
      <c r="R181" t="s">
        <v>45</v>
      </c>
      <c r="S181" t="s">
        <v>34</v>
      </c>
      <c r="T181" t="s">
        <v>70</v>
      </c>
      <c r="U181" t="s">
        <v>56</v>
      </c>
      <c r="V181" t="s">
        <v>57</v>
      </c>
      <c r="W181">
        <v>9</v>
      </c>
      <c r="X181" t="s">
        <v>47</v>
      </c>
      <c r="Y181">
        <v>5</v>
      </c>
      <c r="Z181" t="s">
        <v>39</v>
      </c>
    </row>
    <row r="182" spans="1:26" x14ac:dyDescent="0.3">
      <c r="A182" t="s">
        <v>429</v>
      </c>
      <c r="B182" s="2">
        <v>46028</v>
      </c>
      <c r="C182" t="s">
        <v>301</v>
      </c>
      <c r="D182" t="s">
        <v>108</v>
      </c>
      <c r="E182" t="s">
        <v>43</v>
      </c>
      <c r="F182">
        <v>29</v>
      </c>
      <c r="G182" t="s">
        <v>139</v>
      </c>
      <c r="H182" t="s">
        <v>31</v>
      </c>
      <c r="I182" t="s">
        <v>139</v>
      </c>
      <c r="J182" t="s">
        <v>69</v>
      </c>
      <c r="K182">
        <v>3</v>
      </c>
      <c r="L182">
        <v>47658</v>
      </c>
      <c r="M182">
        <v>0</v>
      </c>
      <c r="N182">
        <v>0</v>
      </c>
      <c r="O182">
        <v>25735.32</v>
      </c>
      <c r="P182">
        <v>240</v>
      </c>
      <c r="Q182">
        <v>168949.32</v>
      </c>
      <c r="R182" t="s">
        <v>45</v>
      </c>
      <c r="S182" t="s">
        <v>34</v>
      </c>
      <c r="T182" t="s">
        <v>70</v>
      </c>
      <c r="U182" t="s">
        <v>56</v>
      </c>
      <c r="V182" t="s">
        <v>57</v>
      </c>
      <c r="W182">
        <v>4</v>
      </c>
      <c r="X182" t="s">
        <v>38</v>
      </c>
      <c r="Y182">
        <v>2</v>
      </c>
      <c r="Z182" t="s">
        <v>58</v>
      </c>
    </row>
    <row r="183" spans="1:26" x14ac:dyDescent="0.3">
      <c r="A183" t="s">
        <v>430</v>
      </c>
      <c r="B183" s="2">
        <v>45954</v>
      </c>
      <c r="C183" t="s">
        <v>431</v>
      </c>
      <c r="D183" t="s">
        <v>89</v>
      </c>
      <c r="E183" t="s">
        <v>43</v>
      </c>
      <c r="F183">
        <v>56</v>
      </c>
      <c r="G183" t="s">
        <v>30</v>
      </c>
      <c r="H183" t="s">
        <v>31</v>
      </c>
      <c r="I183" t="s">
        <v>30</v>
      </c>
      <c r="J183" t="s">
        <v>62</v>
      </c>
      <c r="K183">
        <v>4</v>
      </c>
      <c r="L183">
        <v>2329</v>
      </c>
      <c r="M183">
        <v>0</v>
      </c>
      <c r="N183">
        <v>0</v>
      </c>
      <c r="O183">
        <v>1676.88</v>
      </c>
      <c r="P183">
        <v>348</v>
      </c>
      <c r="Q183">
        <v>11340.88</v>
      </c>
      <c r="R183" t="s">
        <v>54</v>
      </c>
      <c r="S183" t="s">
        <v>34</v>
      </c>
      <c r="T183" t="s">
        <v>55</v>
      </c>
      <c r="U183" t="s">
        <v>56</v>
      </c>
      <c r="V183" t="s">
        <v>57</v>
      </c>
      <c r="W183">
        <v>1</v>
      </c>
      <c r="X183" t="s">
        <v>38</v>
      </c>
      <c r="Y183">
        <v>2</v>
      </c>
      <c r="Z183" t="s">
        <v>39</v>
      </c>
    </row>
    <row r="184" spans="1:26" x14ac:dyDescent="0.3">
      <c r="A184" t="s">
        <v>432</v>
      </c>
      <c r="B184" s="2">
        <v>45975</v>
      </c>
      <c r="C184" t="s">
        <v>433</v>
      </c>
      <c r="D184" t="s">
        <v>89</v>
      </c>
      <c r="E184" t="s">
        <v>43</v>
      </c>
      <c r="F184">
        <v>42</v>
      </c>
      <c r="G184" t="s">
        <v>30</v>
      </c>
      <c r="H184" t="s">
        <v>31</v>
      </c>
      <c r="I184" t="s">
        <v>30</v>
      </c>
      <c r="J184" t="s">
        <v>201</v>
      </c>
      <c r="K184">
        <v>2</v>
      </c>
      <c r="L184">
        <v>10674</v>
      </c>
      <c r="M184">
        <v>20</v>
      </c>
      <c r="N184">
        <v>4269.6000000000004</v>
      </c>
      <c r="O184">
        <v>3074.11</v>
      </c>
      <c r="P184">
        <v>316</v>
      </c>
      <c r="Q184">
        <v>20468.509999999998</v>
      </c>
      <c r="R184" t="s">
        <v>33</v>
      </c>
      <c r="S184" t="s">
        <v>34</v>
      </c>
      <c r="T184" t="s">
        <v>46</v>
      </c>
      <c r="U184" t="s">
        <v>36</v>
      </c>
      <c r="V184" t="s">
        <v>37</v>
      </c>
      <c r="W184">
        <v>5</v>
      </c>
      <c r="X184" t="s">
        <v>38</v>
      </c>
      <c r="Y184">
        <v>1</v>
      </c>
      <c r="Z184" t="s">
        <v>91</v>
      </c>
    </row>
    <row r="185" spans="1:26" x14ac:dyDescent="0.3">
      <c r="A185" t="s">
        <v>434</v>
      </c>
      <c r="B185" s="2">
        <v>45910</v>
      </c>
      <c r="C185" t="s">
        <v>435</v>
      </c>
      <c r="D185" t="s">
        <v>108</v>
      </c>
      <c r="E185" t="s">
        <v>29</v>
      </c>
      <c r="F185">
        <v>37</v>
      </c>
      <c r="G185" t="s">
        <v>139</v>
      </c>
      <c r="H185" t="s">
        <v>31</v>
      </c>
      <c r="I185" t="s">
        <v>139</v>
      </c>
      <c r="J185" t="s">
        <v>62</v>
      </c>
      <c r="K185">
        <v>4</v>
      </c>
      <c r="L185">
        <v>9797</v>
      </c>
      <c r="M185">
        <v>15</v>
      </c>
      <c r="N185">
        <v>5878.2</v>
      </c>
      <c r="O185">
        <v>5995.76</v>
      </c>
      <c r="P185">
        <v>457</v>
      </c>
      <c r="Q185">
        <v>39762.559999999998</v>
      </c>
      <c r="R185" t="s">
        <v>83</v>
      </c>
      <c r="S185" t="s">
        <v>34</v>
      </c>
      <c r="T185" t="s">
        <v>55</v>
      </c>
      <c r="U185" t="s">
        <v>56</v>
      </c>
      <c r="V185" t="s">
        <v>57</v>
      </c>
      <c r="W185">
        <v>3</v>
      </c>
      <c r="X185" t="s">
        <v>47</v>
      </c>
      <c r="Y185">
        <v>5</v>
      </c>
      <c r="Z185" t="s">
        <v>91</v>
      </c>
    </row>
    <row r="186" spans="1:26" x14ac:dyDescent="0.3">
      <c r="A186" t="s">
        <v>436</v>
      </c>
      <c r="B186" s="2">
        <v>45990</v>
      </c>
      <c r="C186" t="s">
        <v>299</v>
      </c>
      <c r="D186" t="s">
        <v>80</v>
      </c>
      <c r="E186" t="s">
        <v>43</v>
      </c>
      <c r="F186">
        <v>46</v>
      </c>
      <c r="G186" t="s">
        <v>74</v>
      </c>
      <c r="H186" t="s">
        <v>31</v>
      </c>
      <c r="I186" t="s">
        <v>74</v>
      </c>
      <c r="J186" t="s">
        <v>32</v>
      </c>
      <c r="K186">
        <v>3</v>
      </c>
      <c r="L186">
        <v>44724</v>
      </c>
      <c r="M186">
        <v>5</v>
      </c>
      <c r="N186">
        <v>6708.6</v>
      </c>
      <c r="O186">
        <v>22943.41</v>
      </c>
      <c r="P186">
        <v>76</v>
      </c>
      <c r="Q186">
        <v>150482.81</v>
      </c>
      <c r="R186" t="s">
        <v>83</v>
      </c>
      <c r="S186" t="s">
        <v>34</v>
      </c>
      <c r="T186" t="s">
        <v>103</v>
      </c>
      <c r="U186" t="s">
        <v>103</v>
      </c>
      <c r="V186" t="s">
        <v>57</v>
      </c>
      <c r="W186">
        <v>7</v>
      </c>
      <c r="X186" t="s">
        <v>47</v>
      </c>
      <c r="Y186">
        <v>2</v>
      </c>
      <c r="Z186" t="s">
        <v>91</v>
      </c>
    </row>
    <row r="187" spans="1:26" x14ac:dyDescent="0.3">
      <c r="A187" t="s">
        <v>437</v>
      </c>
      <c r="B187" s="2">
        <v>46075</v>
      </c>
      <c r="C187" t="s">
        <v>438</v>
      </c>
      <c r="D187" t="s">
        <v>80</v>
      </c>
      <c r="E187" t="s">
        <v>29</v>
      </c>
      <c r="F187">
        <v>33</v>
      </c>
      <c r="G187" t="s">
        <v>44</v>
      </c>
      <c r="H187" t="s">
        <v>31</v>
      </c>
      <c r="I187" t="s">
        <v>44</v>
      </c>
      <c r="J187" t="s">
        <v>150</v>
      </c>
      <c r="K187">
        <v>2</v>
      </c>
      <c r="L187">
        <v>41199</v>
      </c>
      <c r="M187">
        <v>20</v>
      </c>
      <c r="N187">
        <v>16479.599999999999</v>
      </c>
      <c r="O187">
        <v>11865.31</v>
      </c>
      <c r="P187">
        <v>317</v>
      </c>
      <c r="Q187">
        <v>78100.710000000006</v>
      </c>
      <c r="R187" t="s">
        <v>54</v>
      </c>
      <c r="S187" t="s">
        <v>63</v>
      </c>
      <c r="T187" t="s">
        <v>46</v>
      </c>
      <c r="U187" t="s">
        <v>36</v>
      </c>
      <c r="V187" t="s">
        <v>37</v>
      </c>
      <c r="W187">
        <v>2</v>
      </c>
      <c r="X187" t="s">
        <v>38</v>
      </c>
      <c r="Y187">
        <v>3</v>
      </c>
      <c r="Z187" t="s">
        <v>39</v>
      </c>
    </row>
    <row r="188" spans="1:26" x14ac:dyDescent="0.3">
      <c r="A188" t="s">
        <v>439</v>
      </c>
      <c r="B188" s="2">
        <v>45849</v>
      </c>
      <c r="C188" t="s">
        <v>375</v>
      </c>
      <c r="D188" t="s">
        <v>73</v>
      </c>
      <c r="E188" t="s">
        <v>43</v>
      </c>
      <c r="F188">
        <v>37</v>
      </c>
      <c r="G188" t="s">
        <v>94</v>
      </c>
      <c r="H188" t="s">
        <v>31</v>
      </c>
      <c r="I188" t="s">
        <v>94</v>
      </c>
      <c r="J188" t="s">
        <v>75</v>
      </c>
      <c r="K188">
        <v>5</v>
      </c>
      <c r="L188">
        <v>41589</v>
      </c>
      <c r="M188">
        <v>0</v>
      </c>
      <c r="N188">
        <v>0</v>
      </c>
      <c r="O188">
        <v>37430.1</v>
      </c>
      <c r="P188">
        <v>194</v>
      </c>
      <c r="Q188">
        <v>245569.1</v>
      </c>
      <c r="R188" t="s">
        <v>33</v>
      </c>
      <c r="S188" t="s">
        <v>63</v>
      </c>
      <c r="T188" t="s">
        <v>70</v>
      </c>
      <c r="U188" t="s">
        <v>56</v>
      </c>
      <c r="V188" t="s">
        <v>57</v>
      </c>
      <c r="W188">
        <v>10</v>
      </c>
      <c r="X188" t="s">
        <v>38</v>
      </c>
      <c r="Y188">
        <v>1</v>
      </c>
      <c r="Z188" t="s">
        <v>39</v>
      </c>
    </row>
    <row r="189" spans="1:26" x14ac:dyDescent="0.3">
      <c r="A189" t="s">
        <v>440</v>
      </c>
      <c r="B189" s="2">
        <v>46068</v>
      </c>
      <c r="C189" t="s">
        <v>441</v>
      </c>
      <c r="D189" t="s">
        <v>42</v>
      </c>
      <c r="E189" t="s">
        <v>43</v>
      </c>
      <c r="F189">
        <v>50</v>
      </c>
      <c r="G189" t="s">
        <v>139</v>
      </c>
      <c r="H189" t="s">
        <v>31</v>
      </c>
      <c r="I189" t="s">
        <v>139</v>
      </c>
      <c r="J189" t="s">
        <v>150</v>
      </c>
      <c r="K189">
        <v>3</v>
      </c>
      <c r="L189">
        <v>38807</v>
      </c>
      <c r="M189">
        <v>5</v>
      </c>
      <c r="N189">
        <v>5821.05</v>
      </c>
      <c r="O189">
        <v>19907.990000000002</v>
      </c>
      <c r="P189">
        <v>361</v>
      </c>
      <c r="Q189">
        <v>130868.94</v>
      </c>
      <c r="R189" t="s">
        <v>45</v>
      </c>
      <c r="S189" t="s">
        <v>34</v>
      </c>
      <c r="T189" t="s">
        <v>46</v>
      </c>
      <c r="U189" t="s">
        <v>36</v>
      </c>
      <c r="V189" t="s">
        <v>37</v>
      </c>
      <c r="W189">
        <v>10</v>
      </c>
      <c r="X189" t="s">
        <v>47</v>
      </c>
      <c r="Y189">
        <v>5</v>
      </c>
      <c r="Z189" t="s">
        <v>47</v>
      </c>
    </row>
    <row r="190" spans="1:26" x14ac:dyDescent="0.3">
      <c r="A190" t="s">
        <v>442</v>
      </c>
      <c r="B190" s="2">
        <v>45840</v>
      </c>
      <c r="C190" t="s">
        <v>443</v>
      </c>
      <c r="D190" t="s">
        <v>61</v>
      </c>
      <c r="E190" t="s">
        <v>43</v>
      </c>
      <c r="F190">
        <v>32</v>
      </c>
      <c r="G190" t="s">
        <v>30</v>
      </c>
      <c r="H190" t="s">
        <v>31</v>
      </c>
      <c r="I190" t="s">
        <v>30</v>
      </c>
      <c r="J190" t="s">
        <v>69</v>
      </c>
      <c r="K190">
        <v>1</v>
      </c>
      <c r="L190">
        <v>6099</v>
      </c>
      <c r="M190">
        <v>0</v>
      </c>
      <c r="N190">
        <v>0</v>
      </c>
      <c r="O190">
        <v>1097.82</v>
      </c>
      <c r="P190">
        <v>238</v>
      </c>
      <c r="Q190">
        <v>7434.82</v>
      </c>
      <c r="R190" t="s">
        <v>45</v>
      </c>
      <c r="S190" t="s">
        <v>63</v>
      </c>
      <c r="T190" t="s">
        <v>95</v>
      </c>
      <c r="U190" t="s">
        <v>96</v>
      </c>
      <c r="V190" t="s">
        <v>57</v>
      </c>
      <c r="W190">
        <v>10</v>
      </c>
      <c r="X190" t="s">
        <v>38</v>
      </c>
      <c r="Y190">
        <v>2</v>
      </c>
      <c r="Z190" t="s">
        <v>39</v>
      </c>
    </row>
    <row r="191" spans="1:26" x14ac:dyDescent="0.3">
      <c r="A191" t="s">
        <v>444</v>
      </c>
      <c r="B191" s="2">
        <v>45929</v>
      </c>
      <c r="C191" t="s">
        <v>445</v>
      </c>
      <c r="D191" t="s">
        <v>108</v>
      </c>
      <c r="E191" t="s">
        <v>29</v>
      </c>
      <c r="F191">
        <v>25</v>
      </c>
      <c r="G191" t="s">
        <v>51</v>
      </c>
      <c r="H191" t="s">
        <v>52</v>
      </c>
      <c r="I191" t="s">
        <v>51</v>
      </c>
      <c r="J191" t="s">
        <v>201</v>
      </c>
      <c r="K191">
        <v>1</v>
      </c>
      <c r="L191">
        <v>22901</v>
      </c>
      <c r="M191">
        <v>0</v>
      </c>
      <c r="N191">
        <v>0</v>
      </c>
      <c r="O191">
        <v>4122.18</v>
      </c>
      <c r="P191">
        <v>141</v>
      </c>
      <c r="Q191">
        <v>27164.18</v>
      </c>
      <c r="R191" t="s">
        <v>54</v>
      </c>
      <c r="S191" t="s">
        <v>34</v>
      </c>
      <c r="T191" t="s">
        <v>95</v>
      </c>
      <c r="U191" t="s">
        <v>96</v>
      </c>
      <c r="V191" t="s">
        <v>57</v>
      </c>
      <c r="W191">
        <v>4</v>
      </c>
      <c r="X191" t="s">
        <v>47</v>
      </c>
      <c r="Y191">
        <v>3</v>
      </c>
      <c r="Z191" t="s">
        <v>39</v>
      </c>
    </row>
    <row r="192" spans="1:26" x14ac:dyDescent="0.3">
      <c r="A192" t="s">
        <v>446</v>
      </c>
      <c r="B192" s="2">
        <v>45994</v>
      </c>
      <c r="C192" t="s">
        <v>447</v>
      </c>
      <c r="D192" t="s">
        <v>61</v>
      </c>
      <c r="E192" t="s">
        <v>29</v>
      </c>
      <c r="F192">
        <v>58</v>
      </c>
      <c r="G192" t="s">
        <v>44</v>
      </c>
      <c r="H192" t="s">
        <v>31</v>
      </c>
      <c r="I192" t="s">
        <v>44</v>
      </c>
      <c r="J192" t="s">
        <v>53</v>
      </c>
      <c r="K192">
        <v>2</v>
      </c>
      <c r="L192">
        <v>15512</v>
      </c>
      <c r="M192">
        <v>20</v>
      </c>
      <c r="N192">
        <v>6204.8</v>
      </c>
      <c r="O192">
        <v>4467.46</v>
      </c>
      <c r="P192">
        <v>484</v>
      </c>
      <c r="Q192">
        <v>29770.66</v>
      </c>
      <c r="R192" t="s">
        <v>83</v>
      </c>
      <c r="S192" t="s">
        <v>63</v>
      </c>
      <c r="T192" t="s">
        <v>35</v>
      </c>
      <c r="U192" t="s">
        <v>36</v>
      </c>
      <c r="V192" t="s">
        <v>37</v>
      </c>
      <c r="W192">
        <v>8</v>
      </c>
      <c r="X192" t="s">
        <v>47</v>
      </c>
      <c r="Y192">
        <v>1</v>
      </c>
      <c r="Z192" t="s">
        <v>47</v>
      </c>
    </row>
    <row r="193" spans="1:26" x14ac:dyDescent="0.3">
      <c r="A193" t="s">
        <v>448</v>
      </c>
      <c r="B193" s="2">
        <v>45778</v>
      </c>
      <c r="C193" t="s">
        <v>449</v>
      </c>
      <c r="D193" t="s">
        <v>28</v>
      </c>
      <c r="E193" t="s">
        <v>43</v>
      </c>
      <c r="F193">
        <v>58</v>
      </c>
      <c r="G193" t="s">
        <v>94</v>
      </c>
      <c r="H193" t="s">
        <v>31</v>
      </c>
      <c r="I193" t="s">
        <v>94</v>
      </c>
      <c r="J193" t="s">
        <v>62</v>
      </c>
      <c r="K193">
        <v>3</v>
      </c>
      <c r="L193">
        <v>15329</v>
      </c>
      <c r="M193">
        <v>15</v>
      </c>
      <c r="N193">
        <v>6898.05</v>
      </c>
      <c r="O193">
        <v>7036.01</v>
      </c>
      <c r="P193">
        <v>288</v>
      </c>
      <c r="Q193">
        <v>46412.959999999999</v>
      </c>
      <c r="R193" t="s">
        <v>45</v>
      </c>
      <c r="S193" t="s">
        <v>63</v>
      </c>
      <c r="T193" t="s">
        <v>76</v>
      </c>
      <c r="U193" t="s">
        <v>77</v>
      </c>
      <c r="V193" t="s">
        <v>57</v>
      </c>
      <c r="W193">
        <v>4</v>
      </c>
      <c r="X193" t="s">
        <v>38</v>
      </c>
      <c r="Y193">
        <v>5</v>
      </c>
      <c r="Z193" t="s">
        <v>91</v>
      </c>
    </row>
    <row r="194" spans="1:26" x14ac:dyDescent="0.3">
      <c r="A194" t="s">
        <v>450</v>
      </c>
      <c r="B194" s="2">
        <v>45814</v>
      </c>
      <c r="C194" t="s">
        <v>451</v>
      </c>
      <c r="D194" t="s">
        <v>28</v>
      </c>
      <c r="E194" t="s">
        <v>43</v>
      </c>
      <c r="F194">
        <v>57</v>
      </c>
      <c r="G194" t="s">
        <v>51</v>
      </c>
      <c r="H194" t="s">
        <v>52</v>
      </c>
      <c r="I194" t="s">
        <v>51</v>
      </c>
      <c r="J194" t="s">
        <v>32</v>
      </c>
      <c r="K194">
        <v>1</v>
      </c>
      <c r="L194">
        <v>10386</v>
      </c>
      <c r="M194">
        <v>10</v>
      </c>
      <c r="N194">
        <v>1038.5999999999999</v>
      </c>
      <c r="O194">
        <v>1682.53</v>
      </c>
      <c r="P194">
        <v>35</v>
      </c>
      <c r="Q194">
        <v>11064.93</v>
      </c>
      <c r="R194" t="s">
        <v>83</v>
      </c>
      <c r="S194" t="s">
        <v>63</v>
      </c>
      <c r="T194" t="s">
        <v>70</v>
      </c>
      <c r="U194" t="s">
        <v>56</v>
      </c>
      <c r="V194" t="s">
        <v>57</v>
      </c>
      <c r="W194">
        <v>10</v>
      </c>
      <c r="X194" t="s">
        <v>47</v>
      </c>
      <c r="Y194">
        <v>4</v>
      </c>
      <c r="Z194" t="s">
        <v>39</v>
      </c>
    </row>
    <row r="195" spans="1:26" x14ac:dyDescent="0.3">
      <c r="A195" t="s">
        <v>452</v>
      </c>
      <c r="B195" s="2">
        <v>45802</v>
      </c>
      <c r="C195" t="s">
        <v>453</v>
      </c>
      <c r="D195" t="s">
        <v>111</v>
      </c>
      <c r="E195" t="s">
        <v>43</v>
      </c>
      <c r="F195">
        <v>24</v>
      </c>
      <c r="G195" t="s">
        <v>90</v>
      </c>
      <c r="H195" t="s">
        <v>31</v>
      </c>
      <c r="I195" t="s">
        <v>90</v>
      </c>
      <c r="J195" t="s">
        <v>125</v>
      </c>
      <c r="K195">
        <v>1</v>
      </c>
      <c r="L195">
        <v>35438</v>
      </c>
      <c r="M195">
        <v>20</v>
      </c>
      <c r="N195">
        <v>7087.6</v>
      </c>
      <c r="O195">
        <v>5103.07</v>
      </c>
      <c r="P195">
        <v>457</v>
      </c>
      <c r="Q195">
        <v>33910.47</v>
      </c>
      <c r="R195" t="s">
        <v>33</v>
      </c>
      <c r="S195" t="s">
        <v>34</v>
      </c>
      <c r="T195" t="s">
        <v>55</v>
      </c>
      <c r="U195" t="s">
        <v>56</v>
      </c>
      <c r="V195" t="s">
        <v>57</v>
      </c>
      <c r="W195">
        <v>10</v>
      </c>
      <c r="X195" t="s">
        <v>38</v>
      </c>
      <c r="Y195">
        <v>1</v>
      </c>
      <c r="Z195" t="s">
        <v>47</v>
      </c>
    </row>
    <row r="196" spans="1:26" x14ac:dyDescent="0.3">
      <c r="A196" t="s">
        <v>454</v>
      </c>
      <c r="B196" s="2">
        <v>46007</v>
      </c>
      <c r="C196" t="s">
        <v>455</v>
      </c>
      <c r="D196" t="s">
        <v>28</v>
      </c>
      <c r="E196" t="s">
        <v>29</v>
      </c>
      <c r="F196">
        <v>56</v>
      </c>
      <c r="G196" t="s">
        <v>51</v>
      </c>
      <c r="H196" t="s">
        <v>52</v>
      </c>
      <c r="I196" t="s">
        <v>51</v>
      </c>
      <c r="J196" t="s">
        <v>62</v>
      </c>
      <c r="K196">
        <v>2</v>
      </c>
      <c r="L196">
        <v>44534</v>
      </c>
      <c r="M196">
        <v>15</v>
      </c>
      <c r="N196">
        <v>13360.2</v>
      </c>
      <c r="O196">
        <v>13627.4</v>
      </c>
      <c r="P196">
        <v>3</v>
      </c>
      <c r="Q196">
        <v>89338.2</v>
      </c>
      <c r="R196" t="s">
        <v>45</v>
      </c>
      <c r="S196" t="s">
        <v>34</v>
      </c>
      <c r="T196" t="s">
        <v>103</v>
      </c>
      <c r="U196" t="s">
        <v>103</v>
      </c>
      <c r="V196" t="s">
        <v>57</v>
      </c>
      <c r="W196">
        <v>5</v>
      </c>
      <c r="X196" t="s">
        <v>38</v>
      </c>
      <c r="Y196">
        <v>2</v>
      </c>
      <c r="Z196" t="s">
        <v>47</v>
      </c>
    </row>
    <row r="197" spans="1:26" x14ac:dyDescent="0.3">
      <c r="A197" t="s">
        <v>456</v>
      </c>
      <c r="B197" s="2">
        <v>46005</v>
      </c>
      <c r="C197" t="s">
        <v>457</v>
      </c>
      <c r="D197" t="s">
        <v>111</v>
      </c>
      <c r="E197" t="s">
        <v>29</v>
      </c>
      <c r="F197">
        <v>50</v>
      </c>
      <c r="G197" t="s">
        <v>139</v>
      </c>
      <c r="H197" t="s">
        <v>31</v>
      </c>
      <c r="I197" t="s">
        <v>139</v>
      </c>
      <c r="J197" t="s">
        <v>62</v>
      </c>
      <c r="K197">
        <v>3</v>
      </c>
      <c r="L197">
        <v>34485</v>
      </c>
      <c r="M197">
        <v>20</v>
      </c>
      <c r="N197">
        <v>20691</v>
      </c>
      <c r="O197">
        <v>14897.52</v>
      </c>
      <c r="P197">
        <v>283</v>
      </c>
      <c r="Q197">
        <v>97944.52</v>
      </c>
      <c r="R197" t="s">
        <v>45</v>
      </c>
      <c r="S197" t="s">
        <v>63</v>
      </c>
      <c r="T197" t="s">
        <v>76</v>
      </c>
      <c r="U197" t="s">
        <v>77</v>
      </c>
      <c r="V197" t="s">
        <v>57</v>
      </c>
      <c r="W197">
        <v>6</v>
      </c>
      <c r="X197" t="s">
        <v>38</v>
      </c>
      <c r="Y197">
        <v>5</v>
      </c>
      <c r="Z197" t="s">
        <v>58</v>
      </c>
    </row>
    <row r="198" spans="1:26" x14ac:dyDescent="0.3">
      <c r="A198" t="s">
        <v>458</v>
      </c>
      <c r="B198" s="2">
        <v>46099</v>
      </c>
      <c r="C198" t="s">
        <v>459</v>
      </c>
      <c r="D198" t="s">
        <v>28</v>
      </c>
      <c r="E198" t="s">
        <v>29</v>
      </c>
      <c r="F198">
        <v>29</v>
      </c>
      <c r="G198" t="s">
        <v>134</v>
      </c>
      <c r="H198" t="s">
        <v>31</v>
      </c>
      <c r="I198" t="s">
        <v>134</v>
      </c>
      <c r="J198" t="s">
        <v>112</v>
      </c>
      <c r="K198">
        <v>5</v>
      </c>
      <c r="L198">
        <v>2512</v>
      </c>
      <c r="M198">
        <v>5</v>
      </c>
      <c r="N198">
        <v>628</v>
      </c>
      <c r="O198">
        <v>2147.7600000000002</v>
      </c>
      <c r="P198">
        <v>234</v>
      </c>
      <c r="Q198">
        <v>14313.76</v>
      </c>
      <c r="R198" t="s">
        <v>54</v>
      </c>
      <c r="S198" t="s">
        <v>34</v>
      </c>
      <c r="T198" t="s">
        <v>35</v>
      </c>
      <c r="U198" t="s">
        <v>36</v>
      </c>
      <c r="V198" t="s">
        <v>37</v>
      </c>
      <c r="W198">
        <v>5</v>
      </c>
      <c r="X198" t="s">
        <v>38</v>
      </c>
      <c r="Y198">
        <v>2</v>
      </c>
      <c r="Z198" t="s">
        <v>39</v>
      </c>
    </row>
    <row r="199" spans="1:26" x14ac:dyDescent="0.3">
      <c r="A199" t="s">
        <v>460</v>
      </c>
      <c r="B199" s="2">
        <v>45809</v>
      </c>
      <c r="C199" t="s">
        <v>461</v>
      </c>
      <c r="D199" t="s">
        <v>73</v>
      </c>
      <c r="E199" t="s">
        <v>43</v>
      </c>
      <c r="F199">
        <v>33</v>
      </c>
      <c r="G199" t="s">
        <v>74</v>
      </c>
      <c r="H199" t="s">
        <v>31</v>
      </c>
      <c r="I199" t="s">
        <v>74</v>
      </c>
      <c r="J199" t="s">
        <v>102</v>
      </c>
      <c r="K199">
        <v>5</v>
      </c>
      <c r="L199">
        <v>17388</v>
      </c>
      <c r="M199">
        <v>0</v>
      </c>
      <c r="N199">
        <v>0</v>
      </c>
      <c r="O199">
        <v>15649.2</v>
      </c>
      <c r="P199">
        <v>308</v>
      </c>
      <c r="Q199">
        <v>102897.2</v>
      </c>
      <c r="R199" t="s">
        <v>54</v>
      </c>
      <c r="S199" t="s">
        <v>63</v>
      </c>
      <c r="T199" t="s">
        <v>84</v>
      </c>
      <c r="U199" t="s">
        <v>85</v>
      </c>
      <c r="V199" t="s">
        <v>86</v>
      </c>
      <c r="W199">
        <v>7</v>
      </c>
      <c r="X199" t="s">
        <v>47</v>
      </c>
      <c r="Y199">
        <v>5</v>
      </c>
      <c r="Z199" t="s">
        <v>39</v>
      </c>
    </row>
    <row r="200" spans="1:26" x14ac:dyDescent="0.3">
      <c r="A200" t="s">
        <v>462</v>
      </c>
      <c r="B200" s="2">
        <v>45948</v>
      </c>
      <c r="C200" t="s">
        <v>419</v>
      </c>
      <c r="D200" t="s">
        <v>50</v>
      </c>
      <c r="E200" t="s">
        <v>43</v>
      </c>
      <c r="F200">
        <v>57</v>
      </c>
      <c r="G200" t="s">
        <v>139</v>
      </c>
      <c r="H200" t="s">
        <v>31</v>
      </c>
      <c r="I200" t="s">
        <v>139</v>
      </c>
      <c r="J200" t="s">
        <v>53</v>
      </c>
      <c r="K200">
        <v>2</v>
      </c>
      <c r="L200">
        <v>2519</v>
      </c>
      <c r="M200">
        <v>0</v>
      </c>
      <c r="N200">
        <v>0</v>
      </c>
      <c r="O200">
        <v>906.84</v>
      </c>
      <c r="P200">
        <v>204</v>
      </c>
      <c r="Q200">
        <v>6148.84</v>
      </c>
      <c r="R200" t="s">
        <v>83</v>
      </c>
      <c r="S200" t="s">
        <v>34</v>
      </c>
      <c r="T200" t="s">
        <v>84</v>
      </c>
      <c r="U200" t="s">
        <v>85</v>
      </c>
      <c r="V200" t="s">
        <v>86</v>
      </c>
      <c r="W200">
        <v>8</v>
      </c>
      <c r="X200" t="s">
        <v>38</v>
      </c>
      <c r="Y200">
        <v>3</v>
      </c>
      <c r="Z200" t="s">
        <v>91</v>
      </c>
    </row>
    <row r="201" spans="1:26" x14ac:dyDescent="0.3">
      <c r="A201" t="s">
        <v>463</v>
      </c>
      <c r="B201" s="2">
        <v>45873</v>
      </c>
      <c r="C201" t="s">
        <v>464</v>
      </c>
      <c r="D201" t="s">
        <v>28</v>
      </c>
      <c r="E201" t="s">
        <v>43</v>
      </c>
      <c r="F201">
        <v>51</v>
      </c>
      <c r="G201" t="s">
        <v>30</v>
      </c>
      <c r="H201" t="s">
        <v>31</v>
      </c>
      <c r="I201" t="s">
        <v>30</v>
      </c>
      <c r="J201" t="s">
        <v>201</v>
      </c>
      <c r="K201">
        <v>3</v>
      </c>
      <c r="L201">
        <v>16183</v>
      </c>
      <c r="M201">
        <v>10</v>
      </c>
      <c r="N201">
        <v>4854.8999999999996</v>
      </c>
      <c r="O201">
        <v>7864.94</v>
      </c>
      <c r="P201">
        <v>2</v>
      </c>
      <c r="Q201">
        <v>51561.04</v>
      </c>
      <c r="R201" t="s">
        <v>33</v>
      </c>
      <c r="S201" t="s">
        <v>63</v>
      </c>
      <c r="T201" t="s">
        <v>35</v>
      </c>
      <c r="U201" t="s">
        <v>36</v>
      </c>
      <c r="V201" t="s">
        <v>37</v>
      </c>
      <c r="W201">
        <v>6</v>
      </c>
      <c r="X201" t="s">
        <v>47</v>
      </c>
      <c r="Y201">
        <v>2</v>
      </c>
      <c r="Z201" t="s">
        <v>47</v>
      </c>
    </row>
    <row r="202" spans="1:26" x14ac:dyDescent="0.3">
      <c r="A202" t="s">
        <v>465</v>
      </c>
      <c r="B202" s="2">
        <v>45862</v>
      </c>
      <c r="C202" t="s">
        <v>449</v>
      </c>
      <c r="D202" t="s">
        <v>42</v>
      </c>
      <c r="E202" t="s">
        <v>29</v>
      </c>
      <c r="F202">
        <v>18</v>
      </c>
      <c r="G202" t="s">
        <v>139</v>
      </c>
      <c r="H202" t="s">
        <v>31</v>
      </c>
      <c r="I202" t="s">
        <v>139</v>
      </c>
      <c r="J202" t="s">
        <v>53</v>
      </c>
      <c r="K202">
        <v>1</v>
      </c>
      <c r="L202">
        <v>10602</v>
      </c>
      <c r="M202">
        <v>5</v>
      </c>
      <c r="N202">
        <v>530.1</v>
      </c>
      <c r="O202">
        <v>1812.94</v>
      </c>
      <c r="P202">
        <v>367</v>
      </c>
      <c r="Q202">
        <v>12251.84</v>
      </c>
      <c r="R202" t="s">
        <v>33</v>
      </c>
      <c r="S202" t="s">
        <v>34</v>
      </c>
      <c r="T202" t="s">
        <v>95</v>
      </c>
      <c r="U202" t="s">
        <v>96</v>
      </c>
      <c r="V202" t="s">
        <v>57</v>
      </c>
      <c r="W202">
        <v>2</v>
      </c>
      <c r="X202" t="s">
        <v>38</v>
      </c>
      <c r="Y202">
        <v>1</v>
      </c>
      <c r="Z202" t="s">
        <v>58</v>
      </c>
    </row>
    <row r="203" spans="1:26" x14ac:dyDescent="0.3">
      <c r="A203" t="s">
        <v>466</v>
      </c>
      <c r="B203" s="2">
        <v>45911</v>
      </c>
      <c r="C203" t="s">
        <v>467</v>
      </c>
      <c r="D203" t="s">
        <v>66</v>
      </c>
      <c r="E203" t="s">
        <v>29</v>
      </c>
      <c r="F203">
        <v>21</v>
      </c>
      <c r="G203" t="s">
        <v>139</v>
      </c>
      <c r="H203" t="s">
        <v>31</v>
      </c>
      <c r="I203" t="s">
        <v>139</v>
      </c>
      <c r="J203" t="s">
        <v>125</v>
      </c>
      <c r="K203">
        <v>4</v>
      </c>
      <c r="L203">
        <v>7961</v>
      </c>
      <c r="M203">
        <v>10</v>
      </c>
      <c r="N203">
        <v>3184.4</v>
      </c>
      <c r="O203">
        <v>5158.7299999999996</v>
      </c>
      <c r="P203">
        <v>317</v>
      </c>
      <c r="Q203">
        <v>34135.33</v>
      </c>
      <c r="R203" t="s">
        <v>33</v>
      </c>
      <c r="S203" t="s">
        <v>34</v>
      </c>
      <c r="T203" t="s">
        <v>46</v>
      </c>
      <c r="U203" t="s">
        <v>36</v>
      </c>
      <c r="V203" t="s">
        <v>37</v>
      </c>
      <c r="W203">
        <v>4</v>
      </c>
      <c r="X203" t="s">
        <v>47</v>
      </c>
      <c r="Y203">
        <v>5</v>
      </c>
      <c r="Z203" t="s">
        <v>91</v>
      </c>
    </row>
    <row r="204" spans="1:26" x14ac:dyDescent="0.3">
      <c r="A204" t="s">
        <v>468</v>
      </c>
      <c r="B204" s="2">
        <v>46072</v>
      </c>
      <c r="C204" t="s">
        <v>469</v>
      </c>
      <c r="D204" t="s">
        <v>66</v>
      </c>
      <c r="E204" t="s">
        <v>29</v>
      </c>
      <c r="F204">
        <v>19</v>
      </c>
      <c r="G204" t="s">
        <v>51</v>
      </c>
      <c r="H204" t="s">
        <v>52</v>
      </c>
      <c r="I204" t="s">
        <v>51</v>
      </c>
      <c r="J204" t="s">
        <v>32</v>
      </c>
      <c r="K204">
        <v>1</v>
      </c>
      <c r="L204">
        <v>12794</v>
      </c>
      <c r="M204">
        <v>0</v>
      </c>
      <c r="N204">
        <v>0</v>
      </c>
      <c r="O204">
        <v>2302.92</v>
      </c>
      <c r="P204">
        <v>244</v>
      </c>
      <c r="Q204">
        <v>15340.92</v>
      </c>
      <c r="R204" t="s">
        <v>33</v>
      </c>
      <c r="S204" t="s">
        <v>63</v>
      </c>
      <c r="T204" t="s">
        <v>35</v>
      </c>
      <c r="U204" t="s">
        <v>36</v>
      </c>
      <c r="V204" t="s">
        <v>37</v>
      </c>
      <c r="W204">
        <v>6</v>
      </c>
      <c r="X204" t="s">
        <v>38</v>
      </c>
      <c r="Y204">
        <v>3</v>
      </c>
      <c r="Z204" t="s">
        <v>91</v>
      </c>
    </row>
    <row r="205" spans="1:26" x14ac:dyDescent="0.3">
      <c r="A205" t="s">
        <v>470</v>
      </c>
      <c r="B205" s="2">
        <v>45806</v>
      </c>
      <c r="C205" t="s">
        <v>471</v>
      </c>
      <c r="D205" t="s">
        <v>111</v>
      </c>
      <c r="E205" t="s">
        <v>29</v>
      </c>
      <c r="F205">
        <v>35</v>
      </c>
      <c r="G205" t="s">
        <v>90</v>
      </c>
      <c r="H205" t="s">
        <v>31</v>
      </c>
      <c r="I205" t="s">
        <v>90</v>
      </c>
      <c r="J205" t="s">
        <v>125</v>
      </c>
      <c r="K205">
        <v>4</v>
      </c>
      <c r="L205">
        <v>22668</v>
      </c>
      <c r="M205">
        <v>5</v>
      </c>
      <c r="N205">
        <v>4533.6000000000004</v>
      </c>
      <c r="O205">
        <v>15504.91</v>
      </c>
      <c r="P205">
        <v>15</v>
      </c>
      <c r="Q205">
        <v>101658.31</v>
      </c>
      <c r="R205" t="s">
        <v>83</v>
      </c>
      <c r="S205" t="s">
        <v>63</v>
      </c>
      <c r="T205" t="s">
        <v>103</v>
      </c>
      <c r="U205" t="s">
        <v>103</v>
      </c>
      <c r="V205" t="s">
        <v>57</v>
      </c>
      <c r="W205">
        <v>8</v>
      </c>
      <c r="X205" t="s">
        <v>38</v>
      </c>
      <c r="Y205">
        <v>5</v>
      </c>
      <c r="Z205" t="s">
        <v>47</v>
      </c>
    </row>
    <row r="206" spans="1:26" x14ac:dyDescent="0.3">
      <c r="A206" t="s">
        <v>472</v>
      </c>
      <c r="B206" s="2">
        <v>46031</v>
      </c>
      <c r="C206" t="s">
        <v>473</v>
      </c>
      <c r="D206" t="s">
        <v>61</v>
      </c>
      <c r="E206" t="s">
        <v>29</v>
      </c>
      <c r="F206">
        <v>41</v>
      </c>
      <c r="G206" t="s">
        <v>30</v>
      </c>
      <c r="H206" t="s">
        <v>31</v>
      </c>
      <c r="I206" t="s">
        <v>30</v>
      </c>
      <c r="J206" t="s">
        <v>112</v>
      </c>
      <c r="K206">
        <v>3</v>
      </c>
      <c r="L206">
        <v>5734</v>
      </c>
      <c r="M206">
        <v>20</v>
      </c>
      <c r="N206">
        <v>3440.4</v>
      </c>
      <c r="O206">
        <v>2477.09</v>
      </c>
      <c r="P206">
        <v>0</v>
      </c>
      <c r="Q206">
        <v>16238.69</v>
      </c>
      <c r="R206" t="s">
        <v>83</v>
      </c>
      <c r="S206" t="s">
        <v>63</v>
      </c>
      <c r="T206" t="s">
        <v>70</v>
      </c>
      <c r="U206" t="s">
        <v>56</v>
      </c>
      <c r="V206" t="s">
        <v>57</v>
      </c>
      <c r="W206">
        <v>5</v>
      </c>
      <c r="X206" t="s">
        <v>47</v>
      </c>
      <c r="Y206">
        <v>3</v>
      </c>
      <c r="Z206" t="s">
        <v>58</v>
      </c>
    </row>
    <row r="207" spans="1:26" x14ac:dyDescent="0.3">
      <c r="A207" t="s">
        <v>474</v>
      </c>
      <c r="B207" s="2">
        <v>45926</v>
      </c>
      <c r="C207" t="s">
        <v>475</v>
      </c>
      <c r="D207" t="s">
        <v>50</v>
      </c>
      <c r="E207" t="s">
        <v>29</v>
      </c>
      <c r="F207">
        <v>59</v>
      </c>
      <c r="G207" t="s">
        <v>139</v>
      </c>
      <c r="H207" t="s">
        <v>31</v>
      </c>
      <c r="I207" t="s">
        <v>139</v>
      </c>
      <c r="J207" t="s">
        <v>102</v>
      </c>
      <c r="K207">
        <v>4</v>
      </c>
      <c r="L207">
        <v>30869</v>
      </c>
      <c r="M207">
        <v>0</v>
      </c>
      <c r="N207">
        <v>0</v>
      </c>
      <c r="O207">
        <v>22225.68</v>
      </c>
      <c r="P207">
        <v>282</v>
      </c>
      <c r="Q207">
        <v>145983.67999999999</v>
      </c>
      <c r="R207" t="s">
        <v>83</v>
      </c>
      <c r="S207" t="s">
        <v>34</v>
      </c>
      <c r="T207" t="s">
        <v>84</v>
      </c>
      <c r="U207" t="s">
        <v>85</v>
      </c>
      <c r="V207" t="s">
        <v>86</v>
      </c>
      <c r="W207">
        <v>7</v>
      </c>
      <c r="X207" t="s">
        <v>38</v>
      </c>
      <c r="Y207">
        <v>4</v>
      </c>
      <c r="Z207" t="s">
        <v>91</v>
      </c>
    </row>
    <row r="208" spans="1:26" x14ac:dyDescent="0.3">
      <c r="A208" t="s">
        <v>476</v>
      </c>
      <c r="B208" s="2">
        <v>45797</v>
      </c>
      <c r="C208" t="s">
        <v>477</v>
      </c>
      <c r="D208" t="s">
        <v>66</v>
      </c>
      <c r="E208" t="s">
        <v>29</v>
      </c>
      <c r="F208">
        <v>49</v>
      </c>
      <c r="G208" t="s">
        <v>67</v>
      </c>
      <c r="H208" t="s">
        <v>68</v>
      </c>
      <c r="I208" t="s">
        <v>67</v>
      </c>
      <c r="J208" t="s">
        <v>32</v>
      </c>
      <c r="K208">
        <v>1</v>
      </c>
      <c r="L208">
        <v>7798</v>
      </c>
      <c r="M208">
        <v>10</v>
      </c>
      <c r="N208">
        <v>779.8</v>
      </c>
      <c r="O208">
        <v>1263.28</v>
      </c>
      <c r="P208">
        <v>371</v>
      </c>
      <c r="Q208">
        <v>8652.48</v>
      </c>
      <c r="R208" t="s">
        <v>83</v>
      </c>
      <c r="S208" t="s">
        <v>63</v>
      </c>
      <c r="T208" t="s">
        <v>70</v>
      </c>
      <c r="U208" t="s">
        <v>56</v>
      </c>
      <c r="V208" t="s">
        <v>57</v>
      </c>
      <c r="W208">
        <v>6</v>
      </c>
      <c r="X208" t="s">
        <v>38</v>
      </c>
      <c r="Y208">
        <v>3</v>
      </c>
      <c r="Z208" t="s">
        <v>58</v>
      </c>
    </row>
    <row r="209" spans="1:26" x14ac:dyDescent="0.3">
      <c r="A209" t="s">
        <v>478</v>
      </c>
      <c r="B209" s="2">
        <v>45912</v>
      </c>
      <c r="C209" t="s">
        <v>479</v>
      </c>
      <c r="D209" t="s">
        <v>80</v>
      </c>
      <c r="E209" t="s">
        <v>43</v>
      </c>
      <c r="F209">
        <v>49</v>
      </c>
      <c r="G209" t="s">
        <v>139</v>
      </c>
      <c r="H209" t="s">
        <v>31</v>
      </c>
      <c r="I209" t="s">
        <v>139</v>
      </c>
      <c r="J209" t="s">
        <v>102</v>
      </c>
      <c r="K209">
        <v>2</v>
      </c>
      <c r="L209">
        <v>41986</v>
      </c>
      <c r="M209">
        <v>5</v>
      </c>
      <c r="N209">
        <v>4198.6000000000004</v>
      </c>
      <c r="O209">
        <v>14359.21</v>
      </c>
      <c r="P209">
        <v>169</v>
      </c>
      <c r="Q209">
        <v>94301.61</v>
      </c>
      <c r="R209" t="s">
        <v>83</v>
      </c>
      <c r="S209" t="s">
        <v>63</v>
      </c>
      <c r="T209" t="s">
        <v>70</v>
      </c>
      <c r="U209" t="s">
        <v>56</v>
      </c>
      <c r="V209" t="s">
        <v>57</v>
      </c>
      <c r="W209">
        <v>6</v>
      </c>
      <c r="X209" t="s">
        <v>47</v>
      </c>
      <c r="Y209">
        <v>5</v>
      </c>
      <c r="Z209" t="s">
        <v>91</v>
      </c>
    </row>
    <row r="210" spans="1:26" x14ac:dyDescent="0.3">
      <c r="A210" t="s">
        <v>480</v>
      </c>
      <c r="B210" s="2">
        <v>46020</v>
      </c>
      <c r="C210" t="s">
        <v>481</v>
      </c>
      <c r="D210" t="s">
        <v>66</v>
      </c>
      <c r="E210" t="s">
        <v>29</v>
      </c>
      <c r="F210">
        <v>26</v>
      </c>
      <c r="G210" t="s">
        <v>134</v>
      </c>
      <c r="H210" t="s">
        <v>31</v>
      </c>
      <c r="I210" t="s">
        <v>134</v>
      </c>
      <c r="J210" t="s">
        <v>125</v>
      </c>
      <c r="K210">
        <v>1</v>
      </c>
      <c r="L210">
        <v>31155</v>
      </c>
      <c r="M210">
        <v>5</v>
      </c>
      <c r="N210">
        <v>1557.75</v>
      </c>
      <c r="O210">
        <v>5327.51</v>
      </c>
      <c r="P210">
        <v>11</v>
      </c>
      <c r="Q210">
        <v>34935.75</v>
      </c>
      <c r="R210" t="s">
        <v>54</v>
      </c>
      <c r="S210" t="s">
        <v>34</v>
      </c>
      <c r="T210" t="s">
        <v>95</v>
      </c>
      <c r="U210" t="s">
        <v>96</v>
      </c>
      <c r="V210" t="s">
        <v>57</v>
      </c>
      <c r="W210">
        <v>1</v>
      </c>
      <c r="X210" t="s">
        <v>47</v>
      </c>
      <c r="Y210">
        <v>5</v>
      </c>
      <c r="Z210" t="s">
        <v>39</v>
      </c>
    </row>
    <row r="211" spans="1:26" x14ac:dyDescent="0.3">
      <c r="A211" t="s">
        <v>482</v>
      </c>
      <c r="B211" s="2">
        <v>45836</v>
      </c>
      <c r="C211" t="s">
        <v>249</v>
      </c>
      <c r="D211" t="s">
        <v>66</v>
      </c>
      <c r="E211" t="s">
        <v>43</v>
      </c>
      <c r="F211">
        <v>53</v>
      </c>
      <c r="G211" t="s">
        <v>90</v>
      </c>
      <c r="H211" t="s">
        <v>31</v>
      </c>
      <c r="I211" t="s">
        <v>90</v>
      </c>
      <c r="J211" t="s">
        <v>150</v>
      </c>
      <c r="K211">
        <v>4</v>
      </c>
      <c r="L211">
        <v>41074</v>
      </c>
      <c r="M211">
        <v>20</v>
      </c>
      <c r="N211">
        <v>32859.199999999997</v>
      </c>
      <c r="O211">
        <v>23658.62</v>
      </c>
      <c r="P211">
        <v>115</v>
      </c>
      <c r="Q211">
        <v>155210.42000000001</v>
      </c>
      <c r="R211" t="s">
        <v>45</v>
      </c>
      <c r="S211" t="s">
        <v>34</v>
      </c>
      <c r="T211" t="s">
        <v>103</v>
      </c>
      <c r="U211" t="s">
        <v>103</v>
      </c>
      <c r="V211" t="s">
        <v>57</v>
      </c>
      <c r="W211">
        <v>1</v>
      </c>
      <c r="X211" t="s">
        <v>38</v>
      </c>
      <c r="Y211">
        <v>1</v>
      </c>
      <c r="Z211" t="s">
        <v>47</v>
      </c>
    </row>
    <row r="212" spans="1:26" x14ac:dyDescent="0.3">
      <c r="A212" t="s">
        <v>483</v>
      </c>
      <c r="B212" s="2">
        <v>46013</v>
      </c>
      <c r="C212" t="s">
        <v>484</v>
      </c>
      <c r="D212" t="s">
        <v>73</v>
      </c>
      <c r="E212" t="s">
        <v>29</v>
      </c>
      <c r="F212">
        <v>50</v>
      </c>
      <c r="G212" t="s">
        <v>90</v>
      </c>
      <c r="H212" t="s">
        <v>31</v>
      </c>
      <c r="I212" t="s">
        <v>90</v>
      </c>
      <c r="J212" t="s">
        <v>150</v>
      </c>
      <c r="K212">
        <v>1</v>
      </c>
      <c r="L212">
        <v>47164</v>
      </c>
      <c r="M212">
        <v>20</v>
      </c>
      <c r="N212">
        <v>9432.7999999999993</v>
      </c>
      <c r="O212">
        <v>6791.62</v>
      </c>
      <c r="P212">
        <v>27</v>
      </c>
      <c r="Q212">
        <v>44549.82</v>
      </c>
      <c r="R212" t="s">
        <v>33</v>
      </c>
      <c r="S212" t="s">
        <v>63</v>
      </c>
      <c r="T212" t="s">
        <v>35</v>
      </c>
      <c r="U212" t="s">
        <v>36</v>
      </c>
      <c r="V212" t="s">
        <v>37</v>
      </c>
      <c r="W212">
        <v>3</v>
      </c>
      <c r="X212" t="s">
        <v>47</v>
      </c>
      <c r="Y212">
        <v>3</v>
      </c>
      <c r="Z212" t="s">
        <v>91</v>
      </c>
    </row>
    <row r="213" spans="1:26" x14ac:dyDescent="0.3">
      <c r="A213" t="s">
        <v>485</v>
      </c>
      <c r="B213" s="2">
        <v>46001</v>
      </c>
      <c r="C213" t="s">
        <v>486</v>
      </c>
      <c r="D213" t="s">
        <v>73</v>
      </c>
      <c r="E213" t="s">
        <v>29</v>
      </c>
      <c r="F213">
        <v>35</v>
      </c>
      <c r="G213" t="s">
        <v>51</v>
      </c>
      <c r="H213" t="s">
        <v>52</v>
      </c>
      <c r="I213" t="s">
        <v>51</v>
      </c>
      <c r="J213" t="s">
        <v>75</v>
      </c>
      <c r="K213">
        <v>4</v>
      </c>
      <c r="L213">
        <v>12596</v>
      </c>
      <c r="M213">
        <v>15</v>
      </c>
      <c r="N213">
        <v>7557.6</v>
      </c>
      <c r="O213">
        <v>7708.75</v>
      </c>
      <c r="P213">
        <v>445</v>
      </c>
      <c r="Q213">
        <v>50980.15</v>
      </c>
      <c r="R213" t="s">
        <v>45</v>
      </c>
      <c r="S213" t="s">
        <v>34</v>
      </c>
      <c r="T213" t="s">
        <v>55</v>
      </c>
      <c r="U213" t="s">
        <v>56</v>
      </c>
      <c r="V213" t="s">
        <v>57</v>
      </c>
      <c r="W213">
        <v>8</v>
      </c>
      <c r="X213" t="s">
        <v>38</v>
      </c>
      <c r="Y213">
        <v>3</v>
      </c>
      <c r="Z213" t="s">
        <v>58</v>
      </c>
    </row>
    <row r="214" spans="1:26" x14ac:dyDescent="0.3">
      <c r="A214" t="s">
        <v>487</v>
      </c>
      <c r="B214" s="2">
        <v>46086</v>
      </c>
      <c r="C214" t="s">
        <v>488</v>
      </c>
      <c r="D214" t="s">
        <v>42</v>
      </c>
      <c r="E214" t="s">
        <v>43</v>
      </c>
      <c r="F214">
        <v>35</v>
      </c>
      <c r="G214" t="s">
        <v>134</v>
      </c>
      <c r="H214" t="s">
        <v>31</v>
      </c>
      <c r="I214" t="s">
        <v>134</v>
      </c>
      <c r="J214" t="s">
        <v>62</v>
      </c>
      <c r="K214">
        <v>3</v>
      </c>
      <c r="L214">
        <v>17489</v>
      </c>
      <c r="M214">
        <v>20</v>
      </c>
      <c r="N214">
        <v>10493.4</v>
      </c>
      <c r="O214">
        <v>7555.25</v>
      </c>
      <c r="P214">
        <v>241</v>
      </c>
      <c r="Q214">
        <v>49769.85</v>
      </c>
      <c r="R214" t="s">
        <v>83</v>
      </c>
      <c r="S214" t="s">
        <v>34</v>
      </c>
      <c r="T214" t="s">
        <v>84</v>
      </c>
      <c r="U214" t="s">
        <v>85</v>
      </c>
      <c r="V214" t="s">
        <v>86</v>
      </c>
      <c r="W214">
        <v>8</v>
      </c>
      <c r="X214" t="s">
        <v>47</v>
      </c>
      <c r="Y214">
        <v>4</v>
      </c>
      <c r="Z214" t="s">
        <v>91</v>
      </c>
    </row>
    <row r="215" spans="1:26" x14ac:dyDescent="0.3">
      <c r="A215" t="s">
        <v>489</v>
      </c>
      <c r="B215" s="2">
        <v>46056</v>
      </c>
      <c r="C215" t="s">
        <v>423</v>
      </c>
      <c r="D215" t="s">
        <v>50</v>
      </c>
      <c r="E215" t="s">
        <v>43</v>
      </c>
      <c r="F215">
        <v>54</v>
      </c>
      <c r="G215" t="s">
        <v>44</v>
      </c>
      <c r="H215" t="s">
        <v>31</v>
      </c>
      <c r="I215" t="s">
        <v>44</v>
      </c>
      <c r="J215" t="s">
        <v>125</v>
      </c>
      <c r="K215">
        <v>2</v>
      </c>
      <c r="L215">
        <v>8534</v>
      </c>
      <c r="M215">
        <v>0</v>
      </c>
      <c r="N215">
        <v>0</v>
      </c>
      <c r="O215">
        <v>3072.24</v>
      </c>
      <c r="P215">
        <v>230</v>
      </c>
      <c r="Q215">
        <v>20370.240000000002</v>
      </c>
      <c r="R215" t="s">
        <v>33</v>
      </c>
      <c r="S215" t="s">
        <v>63</v>
      </c>
      <c r="T215" t="s">
        <v>35</v>
      </c>
      <c r="U215" t="s">
        <v>36</v>
      </c>
      <c r="V215" t="s">
        <v>37</v>
      </c>
      <c r="W215">
        <v>6</v>
      </c>
      <c r="X215" t="s">
        <v>38</v>
      </c>
      <c r="Y215">
        <v>3</v>
      </c>
      <c r="Z215" t="s">
        <v>58</v>
      </c>
    </row>
    <row r="216" spans="1:26" x14ac:dyDescent="0.3">
      <c r="A216" t="s">
        <v>490</v>
      </c>
      <c r="B216" s="2">
        <v>46006</v>
      </c>
      <c r="C216" t="s">
        <v>491</v>
      </c>
      <c r="D216" t="s">
        <v>108</v>
      </c>
      <c r="E216" t="s">
        <v>29</v>
      </c>
      <c r="F216">
        <v>48</v>
      </c>
      <c r="G216" t="s">
        <v>99</v>
      </c>
      <c r="H216" t="s">
        <v>52</v>
      </c>
      <c r="I216" t="s">
        <v>99</v>
      </c>
      <c r="J216" t="s">
        <v>125</v>
      </c>
      <c r="K216">
        <v>4</v>
      </c>
      <c r="L216">
        <v>22679</v>
      </c>
      <c r="M216">
        <v>0</v>
      </c>
      <c r="N216">
        <v>0</v>
      </c>
      <c r="O216">
        <v>16328.88</v>
      </c>
      <c r="P216">
        <v>412</v>
      </c>
      <c r="Q216">
        <v>107456.88</v>
      </c>
      <c r="R216" t="s">
        <v>54</v>
      </c>
      <c r="S216" t="s">
        <v>63</v>
      </c>
      <c r="T216" t="s">
        <v>76</v>
      </c>
      <c r="U216" t="s">
        <v>77</v>
      </c>
      <c r="V216" t="s">
        <v>57</v>
      </c>
      <c r="W216">
        <v>4</v>
      </c>
      <c r="X216" t="s">
        <v>38</v>
      </c>
      <c r="Y216">
        <v>5</v>
      </c>
      <c r="Z216" t="s">
        <v>47</v>
      </c>
    </row>
    <row r="217" spans="1:26" x14ac:dyDescent="0.3">
      <c r="A217" t="s">
        <v>492</v>
      </c>
      <c r="B217" s="2">
        <v>45834</v>
      </c>
      <c r="C217" t="s">
        <v>493</v>
      </c>
      <c r="D217" t="s">
        <v>89</v>
      </c>
      <c r="E217" t="s">
        <v>43</v>
      </c>
      <c r="F217">
        <v>29</v>
      </c>
      <c r="G217" t="s">
        <v>94</v>
      </c>
      <c r="H217" t="s">
        <v>31</v>
      </c>
      <c r="I217" t="s">
        <v>94</v>
      </c>
      <c r="J217" t="s">
        <v>69</v>
      </c>
      <c r="K217">
        <v>3</v>
      </c>
      <c r="L217">
        <v>10780</v>
      </c>
      <c r="M217">
        <v>15</v>
      </c>
      <c r="N217">
        <v>4851</v>
      </c>
      <c r="O217">
        <v>4948.0200000000004</v>
      </c>
      <c r="P217">
        <v>12</v>
      </c>
      <c r="Q217">
        <v>32449.02</v>
      </c>
      <c r="R217" t="s">
        <v>83</v>
      </c>
      <c r="S217" t="s">
        <v>63</v>
      </c>
      <c r="T217" t="s">
        <v>84</v>
      </c>
      <c r="U217" t="s">
        <v>85</v>
      </c>
      <c r="V217" t="s">
        <v>86</v>
      </c>
      <c r="W217">
        <v>6</v>
      </c>
      <c r="X217" t="s">
        <v>38</v>
      </c>
      <c r="Y217">
        <v>2</v>
      </c>
      <c r="Z217" t="s">
        <v>39</v>
      </c>
    </row>
    <row r="218" spans="1:26" x14ac:dyDescent="0.3">
      <c r="A218" t="s">
        <v>494</v>
      </c>
      <c r="B218" s="2">
        <v>45780</v>
      </c>
      <c r="C218" t="s">
        <v>495</v>
      </c>
      <c r="D218" t="s">
        <v>50</v>
      </c>
      <c r="E218" t="s">
        <v>29</v>
      </c>
      <c r="F218">
        <v>22</v>
      </c>
      <c r="G218" t="s">
        <v>99</v>
      </c>
      <c r="H218" t="s">
        <v>52</v>
      </c>
      <c r="I218" t="s">
        <v>99</v>
      </c>
      <c r="J218" t="s">
        <v>201</v>
      </c>
      <c r="K218">
        <v>1</v>
      </c>
      <c r="L218">
        <v>41995</v>
      </c>
      <c r="M218">
        <v>15</v>
      </c>
      <c r="N218">
        <v>6299.25</v>
      </c>
      <c r="O218">
        <v>6425.23</v>
      </c>
      <c r="P218">
        <v>363</v>
      </c>
      <c r="Q218">
        <v>42483.99</v>
      </c>
      <c r="R218" t="s">
        <v>33</v>
      </c>
      <c r="S218" t="s">
        <v>34</v>
      </c>
      <c r="T218" t="s">
        <v>35</v>
      </c>
      <c r="U218" t="s">
        <v>36</v>
      </c>
      <c r="V218" t="s">
        <v>37</v>
      </c>
      <c r="W218">
        <v>10</v>
      </c>
      <c r="X218" t="s">
        <v>38</v>
      </c>
      <c r="Y218">
        <v>3</v>
      </c>
      <c r="Z218" t="s">
        <v>91</v>
      </c>
    </row>
    <row r="219" spans="1:26" x14ac:dyDescent="0.3">
      <c r="A219" t="s">
        <v>496</v>
      </c>
      <c r="B219" s="2">
        <v>45800</v>
      </c>
      <c r="C219" t="s">
        <v>497</v>
      </c>
      <c r="D219" t="s">
        <v>66</v>
      </c>
      <c r="E219" t="s">
        <v>29</v>
      </c>
      <c r="F219">
        <v>51</v>
      </c>
      <c r="G219" t="s">
        <v>44</v>
      </c>
      <c r="H219" t="s">
        <v>31</v>
      </c>
      <c r="I219" t="s">
        <v>44</v>
      </c>
      <c r="J219" t="s">
        <v>102</v>
      </c>
      <c r="K219">
        <v>1</v>
      </c>
      <c r="L219">
        <v>2778</v>
      </c>
      <c r="M219">
        <v>15</v>
      </c>
      <c r="N219">
        <v>416.7</v>
      </c>
      <c r="O219">
        <v>425.03</v>
      </c>
      <c r="P219">
        <v>387</v>
      </c>
      <c r="Q219">
        <v>3173.33</v>
      </c>
      <c r="R219" t="s">
        <v>83</v>
      </c>
      <c r="S219" t="s">
        <v>63</v>
      </c>
      <c r="T219" t="s">
        <v>84</v>
      </c>
      <c r="U219" t="s">
        <v>85</v>
      </c>
      <c r="V219" t="s">
        <v>86</v>
      </c>
      <c r="W219">
        <v>9</v>
      </c>
      <c r="X219" t="s">
        <v>38</v>
      </c>
      <c r="Y219">
        <v>5</v>
      </c>
      <c r="Z219" t="s">
        <v>39</v>
      </c>
    </row>
    <row r="220" spans="1:26" x14ac:dyDescent="0.3">
      <c r="A220" t="s">
        <v>498</v>
      </c>
      <c r="B220" s="2">
        <v>45836</v>
      </c>
      <c r="C220" t="s">
        <v>499</v>
      </c>
      <c r="D220" t="s">
        <v>80</v>
      </c>
      <c r="E220" t="s">
        <v>43</v>
      </c>
      <c r="F220">
        <v>27</v>
      </c>
      <c r="G220" t="s">
        <v>67</v>
      </c>
      <c r="H220" t="s">
        <v>68</v>
      </c>
      <c r="I220" t="s">
        <v>67</v>
      </c>
      <c r="J220" t="s">
        <v>69</v>
      </c>
      <c r="K220">
        <v>3</v>
      </c>
      <c r="L220">
        <v>35468</v>
      </c>
      <c r="M220">
        <v>5</v>
      </c>
      <c r="N220">
        <v>5320.2</v>
      </c>
      <c r="O220">
        <v>18195.080000000002</v>
      </c>
      <c r="P220">
        <v>238</v>
      </c>
      <c r="Q220">
        <v>119516.88</v>
      </c>
      <c r="R220" t="s">
        <v>54</v>
      </c>
      <c r="S220" t="s">
        <v>63</v>
      </c>
      <c r="T220" t="s">
        <v>95</v>
      </c>
      <c r="U220" t="s">
        <v>96</v>
      </c>
      <c r="V220" t="s">
        <v>57</v>
      </c>
      <c r="W220">
        <v>4</v>
      </c>
      <c r="X220" t="s">
        <v>47</v>
      </c>
      <c r="Y220">
        <v>1</v>
      </c>
      <c r="Z220" t="s">
        <v>91</v>
      </c>
    </row>
    <row r="221" spans="1:26" x14ac:dyDescent="0.3">
      <c r="A221" t="s">
        <v>500</v>
      </c>
      <c r="B221" s="2">
        <v>45990</v>
      </c>
      <c r="C221" t="s">
        <v>501</v>
      </c>
      <c r="D221" t="s">
        <v>89</v>
      </c>
      <c r="E221" t="s">
        <v>29</v>
      </c>
      <c r="F221">
        <v>50</v>
      </c>
      <c r="G221" t="s">
        <v>90</v>
      </c>
      <c r="H221" t="s">
        <v>31</v>
      </c>
      <c r="I221" t="s">
        <v>90</v>
      </c>
      <c r="J221" t="s">
        <v>69</v>
      </c>
      <c r="K221">
        <v>2</v>
      </c>
      <c r="L221">
        <v>32959</v>
      </c>
      <c r="M221">
        <v>20</v>
      </c>
      <c r="N221">
        <v>13183.6</v>
      </c>
      <c r="O221">
        <v>9492.19</v>
      </c>
      <c r="P221">
        <v>266</v>
      </c>
      <c r="Q221">
        <v>62492.59</v>
      </c>
      <c r="R221" t="s">
        <v>54</v>
      </c>
      <c r="S221" t="s">
        <v>63</v>
      </c>
      <c r="T221" t="s">
        <v>103</v>
      </c>
      <c r="U221" t="s">
        <v>103</v>
      </c>
      <c r="V221" t="s">
        <v>57</v>
      </c>
      <c r="W221">
        <v>8</v>
      </c>
      <c r="X221" t="s">
        <v>47</v>
      </c>
      <c r="Y221">
        <v>5</v>
      </c>
      <c r="Z221" t="s">
        <v>58</v>
      </c>
    </row>
    <row r="222" spans="1:26" x14ac:dyDescent="0.3">
      <c r="A222" t="s">
        <v>502</v>
      </c>
      <c r="B222" s="2">
        <v>45983</v>
      </c>
      <c r="C222" t="s">
        <v>503</v>
      </c>
      <c r="D222" t="s">
        <v>73</v>
      </c>
      <c r="E222" t="s">
        <v>29</v>
      </c>
      <c r="F222">
        <v>53</v>
      </c>
      <c r="G222" t="s">
        <v>94</v>
      </c>
      <c r="H222" t="s">
        <v>31</v>
      </c>
      <c r="I222" t="s">
        <v>94</v>
      </c>
      <c r="J222" t="s">
        <v>69</v>
      </c>
      <c r="K222">
        <v>4</v>
      </c>
      <c r="L222">
        <v>31028</v>
      </c>
      <c r="M222">
        <v>15</v>
      </c>
      <c r="N222">
        <v>18616.8</v>
      </c>
      <c r="O222">
        <v>18989.14</v>
      </c>
      <c r="P222">
        <v>443</v>
      </c>
      <c r="Q222">
        <v>124927.34</v>
      </c>
      <c r="R222" t="s">
        <v>83</v>
      </c>
      <c r="S222" t="s">
        <v>63</v>
      </c>
      <c r="T222" t="s">
        <v>46</v>
      </c>
      <c r="U222" t="s">
        <v>36</v>
      </c>
      <c r="V222" t="s">
        <v>37</v>
      </c>
      <c r="W222">
        <v>1</v>
      </c>
      <c r="X222" t="s">
        <v>47</v>
      </c>
      <c r="Y222">
        <v>3</v>
      </c>
      <c r="Z222" t="s">
        <v>91</v>
      </c>
    </row>
    <row r="223" spans="1:26" x14ac:dyDescent="0.3">
      <c r="A223" t="s">
        <v>504</v>
      </c>
      <c r="B223" s="2">
        <v>45973</v>
      </c>
      <c r="C223" t="s">
        <v>505</v>
      </c>
      <c r="D223" t="s">
        <v>42</v>
      </c>
      <c r="E223" t="s">
        <v>43</v>
      </c>
      <c r="F223">
        <v>54</v>
      </c>
      <c r="G223" t="s">
        <v>134</v>
      </c>
      <c r="H223" t="s">
        <v>31</v>
      </c>
      <c r="I223" t="s">
        <v>134</v>
      </c>
      <c r="J223" t="s">
        <v>62</v>
      </c>
      <c r="K223">
        <v>4</v>
      </c>
      <c r="L223">
        <v>19158</v>
      </c>
      <c r="M223">
        <v>15</v>
      </c>
      <c r="N223">
        <v>11494.8</v>
      </c>
      <c r="O223">
        <v>11724.7</v>
      </c>
      <c r="P223">
        <v>319</v>
      </c>
      <c r="Q223">
        <v>77180.899999999994</v>
      </c>
      <c r="R223" t="s">
        <v>54</v>
      </c>
      <c r="S223" t="s">
        <v>34</v>
      </c>
      <c r="T223" t="s">
        <v>84</v>
      </c>
      <c r="U223" t="s">
        <v>85</v>
      </c>
      <c r="V223" t="s">
        <v>86</v>
      </c>
      <c r="W223">
        <v>4</v>
      </c>
      <c r="X223" t="s">
        <v>47</v>
      </c>
      <c r="Y223">
        <v>2</v>
      </c>
      <c r="Z223" t="s">
        <v>91</v>
      </c>
    </row>
    <row r="224" spans="1:26" x14ac:dyDescent="0.3">
      <c r="A224" t="s">
        <v>506</v>
      </c>
      <c r="B224" s="2">
        <v>45791</v>
      </c>
      <c r="C224" t="s">
        <v>507</v>
      </c>
      <c r="D224" t="s">
        <v>108</v>
      </c>
      <c r="E224" t="s">
        <v>43</v>
      </c>
      <c r="F224">
        <v>57</v>
      </c>
      <c r="G224" t="s">
        <v>94</v>
      </c>
      <c r="H224" t="s">
        <v>31</v>
      </c>
      <c r="I224" t="s">
        <v>94</v>
      </c>
      <c r="J224" t="s">
        <v>32</v>
      </c>
      <c r="K224">
        <v>1</v>
      </c>
      <c r="L224">
        <v>25847</v>
      </c>
      <c r="M224">
        <v>10</v>
      </c>
      <c r="N224">
        <v>2584.6999999999998</v>
      </c>
      <c r="O224">
        <v>4187.21</v>
      </c>
      <c r="P224">
        <v>496</v>
      </c>
      <c r="Q224">
        <v>27945.51</v>
      </c>
      <c r="R224" t="s">
        <v>54</v>
      </c>
      <c r="S224" t="s">
        <v>34</v>
      </c>
      <c r="T224" t="s">
        <v>84</v>
      </c>
      <c r="U224" t="s">
        <v>85</v>
      </c>
      <c r="V224" t="s">
        <v>86</v>
      </c>
      <c r="W224">
        <v>9</v>
      </c>
      <c r="X224" t="s">
        <v>47</v>
      </c>
      <c r="Y224">
        <v>1</v>
      </c>
      <c r="Z224" t="s">
        <v>58</v>
      </c>
    </row>
    <row r="225" spans="1:26" x14ac:dyDescent="0.3">
      <c r="A225" t="s">
        <v>508</v>
      </c>
      <c r="B225" s="2">
        <v>46003</v>
      </c>
      <c r="C225" t="s">
        <v>509</v>
      </c>
      <c r="D225" t="s">
        <v>80</v>
      </c>
      <c r="E225" t="s">
        <v>43</v>
      </c>
      <c r="F225">
        <v>44</v>
      </c>
      <c r="G225" t="s">
        <v>67</v>
      </c>
      <c r="H225" t="s">
        <v>68</v>
      </c>
      <c r="I225" t="s">
        <v>67</v>
      </c>
      <c r="J225" t="s">
        <v>201</v>
      </c>
      <c r="K225">
        <v>2</v>
      </c>
      <c r="L225">
        <v>27899</v>
      </c>
      <c r="M225">
        <v>5</v>
      </c>
      <c r="N225">
        <v>2789.9</v>
      </c>
      <c r="O225">
        <v>9541.4599999999991</v>
      </c>
      <c r="P225">
        <v>245</v>
      </c>
      <c r="Q225">
        <v>62794.559999999998</v>
      </c>
      <c r="R225" t="s">
        <v>54</v>
      </c>
      <c r="S225" t="s">
        <v>34</v>
      </c>
      <c r="T225" t="s">
        <v>55</v>
      </c>
      <c r="U225" t="s">
        <v>56</v>
      </c>
      <c r="V225" t="s">
        <v>57</v>
      </c>
      <c r="W225">
        <v>6</v>
      </c>
      <c r="X225" t="s">
        <v>47</v>
      </c>
      <c r="Y225">
        <v>2</v>
      </c>
      <c r="Z225" t="s">
        <v>39</v>
      </c>
    </row>
    <row r="226" spans="1:26" x14ac:dyDescent="0.3">
      <c r="A226" t="s">
        <v>510</v>
      </c>
      <c r="B226" s="2">
        <v>45975</v>
      </c>
      <c r="C226" t="s">
        <v>511</v>
      </c>
      <c r="D226" t="s">
        <v>61</v>
      </c>
      <c r="E226" t="s">
        <v>43</v>
      </c>
      <c r="F226">
        <v>32</v>
      </c>
      <c r="G226" t="s">
        <v>30</v>
      </c>
      <c r="H226" t="s">
        <v>31</v>
      </c>
      <c r="I226" t="s">
        <v>30</v>
      </c>
      <c r="J226" t="s">
        <v>150</v>
      </c>
      <c r="K226">
        <v>5</v>
      </c>
      <c r="L226">
        <v>4763</v>
      </c>
      <c r="M226">
        <v>20</v>
      </c>
      <c r="N226">
        <v>4763</v>
      </c>
      <c r="O226">
        <v>3429.36</v>
      </c>
      <c r="P226">
        <v>197</v>
      </c>
      <c r="Q226">
        <v>22678.36</v>
      </c>
      <c r="R226" t="s">
        <v>83</v>
      </c>
      <c r="S226" t="s">
        <v>34</v>
      </c>
      <c r="T226" t="s">
        <v>76</v>
      </c>
      <c r="U226" t="s">
        <v>77</v>
      </c>
      <c r="V226" t="s">
        <v>57</v>
      </c>
      <c r="W226">
        <v>6</v>
      </c>
      <c r="X226" t="s">
        <v>47</v>
      </c>
      <c r="Y226">
        <v>1</v>
      </c>
      <c r="Z226" t="s">
        <v>58</v>
      </c>
    </row>
    <row r="227" spans="1:26" x14ac:dyDescent="0.3">
      <c r="A227" t="s">
        <v>512</v>
      </c>
      <c r="B227" s="2">
        <v>45945</v>
      </c>
      <c r="C227" t="s">
        <v>513</v>
      </c>
      <c r="D227" t="s">
        <v>61</v>
      </c>
      <c r="E227" t="s">
        <v>43</v>
      </c>
      <c r="F227">
        <v>18</v>
      </c>
      <c r="G227" t="s">
        <v>30</v>
      </c>
      <c r="H227" t="s">
        <v>31</v>
      </c>
      <c r="I227" t="s">
        <v>30</v>
      </c>
      <c r="J227" t="s">
        <v>125</v>
      </c>
      <c r="K227">
        <v>2</v>
      </c>
      <c r="L227">
        <v>26643</v>
      </c>
      <c r="M227">
        <v>0</v>
      </c>
      <c r="N227">
        <v>0</v>
      </c>
      <c r="O227">
        <v>9591.48</v>
      </c>
      <c r="P227">
        <v>210</v>
      </c>
      <c r="Q227">
        <v>63087.48</v>
      </c>
      <c r="R227" t="s">
        <v>45</v>
      </c>
      <c r="S227" t="s">
        <v>34</v>
      </c>
      <c r="T227" t="s">
        <v>35</v>
      </c>
      <c r="U227" t="s">
        <v>36</v>
      </c>
      <c r="V227" t="s">
        <v>37</v>
      </c>
      <c r="W227">
        <v>3</v>
      </c>
      <c r="X227" t="s">
        <v>38</v>
      </c>
      <c r="Y227">
        <v>2</v>
      </c>
      <c r="Z227" t="s">
        <v>91</v>
      </c>
    </row>
    <row r="228" spans="1:26" x14ac:dyDescent="0.3">
      <c r="A228" t="s">
        <v>514</v>
      </c>
      <c r="B228" s="2">
        <v>45907</v>
      </c>
      <c r="C228" t="s">
        <v>515</v>
      </c>
      <c r="D228" t="s">
        <v>108</v>
      </c>
      <c r="E228" t="s">
        <v>43</v>
      </c>
      <c r="F228">
        <v>41</v>
      </c>
      <c r="G228" t="s">
        <v>94</v>
      </c>
      <c r="H228" t="s">
        <v>31</v>
      </c>
      <c r="I228" t="s">
        <v>94</v>
      </c>
      <c r="J228" t="s">
        <v>62</v>
      </c>
      <c r="K228">
        <v>2</v>
      </c>
      <c r="L228">
        <v>15860</v>
      </c>
      <c r="M228">
        <v>20</v>
      </c>
      <c r="N228">
        <v>6344</v>
      </c>
      <c r="O228">
        <v>4567.68</v>
      </c>
      <c r="P228">
        <v>237</v>
      </c>
      <c r="Q228">
        <v>30180.68</v>
      </c>
      <c r="R228" t="s">
        <v>33</v>
      </c>
      <c r="S228" t="s">
        <v>63</v>
      </c>
      <c r="T228" t="s">
        <v>46</v>
      </c>
      <c r="U228" t="s">
        <v>36</v>
      </c>
      <c r="V228" t="s">
        <v>37</v>
      </c>
      <c r="W228">
        <v>9</v>
      </c>
      <c r="X228" t="s">
        <v>47</v>
      </c>
      <c r="Y228">
        <v>4</v>
      </c>
      <c r="Z228" t="s">
        <v>39</v>
      </c>
    </row>
    <row r="229" spans="1:26" x14ac:dyDescent="0.3">
      <c r="A229" t="s">
        <v>516</v>
      </c>
      <c r="B229" s="2">
        <v>46058</v>
      </c>
      <c r="C229" t="s">
        <v>517</v>
      </c>
      <c r="D229" t="s">
        <v>28</v>
      </c>
      <c r="E229" t="s">
        <v>43</v>
      </c>
      <c r="F229">
        <v>56</v>
      </c>
      <c r="G229" t="s">
        <v>90</v>
      </c>
      <c r="H229" t="s">
        <v>31</v>
      </c>
      <c r="I229" t="s">
        <v>90</v>
      </c>
      <c r="J229" t="s">
        <v>112</v>
      </c>
      <c r="K229">
        <v>5</v>
      </c>
      <c r="L229">
        <v>7974</v>
      </c>
      <c r="M229">
        <v>5</v>
      </c>
      <c r="N229">
        <v>1993.5</v>
      </c>
      <c r="O229">
        <v>6817.77</v>
      </c>
      <c r="P229">
        <v>291</v>
      </c>
      <c r="Q229">
        <v>44985.27</v>
      </c>
      <c r="R229" t="s">
        <v>83</v>
      </c>
      <c r="S229" t="s">
        <v>63</v>
      </c>
      <c r="T229" t="s">
        <v>46</v>
      </c>
      <c r="U229" t="s">
        <v>36</v>
      </c>
      <c r="V229" t="s">
        <v>37</v>
      </c>
      <c r="W229">
        <v>4</v>
      </c>
      <c r="X229" t="s">
        <v>38</v>
      </c>
      <c r="Y229">
        <v>2</v>
      </c>
      <c r="Z229" t="s">
        <v>39</v>
      </c>
    </row>
    <row r="230" spans="1:26" x14ac:dyDescent="0.3">
      <c r="A230" t="s">
        <v>518</v>
      </c>
      <c r="B230" s="2">
        <v>46068</v>
      </c>
      <c r="C230" t="s">
        <v>519</v>
      </c>
      <c r="D230" t="s">
        <v>73</v>
      </c>
      <c r="E230" t="s">
        <v>29</v>
      </c>
      <c r="F230">
        <v>35</v>
      </c>
      <c r="G230" t="s">
        <v>67</v>
      </c>
      <c r="H230" t="s">
        <v>68</v>
      </c>
      <c r="I230" t="s">
        <v>67</v>
      </c>
      <c r="J230" t="s">
        <v>201</v>
      </c>
      <c r="K230">
        <v>3</v>
      </c>
      <c r="L230">
        <v>41035</v>
      </c>
      <c r="M230">
        <v>20</v>
      </c>
      <c r="N230">
        <v>24621</v>
      </c>
      <c r="O230">
        <v>17727.12</v>
      </c>
      <c r="P230">
        <v>486</v>
      </c>
      <c r="Q230">
        <v>116697.12</v>
      </c>
      <c r="R230" t="s">
        <v>33</v>
      </c>
      <c r="S230" t="s">
        <v>63</v>
      </c>
      <c r="T230" t="s">
        <v>103</v>
      </c>
      <c r="U230" t="s">
        <v>103</v>
      </c>
      <c r="V230" t="s">
        <v>57</v>
      </c>
      <c r="W230">
        <v>9</v>
      </c>
      <c r="X230" t="s">
        <v>47</v>
      </c>
      <c r="Y230">
        <v>1</v>
      </c>
      <c r="Z230" t="s">
        <v>91</v>
      </c>
    </row>
    <row r="231" spans="1:26" x14ac:dyDescent="0.3">
      <c r="A231" t="s">
        <v>520</v>
      </c>
      <c r="B231" s="2">
        <v>45802</v>
      </c>
      <c r="C231" t="s">
        <v>521</v>
      </c>
      <c r="D231" t="s">
        <v>28</v>
      </c>
      <c r="E231" t="s">
        <v>29</v>
      </c>
      <c r="F231">
        <v>23</v>
      </c>
      <c r="G231" t="s">
        <v>30</v>
      </c>
      <c r="H231" t="s">
        <v>31</v>
      </c>
      <c r="I231" t="s">
        <v>30</v>
      </c>
      <c r="J231" t="s">
        <v>201</v>
      </c>
      <c r="K231">
        <v>5</v>
      </c>
      <c r="L231">
        <v>13190</v>
      </c>
      <c r="M231">
        <v>0</v>
      </c>
      <c r="N231">
        <v>0</v>
      </c>
      <c r="O231">
        <v>11871</v>
      </c>
      <c r="P231">
        <v>493</v>
      </c>
      <c r="Q231">
        <v>78314</v>
      </c>
      <c r="R231" t="s">
        <v>45</v>
      </c>
      <c r="S231" t="s">
        <v>34</v>
      </c>
      <c r="T231" t="s">
        <v>46</v>
      </c>
      <c r="U231" t="s">
        <v>36</v>
      </c>
      <c r="V231" t="s">
        <v>37</v>
      </c>
      <c r="W231">
        <v>10</v>
      </c>
      <c r="X231" t="s">
        <v>47</v>
      </c>
      <c r="Y231">
        <v>3</v>
      </c>
      <c r="Z231" t="s">
        <v>91</v>
      </c>
    </row>
    <row r="232" spans="1:26" x14ac:dyDescent="0.3">
      <c r="A232" t="s">
        <v>522</v>
      </c>
      <c r="B232" s="2">
        <v>46117</v>
      </c>
      <c r="C232" t="s">
        <v>523</v>
      </c>
      <c r="D232" t="s">
        <v>50</v>
      </c>
      <c r="E232" t="s">
        <v>43</v>
      </c>
      <c r="F232">
        <v>19</v>
      </c>
      <c r="G232" t="s">
        <v>134</v>
      </c>
      <c r="H232" t="s">
        <v>31</v>
      </c>
      <c r="I232" t="s">
        <v>134</v>
      </c>
      <c r="J232" t="s">
        <v>53</v>
      </c>
      <c r="K232">
        <v>3</v>
      </c>
      <c r="L232">
        <v>35079</v>
      </c>
      <c r="M232">
        <v>20</v>
      </c>
      <c r="N232">
        <v>21047.4</v>
      </c>
      <c r="O232">
        <v>15154.13</v>
      </c>
      <c r="P232">
        <v>50</v>
      </c>
      <c r="Q232">
        <v>99393.73</v>
      </c>
      <c r="R232" t="s">
        <v>54</v>
      </c>
      <c r="S232" t="s">
        <v>63</v>
      </c>
      <c r="T232" t="s">
        <v>70</v>
      </c>
      <c r="U232" t="s">
        <v>56</v>
      </c>
      <c r="V232" t="s">
        <v>57</v>
      </c>
      <c r="W232">
        <v>8</v>
      </c>
      <c r="X232" t="s">
        <v>38</v>
      </c>
      <c r="Y232">
        <v>3</v>
      </c>
      <c r="Z232" t="s">
        <v>58</v>
      </c>
    </row>
    <row r="233" spans="1:26" x14ac:dyDescent="0.3">
      <c r="A233" t="s">
        <v>524</v>
      </c>
      <c r="B233" s="2">
        <v>45897</v>
      </c>
      <c r="C233" t="s">
        <v>435</v>
      </c>
      <c r="D233" t="s">
        <v>61</v>
      </c>
      <c r="E233" t="s">
        <v>29</v>
      </c>
      <c r="F233">
        <v>43</v>
      </c>
      <c r="G233" t="s">
        <v>74</v>
      </c>
      <c r="H233" t="s">
        <v>31</v>
      </c>
      <c r="I233" t="s">
        <v>74</v>
      </c>
      <c r="J233" t="s">
        <v>62</v>
      </c>
      <c r="K233">
        <v>4</v>
      </c>
      <c r="L233">
        <v>19650</v>
      </c>
      <c r="M233">
        <v>0</v>
      </c>
      <c r="N233">
        <v>0</v>
      </c>
      <c r="O233">
        <v>14148</v>
      </c>
      <c r="P233">
        <v>372</v>
      </c>
      <c r="Q233">
        <v>93120</v>
      </c>
      <c r="R233" t="s">
        <v>83</v>
      </c>
      <c r="S233" t="s">
        <v>63</v>
      </c>
      <c r="T233" t="s">
        <v>103</v>
      </c>
      <c r="U233" t="s">
        <v>103</v>
      </c>
      <c r="V233" t="s">
        <v>57</v>
      </c>
      <c r="W233">
        <v>3</v>
      </c>
      <c r="X233" t="s">
        <v>38</v>
      </c>
      <c r="Y233">
        <v>4</v>
      </c>
      <c r="Z233" t="s">
        <v>58</v>
      </c>
    </row>
    <row r="234" spans="1:26" x14ac:dyDescent="0.3">
      <c r="A234" t="s">
        <v>525</v>
      </c>
      <c r="B234" s="2">
        <v>46027</v>
      </c>
      <c r="C234" t="s">
        <v>526</v>
      </c>
      <c r="D234" t="s">
        <v>80</v>
      </c>
      <c r="E234" t="s">
        <v>43</v>
      </c>
      <c r="F234">
        <v>23</v>
      </c>
      <c r="G234" t="s">
        <v>67</v>
      </c>
      <c r="H234" t="s">
        <v>68</v>
      </c>
      <c r="I234" t="s">
        <v>67</v>
      </c>
      <c r="J234" t="s">
        <v>69</v>
      </c>
      <c r="K234">
        <v>3</v>
      </c>
      <c r="L234">
        <v>7283</v>
      </c>
      <c r="M234">
        <v>0</v>
      </c>
      <c r="N234">
        <v>0</v>
      </c>
      <c r="O234">
        <v>3932.82</v>
      </c>
      <c r="P234">
        <v>89</v>
      </c>
      <c r="Q234">
        <v>25870.82</v>
      </c>
      <c r="R234" t="s">
        <v>83</v>
      </c>
      <c r="S234" t="s">
        <v>34</v>
      </c>
      <c r="T234" t="s">
        <v>76</v>
      </c>
      <c r="U234" t="s">
        <v>77</v>
      </c>
      <c r="V234" t="s">
        <v>57</v>
      </c>
      <c r="W234">
        <v>5</v>
      </c>
      <c r="X234" t="s">
        <v>38</v>
      </c>
      <c r="Y234">
        <v>4</v>
      </c>
      <c r="Z234" t="s">
        <v>47</v>
      </c>
    </row>
    <row r="235" spans="1:26" x14ac:dyDescent="0.3">
      <c r="A235" t="s">
        <v>527</v>
      </c>
      <c r="B235" s="2">
        <v>45846</v>
      </c>
      <c r="C235" t="s">
        <v>528</v>
      </c>
      <c r="D235" t="s">
        <v>80</v>
      </c>
      <c r="E235" t="s">
        <v>29</v>
      </c>
      <c r="F235">
        <v>47</v>
      </c>
      <c r="G235" t="s">
        <v>134</v>
      </c>
      <c r="H235" t="s">
        <v>31</v>
      </c>
      <c r="I235" t="s">
        <v>134</v>
      </c>
      <c r="J235" t="s">
        <v>112</v>
      </c>
      <c r="K235">
        <v>2</v>
      </c>
      <c r="L235">
        <v>18597</v>
      </c>
      <c r="M235">
        <v>0</v>
      </c>
      <c r="N235">
        <v>0</v>
      </c>
      <c r="O235">
        <v>6694.92</v>
      </c>
      <c r="P235">
        <v>194</v>
      </c>
      <c r="Q235">
        <v>44082.92</v>
      </c>
      <c r="R235" t="s">
        <v>33</v>
      </c>
      <c r="S235" t="s">
        <v>34</v>
      </c>
      <c r="T235" t="s">
        <v>46</v>
      </c>
      <c r="U235" t="s">
        <v>36</v>
      </c>
      <c r="V235" t="s">
        <v>37</v>
      </c>
      <c r="W235">
        <v>6</v>
      </c>
      <c r="X235" t="s">
        <v>47</v>
      </c>
      <c r="Y235">
        <v>1</v>
      </c>
      <c r="Z235" t="s">
        <v>39</v>
      </c>
    </row>
    <row r="236" spans="1:26" x14ac:dyDescent="0.3">
      <c r="A236" t="s">
        <v>529</v>
      </c>
      <c r="B236" s="2">
        <v>45812</v>
      </c>
      <c r="C236" t="s">
        <v>321</v>
      </c>
      <c r="D236" t="s">
        <v>80</v>
      </c>
      <c r="E236" t="s">
        <v>43</v>
      </c>
      <c r="F236">
        <v>41</v>
      </c>
      <c r="G236" t="s">
        <v>99</v>
      </c>
      <c r="H236" t="s">
        <v>52</v>
      </c>
      <c r="I236" t="s">
        <v>99</v>
      </c>
      <c r="J236" t="s">
        <v>125</v>
      </c>
      <c r="K236">
        <v>1</v>
      </c>
      <c r="L236">
        <v>17820</v>
      </c>
      <c r="M236">
        <v>20</v>
      </c>
      <c r="N236">
        <v>3564</v>
      </c>
      <c r="O236">
        <v>2566.08</v>
      </c>
      <c r="P236">
        <v>383</v>
      </c>
      <c r="Q236">
        <v>17205.080000000002</v>
      </c>
      <c r="R236" t="s">
        <v>83</v>
      </c>
      <c r="S236" t="s">
        <v>63</v>
      </c>
      <c r="T236" t="s">
        <v>46</v>
      </c>
      <c r="U236" t="s">
        <v>36</v>
      </c>
      <c r="V236" t="s">
        <v>37</v>
      </c>
      <c r="W236">
        <v>8</v>
      </c>
      <c r="X236" t="s">
        <v>38</v>
      </c>
      <c r="Y236">
        <v>5</v>
      </c>
      <c r="Z236" t="s">
        <v>58</v>
      </c>
    </row>
    <row r="237" spans="1:26" x14ac:dyDescent="0.3">
      <c r="A237" t="s">
        <v>530</v>
      </c>
      <c r="B237" s="2">
        <v>45930</v>
      </c>
      <c r="C237" t="s">
        <v>531</v>
      </c>
      <c r="D237" t="s">
        <v>61</v>
      </c>
      <c r="E237" t="s">
        <v>29</v>
      </c>
      <c r="F237">
        <v>58</v>
      </c>
      <c r="G237" t="s">
        <v>99</v>
      </c>
      <c r="H237" t="s">
        <v>52</v>
      </c>
      <c r="I237" t="s">
        <v>99</v>
      </c>
      <c r="J237" t="s">
        <v>32</v>
      </c>
      <c r="K237">
        <v>5</v>
      </c>
      <c r="L237">
        <v>29380</v>
      </c>
      <c r="M237">
        <v>10</v>
      </c>
      <c r="N237">
        <v>14690</v>
      </c>
      <c r="O237">
        <v>23797.8</v>
      </c>
      <c r="P237">
        <v>177</v>
      </c>
      <c r="Q237">
        <v>156184.79999999999</v>
      </c>
      <c r="R237" t="s">
        <v>83</v>
      </c>
      <c r="S237" t="s">
        <v>63</v>
      </c>
      <c r="T237" t="s">
        <v>46</v>
      </c>
      <c r="U237" t="s">
        <v>36</v>
      </c>
      <c r="V237" t="s">
        <v>37</v>
      </c>
      <c r="W237">
        <v>10</v>
      </c>
      <c r="X237" t="s">
        <v>47</v>
      </c>
      <c r="Y237">
        <v>1</v>
      </c>
      <c r="Z237" t="s">
        <v>39</v>
      </c>
    </row>
    <row r="238" spans="1:26" x14ac:dyDescent="0.3">
      <c r="A238" t="s">
        <v>532</v>
      </c>
      <c r="B238" s="2">
        <v>45960</v>
      </c>
      <c r="C238" t="s">
        <v>533</v>
      </c>
      <c r="D238" t="s">
        <v>89</v>
      </c>
      <c r="E238" t="s">
        <v>43</v>
      </c>
      <c r="F238">
        <v>55</v>
      </c>
      <c r="G238" t="s">
        <v>30</v>
      </c>
      <c r="H238" t="s">
        <v>31</v>
      </c>
      <c r="I238" t="s">
        <v>30</v>
      </c>
      <c r="J238" t="s">
        <v>112</v>
      </c>
      <c r="K238">
        <v>5</v>
      </c>
      <c r="L238">
        <v>48636</v>
      </c>
      <c r="M238">
        <v>20</v>
      </c>
      <c r="N238">
        <v>48636</v>
      </c>
      <c r="O238">
        <v>35017.919999999998</v>
      </c>
      <c r="P238">
        <v>254</v>
      </c>
      <c r="Q238">
        <v>229815.92</v>
      </c>
      <c r="R238" t="s">
        <v>45</v>
      </c>
      <c r="S238" t="s">
        <v>34</v>
      </c>
      <c r="T238" t="s">
        <v>55</v>
      </c>
      <c r="U238" t="s">
        <v>56</v>
      </c>
      <c r="V238" t="s">
        <v>57</v>
      </c>
      <c r="W238">
        <v>3</v>
      </c>
      <c r="X238" t="s">
        <v>38</v>
      </c>
      <c r="Y238">
        <v>2</v>
      </c>
      <c r="Z238" t="s">
        <v>39</v>
      </c>
    </row>
    <row r="239" spans="1:26" x14ac:dyDescent="0.3">
      <c r="A239" t="s">
        <v>534</v>
      </c>
      <c r="B239" s="2">
        <v>46092</v>
      </c>
      <c r="C239" t="s">
        <v>327</v>
      </c>
      <c r="D239" t="s">
        <v>50</v>
      </c>
      <c r="E239" t="s">
        <v>29</v>
      </c>
      <c r="F239">
        <v>40</v>
      </c>
      <c r="G239" t="s">
        <v>30</v>
      </c>
      <c r="H239" t="s">
        <v>31</v>
      </c>
      <c r="I239" t="s">
        <v>30</v>
      </c>
      <c r="J239" t="s">
        <v>102</v>
      </c>
      <c r="K239">
        <v>3</v>
      </c>
      <c r="L239">
        <v>4058</v>
      </c>
      <c r="M239">
        <v>0</v>
      </c>
      <c r="N239">
        <v>0</v>
      </c>
      <c r="O239">
        <v>2191.3200000000002</v>
      </c>
      <c r="P239">
        <v>130</v>
      </c>
      <c r="Q239">
        <v>14495.32</v>
      </c>
      <c r="R239" t="s">
        <v>33</v>
      </c>
      <c r="S239" t="s">
        <v>63</v>
      </c>
      <c r="T239" t="s">
        <v>55</v>
      </c>
      <c r="U239" t="s">
        <v>56</v>
      </c>
      <c r="V239" t="s">
        <v>57</v>
      </c>
      <c r="W239">
        <v>4</v>
      </c>
      <c r="X239" t="s">
        <v>38</v>
      </c>
      <c r="Y239">
        <v>5</v>
      </c>
      <c r="Z239" t="s">
        <v>91</v>
      </c>
    </row>
    <row r="240" spans="1:26" x14ac:dyDescent="0.3">
      <c r="A240" t="s">
        <v>535</v>
      </c>
      <c r="B240" s="2">
        <v>46070</v>
      </c>
      <c r="C240" t="s">
        <v>414</v>
      </c>
      <c r="D240" t="s">
        <v>73</v>
      </c>
      <c r="E240" t="s">
        <v>43</v>
      </c>
      <c r="F240">
        <v>50</v>
      </c>
      <c r="G240" t="s">
        <v>90</v>
      </c>
      <c r="H240" t="s">
        <v>31</v>
      </c>
      <c r="I240" t="s">
        <v>90</v>
      </c>
      <c r="J240" t="s">
        <v>201</v>
      </c>
      <c r="K240">
        <v>2</v>
      </c>
      <c r="L240">
        <v>16518</v>
      </c>
      <c r="M240">
        <v>15</v>
      </c>
      <c r="N240">
        <v>4955.3999999999996</v>
      </c>
      <c r="O240">
        <v>5054.51</v>
      </c>
      <c r="P240">
        <v>326</v>
      </c>
      <c r="Q240">
        <v>33461.11</v>
      </c>
      <c r="R240" t="s">
        <v>33</v>
      </c>
      <c r="S240" t="s">
        <v>34</v>
      </c>
      <c r="T240" t="s">
        <v>46</v>
      </c>
      <c r="U240" t="s">
        <v>36</v>
      </c>
      <c r="V240" t="s">
        <v>37</v>
      </c>
      <c r="W240">
        <v>1</v>
      </c>
      <c r="X240" t="s">
        <v>47</v>
      </c>
      <c r="Y240">
        <v>1</v>
      </c>
      <c r="Z240" t="s">
        <v>47</v>
      </c>
    </row>
    <row r="241" spans="1:26" x14ac:dyDescent="0.3">
      <c r="A241" t="s">
        <v>536</v>
      </c>
      <c r="B241" s="2">
        <v>45807</v>
      </c>
      <c r="C241" t="s">
        <v>386</v>
      </c>
      <c r="D241" t="s">
        <v>73</v>
      </c>
      <c r="E241" t="s">
        <v>43</v>
      </c>
      <c r="F241">
        <v>42</v>
      </c>
      <c r="G241" t="s">
        <v>99</v>
      </c>
      <c r="H241" t="s">
        <v>52</v>
      </c>
      <c r="I241" t="s">
        <v>99</v>
      </c>
      <c r="J241" t="s">
        <v>69</v>
      </c>
      <c r="K241">
        <v>2</v>
      </c>
      <c r="L241">
        <v>42034</v>
      </c>
      <c r="M241">
        <v>20</v>
      </c>
      <c r="N241">
        <v>16813.599999999999</v>
      </c>
      <c r="O241">
        <v>12105.79</v>
      </c>
      <c r="P241">
        <v>55</v>
      </c>
      <c r="Q241">
        <v>79415.19</v>
      </c>
      <c r="R241" t="s">
        <v>33</v>
      </c>
      <c r="S241" t="s">
        <v>63</v>
      </c>
      <c r="T241" t="s">
        <v>76</v>
      </c>
      <c r="U241" t="s">
        <v>77</v>
      </c>
      <c r="V241" t="s">
        <v>57</v>
      </c>
      <c r="W241">
        <v>6</v>
      </c>
      <c r="X241" t="s">
        <v>47</v>
      </c>
      <c r="Y241">
        <v>1</v>
      </c>
      <c r="Z241" t="s">
        <v>58</v>
      </c>
    </row>
    <row r="242" spans="1:26" x14ac:dyDescent="0.3">
      <c r="A242" t="s">
        <v>537</v>
      </c>
      <c r="B242" s="2">
        <v>45973</v>
      </c>
      <c r="C242" t="s">
        <v>538</v>
      </c>
      <c r="D242" t="s">
        <v>80</v>
      </c>
      <c r="E242" t="s">
        <v>29</v>
      </c>
      <c r="F242">
        <v>43</v>
      </c>
      <c r="G242" t="s">
        <v>51</v>
      </c>
      <c r="H242" t="s">
        <v>52</v>
      </c>
      <c r="I242" t="s">
        <v>51</v>
      </c>
      <c r="J242" t="s">
        <v>112</v>
      </c>
      <c r="K242">
        <v>2</v>
      </c>
      <c r="L242">
        <v>40255</v>
      </c>
      <c r="M242">
        <v>0</v>
      </c>
      <c r="N242">
        <v>0</v>
      </c>
      <c r="O242">
        <v>14491.8</v>
      </c>
      <c r="P242">
        <v>415</v>
      </c>
      <c r="Q242">
        <v>95416.8</v>
      </c>
      <c r="R242" t="s">
        <v>83</v>
      </c>
      <c r="S242" t="s">
        <v>34</v>
      </c>
      <c r="T242" t="s">
        <v>70</v>
      </c>
      <c r="U242" t="s">
        <v>56</v>
      </c>
      <c r="V242" t="s">
        <v>57</v>
      </c>
      <c r="W242">
        <v>6</v>
      </c>
      <c r="X242" t="s">
        <v>38</v>
      </c>
      <c r="Y242">
        <v>3</v>
      </c>
      <c r="Z242" t="s">
        <v>91</v>
      </c>
    </row>
    <row r="243" spans="1:26" x14ac:dyDescent="0.3">
      <c r="A243" t="s">
        <v>539</v>
      </c>
      <c r="B243" s="2">
        <v>45802</v>
      </c>
      <c r="C243" t="s">
        <v>540</v>
      </c>
      <c r="D243" t="s">
        <v>61</v>
      </c>
      <c r="E243" t="s">
        <v>43</v>
      </c>
      <c r="F243">
        <v>41</v>
      </c>
      <c r="G243" t="s">
        <v>30</v>
      </c>
      <c r="H243" t="s">
        <v>31</v>
      </c>
      <c r="I243" t="s">
        <v>30</v>
      </c>
      <c r="J243" t="s">
        <v>150</v>
      </c>
      <c r="K243">
        <v>2</v>
      </c>
      <c r="L243">
        <v>16819</v>
      </c>
      <c r="M243">
        <v>10</v>
      </c>
      <c r="N243">
        <v>3363.8</v>
      </c>
      <c r="O243">
        <v>5449.36</v>
      </c>
      <c r="P243">
        <v>185</v>
      </c>
      <c r="Q243">
        <v>35908.559999999998</v>
      </c>
      <c r="R243" t="s">
        <v>33</v>
      </c>
      <c r="S243" t="s">
        <v>63</v>
      </c>
      <c r="T243" t="s">
        <v>46</v>
      </c>
      <c r="U243" t="s">
        <v>36</v>
      </c>
      <c r="V243" t="s">
        <v>37</v>
      </c>
      <c r="W243">
        <v>9</v>
      </c>
      <c r="X243" t="s">
        <v>47</v>
      </c>
      <c r="Y243">
        <v>1</v>
      </c>
      <c r="Z243" t="s">
        <v>91</v>
      </c>
    </row>
    <row r="244" spans="1:26" x14ac:dyDescent="0.3">
      <c r="A244" t="s">
        <v>541</v>
      </c>
      <c r="B244" s="2">
        <v>46034</v>
      </c>
      <c r="C244" t="s">
        <v>542</v>
      </c>
      <c r="D244" t="s">
        <v>50</v>
      </c>
      <c r="E244" t="s">
        <v>43</v>
      </c>
      <c r="F244">
        <v>36</v>
      </c>
      <c r="G244" t="s">
        <v>30</v>
      </c>
      <c r="H244" t="s">
        <v>31</v>
      </c>
      <c r="I244" t="s">
        <v>30</v>
      </c>
      <c r="J244" t="s">
        <v>102</v>
      </c>
      <c r="K244">
        <v>5</v>
      </c>
      <c r="L244">
        <v>17749</v>
      </c>
      <c r="M244">
        <v>0</v>
      </c>
      <c r="N244">
        <v>0</v>
      </c>
      <c r="O244">
        <v>15974.1</v>
      </c>
      <c r="P244">
        <v>215</v>
      </c>
      <c r="Q244">
        <v>104934.1</v>
      </c>
      <c r="R244" t="s">
        <v>45</v>
      </c>
      <c r="S244" t="s">
        <v>34</v>
      </c>
      <c r="T244" t="s">
        <v>76</v>
      </c>
      <c r="U244" t="s">
        <v>77</v>
      </c>
      <c r="V244" t="s">
        <v>57</v>
      </c>
      <c r="W244">
        <v>9</v>
      </c>
      <c r="X244" t="s">
        <v>38</v>
      </c>
      <c r="Y244">
        <v>1</v>
      </c>
      <c r="Z244" t="s">
        <v>58</v>
      </c>
    </row>
    <row r="245" spans="1:26" x14ac:dyDescent="0.3">
      <c r="A245" t="s">
        <v>543</v>
      </c>
      <c r="B245" s="2">
        <v>45850</v>
      </c>
      <c r="C245" t="s">
        <v>544</v>
      </c>
      <c r="D245" t="s">
        <v>73</v>
      </c>
      <c r="E245" t="s">
        <v>29</v>
      </c>
      <c r="F245">
        <v>59</v>
      </c>
      <c r="G245" t="s">
        <v>99</v>
      </c>
      <c r="H245" t="s">
        <v>52</v>
      </c>
      <c r="I245" t="s">
        <v>99</v>
      </c>
      <c r="J245" t="s">
        <v>53</v>
      </c>
      <c r="K245">
        <v>1</v>
      </c>
      <c r="L245">
        <v>17819</v>
      </c>
      <c r="M245">
        <v>15</v>
      </c>
      <c r="N245">
        <v>2672.85</v>
      </c>
      <c r="O245">
        <v>2726.31</v>
      </c>
      <c r="P245">
        <v>350</v>
      </c>
      <c r="Q245">
        <v>18222.46</v>
      </c>
      <c r="R245" t="s">
        <v>83</v>
      </c>
      <c r="S245" t="s">
        <v>63</v>
      </c>
      <c r="T245" t="s">
        <v>95</v>
      </c>
      <c r="U245" t="s">
        <v>96</v>
      </c>
      <c r="V245" t="s">
        <v>57</v>
      </c>
      <c r="W245">
        <v>4</v>
      </c>
      <c r="X245" t="s">
        <v>47</v>
      </c>
      <c r="Y245">
        <v>3</v>
      </c>
      <c r="Z245" t="s">
        <v>91</v>
      </c>
    </row>
    <row r="246" spans="1:26" x14ac:dyDescent="0.3">
      <c r="A246" t="s">
        <v>545</v>
      </c>
      <c r="B246" s="2">
        <v>45873</v>
      </c>
      <c r="C246" t="s">
        <v>211</v>
      </c>
      <c r="D246" t="s">
        <v>66</v>
      </c>
      <c r="E246" t="s">
        <v>43</v>
      </c>
      <c r="F246">
        <v>30</v>
      </c>
      <c r="G246" t="s">
        <v>44</v>
      </c>
      <c r="H246" t="s">
        <v>31</v>
      </c>
      <c r="I246" t="s">
        <v>44</v>
      </c>
      <c r="J246" t="s">
        <v>201</v>
      </c>
      <c r="K246">
        <v>3</v>
      </c>
      <c r="L246">
        <v>34354</v>
      </c>
      <c r="M246">
        <v>5</v>
      </c>
      <c r="N246">
        <v>5153.1000000000004</v>
      </c>
      <c r="O246">
        <v>17623.599999999999</v>
      </c>
      <c r="P246">
        <v>57</v>
      </c>
      <c r="Q246">
        <v>115589.5</v>
      </c>
      <c r="R246" t="s">
        <v>83</v>
      </c>
      <c r="S246" t="s">
        <v>63</v>
      </c>
      <c r="T246" t="s">
        <v>103</v>
      </c>
      <c r="U246" t="s">
        <v>103</v>
      </c>
      <c r="V246" t="s">
        <v>57</v>
      </c>
      <c r="W246">
        <v>3</v>
      </c>
      <c r="X246" t="s">
        <v>47</v>
      </c>
      <c r="Y246">
        <v>3</v>
      </c>
      <c r="Z246" t="s">
        <v>58</v>
      </c>
    </row>
    <row r="247" spans="1:26" x14ac:dyDescent="0.3">
      <c r="A247" t="s">
        <v>546</v>
      </c>
      <c r="B247" s="2">
        <v>46084</v>
      </c>
      <c r="C247" t="s">
        <v>547</v>
      </c>
      <c r="D247" t="s">
        <v>73</v>
      </c>
      <c r="E247" t="s">
        <v>29</v>
      </c>
      <c r="F247">
        <v>52</v>
      </c>
      <c r="G247" t="s">
        <v>30</v>
      </c>
      <c r="H247" t="s">
        <v>31</v>
      </c>
      <c r="I247" t="s">
        <v>30</v>
      </c>
      <c r="J247" t="s">
        <v>201</v>
      </c>
      <c r="K247">
        <v>3</v>
      </c>
      <c r="L247">
        <v>20946</v>
      </c>
      <c r="M247">
        <v>20</v>
      </c>
      <c r="N247">
        <v>12567.6</v>
      </c>
      <c r="O247">
        <v>9048.67</v>
      </c>
      <c r="P247">
        <v>113</v>
      </c>
      <c r="Q247">
        <v>59432.07</v>
      </c>
      <c r="R247" t="s">
        <v>33</v>
      </c>
      <c r="S247" t="s">
        <v>34</v>
      </c>
      <c r="T247" t="s">
        <v>55</v>
      </c>
      <c r="U247" t="s">
        <v>56</v>
      </c>
      <c r="V247" t="s">
        <v>57</v>
      </c>
      <c r="W247">
        <v>10</v>
      </c>
      <c r="X247" t="s">
        <v>47</v>
      </c>
      <c r="Y247">
        <v>3</v>
      </c>
      <c r="Z247" t="s">
        <v>91</v>
      </c>
    </row>
    <row r="248" spans="1:26" x14ac:dyDescent="0.3">
      <c r="A248" t="s">
        <v>548</v>
      </c>
      <c r="B248" s="2">
        <v>45819</v>
      </c>
      <c r="C248" t="s">
        <v>549</v>
      </c>
      <c r="D248" t="s">
        <v>111</v>
      </c>
      <c r="E248" t="s">
        <v>43</v>
      </c>
      <c r="F248">
        <v>22</v>
      </c>
      <c r="G248" t="s">
        <v>74</v>
      </c>
      <c r="H248" t="s">
        <v>31</v>
      </c>
      <c r="I248" t="s">
        <v>74</v>
      </c>
      <c r="J248" t="s">
        <v>69</v>
      </c>
      <c r="K248">
        <v>5</v>
      </c>
      <c r="L248">
        <v>46655</v>
      </c>
      <c r="M248">
        <v>20</v>
      </c>
      <c r="N248">
        <v>46655</v>
      </c>
      <c r="O248">
        <v>33591.599999999999</v>
      </c>
      <c r="P248">
        <v>138</v>
      </c>
      <c r="Q248">
        <v>220349.6</v>
      </c>
      <c r="R248" t="s">
        <v>54</v>
      </c>
      <c r="S248" t="s">
        <v>34</v>
      </c>
      <c r="T248" t="s">
        <v>55</v>
      </c>
      <c r="U248" t="s">
        <v>56</v>
      </c>
      <c r="V248" t="s">
        <v>57</v>
      </c>
      <c r="W248">
        <v>9</v>
      </c>
      <c r="X248" t="s">
        <v>38</v>
      </c>
      <c r="Y248">
        <v>3</v>
      </c>
      <c r="Z248" t="s">
        <v>91</v>
      </c>
    </row>
    <row r="249" spans="1:26" x14ac:dyDescent="0.3">
      <c r="A249" t="s">
        <v>550</v>
      </c>
      <c r="B249" s="2">
        <v>46003</v>
      </c>
      <c r="C249" t="s">
        <v>551</v>
      </c>
      <c r="D249" t="s">
        <v>111</v>
      </c>
      <c r="E249" t="s">
        <v>43</v>
      </c>
      <c r="F249">
        <v>36</v>
      </c>
      <c r="G249" t="s">
        <v>99</v>
      </c>
      <c r="H249" t="s">
        <v>52</v>
      </c>
      <c r="I249" t="s">
        <v>99</v>
      </c>
      <c r="J249" t="s">
        <v>125</v>
      </c>
      <c r="K249">
        <v>4</v>
      </c>
      <c r="L249">
        <v>3168</v>
      </c>
      <c r="M249">
        <v>20</v>
      </c>
      <c r="N249">
        <v>2534.4</v>
      </c>
      <c r="O249">
        <v>1824.77</v>
      </c>
      <c r="P249">
        <v>447</v>
      </c>
      <c r="Q249">
        <v>12409.37</v>
      </c>
      <c r="R249" t="s">
        <v>54</v>
      </c>
      <c r="S249" t="s">
        <v>63</v>
      </c>
      <c r="T249" t="s">
        <v>46</v>
      </c>
      <c r="U249" t="s">
        <v>36</v>
      </c>
      <c r="V249" t="s">
        <v>37</v>
      </c>
      <c r="W249">
        <v>9</v>
      </c>
      <c r="X249" t="s">
        <v>47</v>
      </c>
      <c r="Y249">
        <v>3</v>
      </c>
      <c r="Z249" t="s">
        <v>91</v>
      </c>
    </row>
    <row r="250" spans="1:26" x14ac:dyDescent="0.3">
      <c r="A250" t="s">
        <v>552</v>
      </c>
      <c r="B250" s="2">
        <v>45869</v>
      </c>
      <c r="C250" t="s">
        <v>553</v>
      </c>
      <c r="D250" t="s">
        <v>73</v>
      </c>
      <c r="E250" t="s">
        <v>29</v>
      </c>
      <c r="F250">
        <v>38</v>
      </c>
      <c r="G250" t="s">
        <v>94</v>
      </c>
      <c r="H250" t="s">
        <v>31</v>
      </c>
      <c r="I250" t="s">
        <v>94</v>
      </c>
      <c r="J250" t="s">
        <v>125</v>
      </c>
      <c r="K250">
        <v>3</v>
      </c>
      <c r="L250">
        <v>13647</v>
      </c>
      <c r="M250">
        <v>20</v>
      </c>
      <c r="N250">
        <v>8188.2</v>
      </c>
      <c r="O250">
        <v>5895.5</v>
      </c>
      <c r="P250">
        <v>193</v>
      </c>
      <c r="Q250">
        <v>38841.300000000003</v>
      </c>
      <c r="R250" t="s">
        <v>45</v>
      </c>
      <c r="S250" t="s">
        <v>63</v>
      </c>
      <c r="T250" t="s">
        <v>46</v>
      </c>
      <c r="U250" t="s">
        <v>36</v>
      </c>
      <c r="V250" t="s">
        <v>37</v>
      </c>
      <c r="W250">
        <v>9</v>
      </c>
      <c r="X250" t="s">
        <v>38</v>
      </c>
      <c r="Y250">
        <v>5</v>
      </c>
      <c r="Z250" t="s">
        <v>91</v>
      </c>
    </row>
    <row r="251" spans="1:26" x14ac:dyDescent="0.3">
      <c r="A251" t="s">
        <v>554</v>
      </c>
      <c r="B251" s="2">
        <v>45931</v>
      </c>
      <c r="C251" t="s">
        <v>555</v>
      </c>
      <c r="D251" t="s">
        <v>50</v>
      </c>
      <c r="E251" t="s">
        <v>29</v>
      </c>
      <c r="F251">
        <v>49</v>
      </c>
      <c r="G251" t="s">
        <v>94</v>
      </c>
      <c r="H251" t="s">
        <v>31</v>
      </c>
      <c r="I251" t="s">
        <v>94</v>
      </c>
      <c r="J251" t="s">
        <v>75</v>
      </c>
      <c r="K251">
        <v>3</v>
      </c>
      <c r="L251">
        <v>10903</v>
      </c>
      <c r="M251">
        <v>0</v>
      </c>
      <c r="N251">
        <v>0</v>
      </c>
      <c r="O251">
        <v>5887.62</v>
      </c>
      <c r="P251">
        <v>412</v>
      </c>
      <c r="Q251">
        <v>39008.620000000003</v>
      </c>
      <c r="R251" t="s">
        <v>83</v>
      </c>
      <c r="S251" t="s">
        <v>34</v>
      </c>
      <c r="T251" t="s">
        <v>95</v>
      </c>
      <c r="U251" t="s">
        <v>96</v>
      </c>
      <c r="V251" t="s">
        <v>57</v>
      </c>
      <c r="W251">
        <v>8</v>
      </c>
      <c r="X251" t="s">
        <v>38</v>
      </c>
      <c r="Y251">
        <v>5</v>
      </c>
      <c r="Z251" t="s">
        <v>91</v>
      </c>
    </row>
    <row r="252" spans="1:26" x14ac:dyDescent="0.3">
      <c r="A252" t="s">
        <v>556</v>
      </c>
      <c r="B252" s="2">
        <v>45905</v>
      </c>
      <c r="C252" t="s">
        <v>557</v>
      </c>
      <c r="D252" t="s">
        <v>89</v>
      </c>
      <c r="E252" t="s">
        <v>43</v>
      </c>
      <c r="F252">
        <v>21</v>
      </c>
      <c r="G252" t="s">
        <v>94</v>
      </c>
      <c r="H252" t="s">
        <v>31</v>
      </c>
      <c r="I252" t="s">
        <v>94</v>
      </c>
      <c r="J252" t="s">
        <v>150</v>
      </c>
      <c r="K252">
        <v>4</v>
      </c>
      <c r="L252">
        <v>12320</v>
      </c>
      <c r="M252">
        <v>15</v>
      </c>
      <c r="N252">
        <v>7392</v>
      </c>
      <c r="O252">
        <v>7539.84</v>
      </c>
      <c r="P252">
        <v>154</v>
      </c>
      <c r="Q252">
        <v>49581.84</v>
      </c>
      <c r="R252" t="s">
        <v>33</v>
      </c>
      <c r="S252" t="s">
        <v>63</v>
      </c>
      <c r="T252" t="s">
        <v>95</v>
      </c>
      <c r="U252" t="s">
        <v>96</v>
      </c>
      <c r="V252" t="s">
        <v>57</v>
      </c>
      <c r="W252">
        <v>5</v>
      </c>
      <c r="X252" t="s">
        <v>47</v>
      </c>
      <c r="Y252">
        <v>5</v>
      </c>
      <c r="Z252" t="s">
        <v>91</v>
      </c>
    </row>
    <row r="253" spans="1:26" x14ac:dyDescent="0.3">
      <c r="A253" t="s">
        <v>558</v>
      </c>
      <c r="B253" s="2">
        <v>45885</v>
      </c>
      <c r="C253" t="s">
        <v>559</v>
      </c>
      <c r="D253" t="s">
        <v>28</v>
      </c>
      <c r="E253" t="s">
        <v>43</v>
      </c>
      <c r="F253">
        <v>37</v>
      </c>
      <c r="G253" t="s">
        <v>99</v>
      </c>
      <c r="H253" t="s">
        <v>52</v>
      </c>
      <c r="I253" t="s">
        <v>99</v>
      </c>
      <c r="J253" t="s">
        <v>150</v>
      </c>
      <c r="K253">
        <v>1</v>
      </c>
      <c r="L253">
        <v>14063</v>
      </c>
      <c r="M253">
        <v>10</v>
      </c>
      <c r="N253">
        <v>1406.3</v>
      </c>
      <c r="O253">
        <v>2278.21</v>
      </c>
      <c r="P253">
        <v>103</v>
      </c>
      <c r="Q253">
        <v>15037.91</v>
      </c>
      <c r="R253" t="s">
        <v>45</v>
      </c>
      <c r="S253" t="s">
        <v>63</v>
      </c>
      <c r="T253" t="s">
        <v>76</v>
      </c>
      <c r="U253" t="s">
        <v>77</v>
      </c>
      <c r="V253" t="s">
        <v>57</v>
      </c>
      <c r="W253">
        <v>2</v>
      </c>
      <c r="X253" t="s">
        <v>47</v>
      </c>
      <c r="Y253">
        <v>1</v>
      </c>
      <c r="Z253" t="s">
        <v>91</v>
      </c>
    </row>
    <row r="254" spans="1:26" x14ac:dyDescent="0.3">
      <c r="A254" t="s">
        <v>560</v>
      </c>
      <c r="B254" s="2">
        <v>46065</v>
      </c>
      <c r="C254" t="s">
        <v>336</v>
      </c>
      <c r="D254" t="s">
        <v>108</v>
      </c>
      <c r="E254" t="s">
        <v>43</v>
      </c>
      <c r="F254">
        <v>45</v>
      </c>
      <c r="G254" t="s">
        <v>134</v>
      </c>
      <c r="H254" t="s">
        <v>31</v>
      </c>
      <c r="I254" t="s">
        <v>134</v>
      </c>
      <c r="J254" t="s">
        <v>125</v>
      </c>
      <c r="K254">
        <v>3</v>
      </c>
      <c r="L254">
        <v>38458</v>
      </c>
      <c r="M254">
        <v>0</v>
      </c>
      <c r="N254">
        <v>0</v>
      </c>
      <c r="O254">
        <v>20767.32</v>
      </c>
      <c r="P254">
        <v>484</v>
      </c>
      <c r="Q254">
        <v>136625.32</v>
      </c>
      <c r="R254" t="s">
        <v>83</v>
      </c>
      <c r="S254" t="s">
        <v>63</v>
      </c>
      <c r="T254" t="s">
        <v>46</v>
      </c>
      <c r="U254" t="s">
        <v>36</v>
      </c>
      <c r="V254" t="s">
        <v>37</v>
      </c>
      <c r="W254">
        <v>4</v>
      </c>
      <c r="X254" t="s">
        <v>38</v>
      </c>
      <c r="Y254">
        <v>1</v>
      </c>
      <c r="Z254" t="s">
        <v>91</v>
      </c>
    </row>
    <row r="255" spans="1:26" x14ac:dyDescent="0.3">
      <c r="A255" t="s">
        <v>561</v>
      </c>
      <c r="B255" s="2">
        <v>45790</v>
      </c>
      <c r="C255" t="s">
        <v>562</v>
      </c>
      <c r="D255" t="s">
        <v>80</v>
      </c>
      <c r="E255" t="s">
        <v>43</v>
      </c>
      <c r="F255">
        <v>40</v>
      </c>
      <c r="G255" t="s">
        <v>139</v>
      </c>
      <c r="H255" t="s">
        <v>31</v>
      </c>
      <c r="I255" t="s">
        <v>139</v>
      </c>
      <c r="J255" t="s">
        <v>75</v>
      </c>
      <c r="K255">
        <v>3</v>
      </c>
      <c r="L255">
        <v>2136</v>
      </c>
      <c r="M255">
        <v>0</v>
      </c>
      <c r="N255">
        <v>0</v>
      </c>
      <c r="O255">
        <v>1153.44</v>
      </c>
      <c r="P255">
        <v>388</v>
      </c>
      <c r="Q255">
        <v>7949.44</v>
      </c>
      <c r="R255" t="s">
        <v>54</v>
      </c>
      <c r="S255" t="s">
        <v>63</v>
      </c>
      <c r="T255" t="s">
        <v>84</v>
      </c>
      <c r="U255" t="s">
        <v>85</v>
      </c>
      <c r="V255" t="s">
        <v>86</v>
      </c>
      <c r="W255">
        <v>9</v>
      </c>
      <c r="X255" t="s">
        <v>38</v>
      </c>
      <c r="Y255">
        <v>5</v>
      </c>
      <c r="Z255" t="s">
        <v>47</v>
      </c>
    </row>
    <row r="256" spans="1:26" x14ac:dyDescent="0.3">
      <c r="A256" t="s">
        <v>563</v>
      </c>
      <c r="B256" s="2">
        <v>45879</v>
      </c>
      <c r="C256" t="s">
        <v>564</v>
      </c>
      <c r="D256" t="s">
        <v>73</v>
      </c>
      <c r="E256" t="s">
        <v>43</v>
      </c>
      <c r="F256">
        <v>50</v>
      </c>
      <c r="G256" t="s">
        <v>51</v>
      </c>
      <c r="H256" t="s">
        <v>52</v>
      </c>
      <c r="I256" t="s">
        <v>51</v>
      </c>
      <c r="J256" t="s">
        <v>32</v>
      </c>
      <c r="K256">
        <v>4</v>
      </c>
      <c r="L256">
        <v>6313</v>
      </c>
      <c r="M256">
        <v>20</v>
      </c>
      <c r="N256">
        <v>5050.3999999999996</v>
      </c>
      <c r="O256">
        <v>3636.29</v>
      </c>
      <c r="P256">
        <v>1</v>
      </c>
      <c r="Q256">
        <v>23838.89</v>
      </c>
      <c r="R256" t="s">
        <v>54</v>
      </c>
      <c r="S256" t="s">
        <v>34</v>
      </c>
      <c r="T256" t="s">
        <v>95</v>
      </c>
      <c r="U256" t="s">
        <v>96</v>
      </c>
      <c r="V256" t="s">
        <v>57</v>
      </c>
      <c r="W256">
        <v>2</v>
      </c>
      <c r="X256" t="s">
        <v>38</v>
      </c>
      <c r="Y256">
        <v>1</v>
      </c>
      <c r="Z256" t="s">
        <v>58</v>
      </c>
    </row>
    <row r="257" spans="1:26" x14ac:dyDescent="0.3">
      <c r="A257" t="s">
        <v>565</v>
      </c>
      <c r="B257" s="2">
        <v>46121</v>
      </c>
      <c r="C257" t="s">
        <v>566</v>
      </c>
      <c r="D257" t="s">
        <v>61</v>
      </c>
      <c r="E257" t="s">
        <v>43</v>
      </c>
      <c r="F257">
        <v>46</v>
      </c>
      <c r="G257" t="s">
        <v>134</v>
      </c>
      <c r="H257" t="s">
        <v>31</v>
      </c>
      <c r="I257" t="s">
        <v>134</v>
      </c>
      <c r="J257" t="s">
        <v>75</v>
      </c>
      <c r="K257">
        <v>4</v>
      </c>
      <c r="L257">
        <v>26827</v>
      </c>
      <c r="M257">
        <v>5</v>
      </c>
      <c r="N257">
        <v>5365.4</v>
      </c>
      <c r="O257">
        <v>18349.669999999998</v>
      </c>
      <c r="P257">
        <v>70</v>
      </c>
      <c r="Q257">
        <v>120362.27</v>
      </c>
      <c r="R257" t="s">
        <v>54</v>
      </c>
      <c r="S257" t="s">
        <v>34</v>
      </c>
      <c r="T257" t="s">
        <v>84</v>
      </c>
      <c r="U257" t="s">
        <v>85</v>
      </c>
      <c r="V257" t="s">
        <v>86</v>
      </c>
      <c r="W257">
        <v>5</v>
      </c>
      <c r="X257" t="s">
        <v>38</v>
      </c>
      <c r="Y257">
        <v>2</v>
      </c>
      <c r="Z257" t="s">
        <v>91</v>
      </c>
    </row>
    <row r="258" spans="1:26" x14ac:dyDescent="0.3">
      <c r="A258" t="s">
        <v>567</v>
      </c>
      <c r="B258" s="2">
        <v>45876</v>
      </c>
      <c r="C258" t="s">
        <v>568</v>
      </c>
      <c r="D258" t="s">
        <v>89</v>
      </c>
      <c r="E258" t="s">
        <v>29</v>
      </c>
      <c r="F258">
        <v>44</v>
      </c>
      <c r="G258" t="s">
        <v>99</v>
      </c>
      <c r="H258" t="s">
        <v>52</v>
      </c>
      <c r="I258" t="s">
        <v>99</v>
      </c>
      <c r="J258" t="s">
        <v>75</v>
      </c>
      <c r="K258">
        <v>4</v>
      </c>
      <c r="L258">
        <v>20044</v>
      </c>
      <c r="M258">
        <v>10</v>
      </c>
      <c r="N258">
        <v>8017.6</v>
      </c>
      <c r="O258">
        <v>12988.51</v>
      </c>
      <c r="P258">
        <v>449</v>
      </c>
      <c r="Q258">
        <v>85595.91</v>
      </c>
      <c r="R258" t="s">
        <v>45</v>
      </c>
      <c r="S258" t="s">
        <v>63</v>
      </c>
      <c r="T258" t="s">
        <v>103</v>
      </c>
      <c r="U258" t="s">
        <v>103</v>
      </c>
      <c r="V258" t="s">
        <v>57</v>
      </c>
      <c r="W258">
        <v>4</v>
      </c>
      <c r="X258" t="s">
        <v>47</v>
      </c>
      <c r="Y258">
        <v>5</v>
      </c>
      <c r="Z258" t="s">
        <v>58</v>
      </c>
    </row>
    <row r="259" spans="1:26" x14ac:dyDescent="0.3">
      <c r="A259" t="s">
        <v>569</v>
      </c>
      <c r="B259" s="2">
        <v>45934</v>
      </c>
      <c r="C259" t="s">
        <v>570</v>
      </c>
      <c r="D259" t="s">
        <v>108</v>
      </c>
      <c r="E259" t="s">
        <v>29</v>
      </c>
      <c r="F259">
        <v>60</v>
      </c>
      <c r="G259" t="s">
        <v>139</v>
      </c>
      <c r="H259" t="s">
        <v>31</v>
      </c>
      <c r="I259" t="s">
        <v>139</v>
      </c>
      <c r="J259" t="s">
        <v>201</v>
      </c>
      <c r="K259">
        <v>5</v>
      </c>
      <c r="L259">
        <v>2751</v>
      </c>
      <c r="M259">
        <v>20</v>
      </c>
      <c r="N259">
        <v>2751</v>
      </c>
      <c r="O259">
        <v>1980.72</v>
      </c>
      <c r="P259">
        <v>347</v>
      </c>
      <c r="Q259">
        <v>13331.72</v>
      </c>
      <c r="R259" t="s">
        <v>33</v>
      </c>
      <c r="S259" t="s">
        <v>34</v>
      </c>
      <c r="T259" t="s">
        <v>84</v>
      </c>
      <c r="U259" t="s">
        <v>85</v>
      </c>
      <c r="V259" t="s">
        <v>86</v>
      </c>
      <c r="W259">
        <v>5</v>
      </c>
      <c r="X259" t="s">
        <v>38</v>
      </c>
      <c r="Y259">
        <v>5</v>
      </c>
      <c r="Z259" t="s">
        <v>39</v>
      </c>
    </row>
    <row r="260" spans="1:26" x14ac:dyDescent="0.3">
      <c r="A260" t="s">
        <v>571</v>
      </c>
      <c r="B260" s="2">
        <v>46001</v>
      </c>
      <c r="C260" t="s">
        <v>572</v>
      </c>
      <c r="D260" t="s">
        <v>50</v>
      </c>
      <c r="E260" t="s">
        <v>29</v>
      </c>
      <c r="F260">
        <v>28</v>
      </c>
      <c r="G260" t="s">
        <v>30</v>
      </c>
      <c r="H260" t="s">
        <v>31</v>
      </c>
      <c r="I260" t="s">
        <v>30</v>
      </c>
      <c r="J260" t="s">
        <v>150</v>
      </c>
      <c r="K260">
        <v>4</v>
      </c>
      <c r="L260">
        <v>5599</v>
      </c>
      <c r="M260">
        <v>20</v>
      </c>
      <c r="N260">
        <v>4479.2</v>
      </c>
      <c r="O260">
        <v>3225.02</v>
      </c>
      <c r="P260">
        <v>479</v>
      </c>
      <c r="Q260">
        <v>21620.82</v>
      </c>
      <c r="R260" t="s">
        <v>33</v>
      </c>
      <c r="S260" t="s">
        <v>34</v>
      </c>
      <c r="T260" t="s">
        <v>84</v>
      </c>
      <c r="U260" t="s">
        <v>85</v>
      </c>
      <c r="V260" t="s">
        <v>86</v>
      </c>
      <c r="W260">
        <v>4</v>
      </c>
      <c r="X260" t="s">
        <v>47</v>
      </c>
      <c r="Y260">
        <v>5</v>
      </c>
      <c r="Z260" t="s">
        <v>91</v>
      </c>
    </row>
    <row r="261" spans="1:26" x14ac:dyDescent="0.3">
      <c r="A261" t="s">
        <v>573</v>
      </c>
      <c r="B261" s="2">
        <v>45937</v>
      </c>
      <c r="C261" t="s">
        <v>574</v>
      </c>
      <c r="D261" t="s">
        <v>61</v>
      </c>
      <c r="E261" t="s">
        <v>43</v>
      </c>
      <c r="F261">
        <v>42</v>
      </c>
      <c r="G261" t="s">
        <v>51</v>
      </c>
      <c r="H261" t="s">
        <v>52</v>
      </c>
      <c r="I261" t="s">
        <v>51</v>
      </c>
      <c r="J261" t="s">
        <v>201</v>
      </c>
      <c r="K261">
        <v>1</v>
      </c>
      <c r="L261">
        <v>13659</v>
      </c>
      <c r="M261">
        <v>20</v>
      </c>
      <c r="N261">
        <v>2731.8</v>
      </c>
      <c r="O261">
        <v>1966.9</v>
      </c>
      <c r="P261">
        <v>370</v>
      </c>
      <c r="Q261">
        <v>13264.1</v>
      </c>
      <c r="R261" t="s">
        <v>54</v>
      </c>
      <c r="S261" t="s">
        <v>63</v>
      </c>
      <c r="T261" t="s">
        <v>46</v>
      </c>
      <c r="U261" t="s">
        <v>36</v>
      </c>
      <c r="V261" t="s">
        <v>37</v>
      </c>
      <c r="W261">
        <v>2</v>
      </c>
      <c r="X261" t="s">
        <v>38</v>
      </c>
      <c r="Y261">
        <v>1</v>
      </c>
      <c r="Z261" t="s">
        <v>91</v>
      </c>
    </row>
    <row r="262" spans="1:26" x14ac:dyDescent="0.3">
      <c r="A262" t="s">
        <v>575</v>
      </c>
      <c r="B262" s="2">
        <v>46034</v>
      </c>
      <c r="C262" t="s">
        <v>576</v>
      </c>
      <c r="D262" t="s">
        <v>108</v>
      </c>
      <c r="E262" t="s">
        <v>29</v>
      </c>
      <c r="F262">
        <v>41</v>
      </c>
      <c r="G262" t="s">
        <v>94</v>
      </c>
      <c r="H262" t="s">
        <v>31</v>
      </c>
      <c r="I262" t="s">
        <v>94</v>
      </c>
      <c r="J262" t="s">
        <v>125</v>
      </c>
      <c r="K262">
        <v>3</v>
      </c>
      <c r="L262">
        <v>35927</v>
      </c>
      <c r="M262">
        <v>15</v>
      </c>
      <c r="N262">
        <v>16167.15</v>
      </c>
      <c r="O262">
        <v>16490.490000000002</v>
      </c>
      <c r="P262">
        <v>110</v>
      </c>
      <c r="Q262">
        <v>108214.34</v>
      </c>
      <c r="R262" t="s">
        <v>45</v>
      </c>
      <c r="S262" t="s">
        <v>34</v>
      </c>
      <c r="T262" t="s">
        <v>55</v>
      </c>
      <c r="U262" t="s">
        <v>56</v>
      </c>
      <c r="V262" t="s">
        <v>57</v>
      </c>
      <c r="W262">
        <v>1</v>
      </c>
      <c r="X262" t="s">
        <v>38</v>
      </c>
      <c r="Y262">
        <v>2</v>
      </c>
      <c r="Z262" t="s">
        <v>39</v>
      </c>
    </row>
    <row r="263" spans="1:26" x14ac:dyDescent="0.3">
      <c r="A263" t="s">
        <v>577</v>
      </c>
      <c r="B263" s="2">
        <v>45870</v>
      </c>
      <c r="C263" t="s">
        <v>578</v>
      </c>
      <c r="D263" t="s">
        <v>28</v>
      </c>
      <c r="E263" t="s">
        <v>29</v>
      </c>
      <c r="F263">
        <v>51</v>
      </c>
      <c r="G263" t="s">
        <v>51</v>
      </c>
      <c r="H263" t="s">
        <v>52</v>
      </c>
      <c r="I263" t="s">
        <v>51</v>
      </c>
      <c r="J263" t="s">
        <v>125</v>
      </c>
      <c r="K263">
        <v>2</v>
      </c>
      <c r="L263">
        <v>8718</v>
      </c>
      <c r="M263">
        <v>5</v>
      </c>
      <c r="N263">
        <v>871.8</v>
      </c>
      <c r="O263">
        <v>2981.56</v>
      </c>
      <c r="P263">
        <v>320</v>
      </c>
      <c r="Q263">
        <v>19865.759999999998</v>
      </c>
      <c r="R263" t="s">
        <v>54</v>
      </c>
      <c r="S263" t="s">
        <v>34</v>
      </c>
      <c r="T263" t="s">
        <v>55</v>
      </c>
      <c r="U263" t="s">
        <v>56</v>
      </c>
      <c r="V263" t="s">
        <v>57</v>
      </c>
      <c r="W263">
        <v>9</v>
      </c>
      <c r="X263" t="s">
        <v>38</v>
      </c>
      <c r="Y263">
        <v>3</v>
      </c>
      <c r="Z263" t="s">
        <v>58</v>
      </c>
    </row>
    <row r="264" spans="1:26" x14ac:dyDescent="0.3">
      <c r="A264" t="s">
        <v>579</v>
      </c>
      <c r="B264" s="2">
        <v>45943</v>
      </c>
      <c r="C264" t="s">
        <v>580</v>
      </c>
      <c r="D264" t="s">
        <v>89</v>
      </c>
      <c r="E264" t="s">
        <v>29</v>
      </c>
      <c r="F264">
        <v>50</v>
      </c>
      <c r="G264" t="s">
        <v>94</v>
      </c>
      <c r="H264" t="s">
        <v>31</v>
      </c>
      <c r="I264" t="s">
        <v>94</v>
      </c>
      <c r="J264" t="s">
        <v>150</v>
      </c>
      <c r="K264">
        <v>4</v>
      </c>
      <c r="L264">
        <v>10032</v>
      </c>
      <c r="M264">
        <v>5</v>
      </c>
      <c r="N264">
        <v>2006.4</v>
      </c>
      <c r="O264">
        <v>6861.89</v>
      </c>
      <c r="P264">
        <v>42</v>
      </c>
      <c r="Q264">
        <v>45025.49</v>
      </c>
      <c r="R264" t="s">
        <v>33</v>
      </c>
      <c r="S264" t="s">
        <v>34</v>
      </c>
      <c r="T264" t="s">
        <v>70</v>
      </c>
      <c r="U264" t="s">
        <v>56</v>
      </c>
      <c r="V264" t="s">
        <v>57</v>
      </c>
      <c r="W264">
        <v>3</v>
      </c>
      <c r="X264" t="s">
        <v>38</v>
      </c>
      <c r="Y264">
        <v>3</v>
      </c>
      <c r="Z264" t="s">
        <v>47</v>
      </c>
    </row>
    <row r="265" spans="1:26" x14ac:dyDescent="0.3">
      <c r="A265" t="s">
        <v>581</v>
      </c>
      <c r="B265" s="2">
        <v>46033</v>
      </c>
      <c r="C265" t="s">
        <v>582</v>
      </c>
      <c r="D265" t="s">
        <v>42</v>
      </c>
      <c r="E265" t="s">
        <v>43</v>
      </c>
      <c r="F265">
        <v>59</v>
      </c>
      <c r="G265" t="s">
        <v>90</v>
      </c>
      <c r="H265" t="s">
        <v>31</v>
      </c>
      <c r="I265" t="s">
        <v>90</v>
      </c>
      <c r="J265" t="s">
        <v>32</v>
      </c>
      <c r="K265">
        <v>4</v>
      </c>
      <c r="L265">
        <v>9542</v>
      </c>
      <c r="M265">
        <v>20</v>
      </c>
      <c r="N265">
        <v>7633.6</v>
      </c>
      <c r="O265">
        <v>5496.19</v>
      </c>
      <c r="P265">
        <v>372</v>
      </c>
      <c r="Q265">
        <v>36402.589999999997</v>
      </c>
      <c r="R265" t="s">
        <v>45</v>
      </c>
      <c r="S265" t="s">
        <v>63</v>
      </c>
      <c r="T265" t="s">
        <v>95</v>
      </c>
      <c r="U265" t="s">
        <v>96</v>
      </c>
      <c r="V265" t="s">
        <v>57</v>
      </c>
      <c r="W265">
        <v>10</v>
      </c>
      <c r="X265" t="s">
        <v>47</v>
      </c>
      <c r="Y265">
        <v>3</v>
      </c>
      <c r="Z265" t="s">
        <v>91</v>
      </c>
    </row>
    <row r="266" spans="1:26" x14ac:dyDescent="0.3">
      <c r="A266" t="s">
        <v>583</v>
      </c>
      <c r="B266" s="2">
        <v>46009</v>
      </c>
      <c r="C266" t="s">
        <v>332</v>
      </c>
      <c r="D266" t="s">
        <v>111</v>
      </c>
      <c r="E266" t="s">
        <v>29</v>
      </c>
      <c r="F266">
        <v>41</v>
      </c>
      <c r="G266" t="s">
        <v>74</v>
      </c>
      <c r="H266" t="s">
        <v>31</v>
      </c>
      <c r="I266" t="s">
        <v>74</v>
      </c>
      <c r="J266" t="s">
        <v>150</v>
      </c>
      <c r="K266">
        <v>1</v>
      </c>
      <c r="L266">
        <v>9992</v>
      </c>
      <c r="M266">
        <v>10</v>
      </c>
      <c r="N266">
        <v>999.2</v>
      </c>
      <c r="O266">
        <v>1618.7</v>
      </c>
      <c r="P266">
        <v>323</v>
      </c>
      <c r="Q266">
        <v>10934.5</v>
      </c>
      <c r="R266" t="s">
        <v>33</v>
      </c>
      <c r="S266" t="s">
        <v>63</v>
      </c>
      <c r="T266" t="s">
        <v>103</v>
      </c>
      <c r="U266" t="s">
        <v>103</v>
      </c>
      <c r="V266" t="s">
        <v>57</v>
      </c>
      <c r="W266">
        <v>10</v>
      </c>
      <c r="X266" t="s">
        <v>47</v>
      </c>
      <c r="Y266">
        <v>4</v>
      </c>
      <c r="Z266" t="s">
        <v>58</v>
      </c>
    </row>
    <row r="267" spans="1:26" x14ac:dyDescent="0.3">
      <c r="A267" t="s">
        <v>584</v>
      </c>
      <c r="B267" s="2">
        <v>45940</v>
      </c>
      <c r="C267" t="s">
        <v>585</v>
      </c>
      <c r="D267" t="s">
        <v>108</v>
      </c>
      <c r="E267" t="s">
        <v>43</v>
      </c>
      <c r="F267">
        <v>25</v>
      </c>
      <c r="G267" t="s">
        <v>67</v>
      </c>
      <c r="H267" t="s">
        <v>68</v>
      </c>
      <c r="I267" t="s">
        <v>67</v>
      </c>
      <c r="J267" t="s">
        <v>112</v>
      </c>
      <c r="K267">
        <v>2</v>
      </c>
      <c r="L267">
        <v>2594</v>
      </c>
      <c r="M267">
        <v>5</v>
      </c>
      <c r="N267">
        <v>259.39999999999998</v>
      </c>
      <c r="O267">
        <v>887.15</v>
      </c>
      <c r="P267">
        <v>259</v>
      </c>
      <c r="Q267">
        <v>6074.75</v>
      </c>
      <c r="R267" t="s">
        <v>83</v>
      </c>
      <c r="S267" t="s">
        <v>34</v>
      </c>
      <c r="T267" t="s">
        <v>76</v>
      </c>
      <c r="U267" t="s">
        <v>77</v>
      </c>
      <c r="V267" t="s">
        <v>57</v>
      </c>
      <c r="W267">
        <v>10</v>
      </c>
      <c r="X267" t="s">
        <v>47</v>
      </c>
      <c r="Y267">
        <v>5</v>
      </c>
      <c r="Z267" t="s">
        <v>47</v>
      </c>
    </row>
    <row r="268" spans="1:26" x14ac:dyDescent="0.3">
      <c r="A268" t="s">
        <v>586</v>
      </c>
      <c r="B268" s="2">
        <v>46121</v>
      </c>
      <c r="C268" t="s">
        <v>587</v>
      </c>
      <c r="D268" t="s">
        <v>80</v>
      </c>
      <c r="E268" t="s">
        <v>43</v>
      </c>
      <c r="F268">
        <v>27</v>
      </c>
      <c r="G268" t="s">
        <v>51</v>
      </c>
      <c r="H268" t="s">
        <v>52</v>
      </c>
      <c r="I268" t="s">
        <v>51</v>
      </c>
      <c r="J268" t="s">
        <v>75</v>
      </c>
      <c r="K268">
        <v>3</v>
      </c>
      <c r="L268">
        <v>33711</v>
      </c>
      <c r="M268">
        <v>15</v>
      </c>
      <c r="N268">
        <v>15169.95</v>
      </c>
      <c r="O268">
        <v>15473.35</v>
      </c>
      <c r="P268">
        <v>84</v>
      </c>
      <c r="Q268">
        <v>101520.4</v>
      </c>
      <c r="R268" t="s">
        <v>33</v>
      </c>
      <c r="S268" t="s">
        <v>34</v>
      </c>
      <c r="T268" t="s">
        <v>84</v>
      </c>
      <c r="U268" t="s">
        <v>85</v>
      </c>
      <c r="V268" t="s">
        <v>86</v>
      </c>
      <c r="W268">
        <v>6</v>
      </c>
      <c r="X268" t="s">
        <v>47</v>
      </c>
      <c r="Y268">
        <v>5</v>
      </c>
      <c r="Z268" t="s">
        <v>39</v>
      </c>
    </row>
    <row r="269" spans="1:26" x14ac:dyDescent="0.3">
      <c r="A269" t="s">
        <v>588</v>
      </c>
      <c r="B269" s="2">
        <v>45821</v>
      </c>
      <c r="C269" t="s">
        <v>145</v>
      </c>
      <c r="D269" t="s">
        <v>66</v>
      </c>
      <c r="E269" t="s">
        <v>29</v>
      </c>
      <c r="F269">
        <v>41</v>
      </c>
      <c r="G269" t="s">
        <v>94</v>
      </c>
      <c r="H269" t="s">
        <v>31</v>
      </c>
      <c r="I269" t="s">
        <v>94</v>
      </c>
      <c r="J269" t="s">
        <v>62</v>
      </c>
      <c r="K269">
        <v>5</v>
      </c>
      <c r="L269">
        <v>28384</v>
      </c>
      <c r="M269">
        <v>20</v>
      </c>
      <c r="N269">
        <v>28384</v>
      </c>
      <c r="O269">
        <v>20436.48</v>
      </c>
      <c r="P269">
        <v>302</v>
      </c>
      <c r="Q269">
        <v>134274.48000000001</v>
      </c>
      <c r="R269" t="s">
        <v>33</v>
      </c>
      <c r="S269" t="s">
        <v>63</v>
      </c>
      <c r="T269" t="s">
        <v>76</v>
      </c>
      <c r="U269" t="s">
        <v>77</v>
      </c>
      <c r="V269" t="s">
        <v>57</v>
      </c>
      <c r="W269">
        <v>7</v>
      </c>
      <c r="X269" t="s">
        <v>38</v>
      </c>
      <c r="Y269">
        <v>3</v>
      </c>
      <c r="Z269" t="s">
        <v>47</v>
      </c>
    </row>
    <row r="270" spans="1:26" x14ac:dyDescent="0.3">
      <c r="A270" t="s">
        <v>589</v>
      </c>
      <c r="B270" s="2">
        <v>46092</v>
      </c>
      <c r="C270" t="s">
        <v>590</v>
      </c>
      <c r="D270" t="s">
        <v>89</v>
      </c>
      <c r="E270" t="s">
        <v>43</v>
      </c>
      <c r="F270">
        <v>29</v>
      </c>
      <c r="G270" t="s">
        <v>51</v>
      </c>
      <c r="H270" t="s">
        <v>52</v>
      </c>
      <c r="I270" t="s">
        <v>51</v>
      </c>
      <c r="J270" t="s">
        <v>69</v>
      </c>
      <c r="K270">
        <v>3</v>
      </c>
      <c r="L270">
        <v>35019</v>
      </c>
      <c r="M270">
        <v>15</v>
      </c>
      <c r="N270">
        <v>15758.55</v>
      </c>
      <c r="O270">
        <v>16073.72</v>
      </c>
      <c r="P270">
        <v>151</v>
      </c>
      <c r="Q270">
        <v>105523.17</v>
      </c>
      <c r="R270" t="s">
        <v>83</v>
      </c>
      <c r="S270" t="s">
        <v>63</v>
      </c>
      <c r="T270" t="s">
        <v>103</v>
      </c>
      <c r="U270" t="s">
        <v>103</v>
      </c>
      <c r="V270" t="s">
        <v>57</v>
      </c>
      <c r="W270">
        <v>3</v>
      </c>
      <c r="X270" t="s">
        <v>38</v>
      </c>
      <c r="Y270">
        <v>5</v>
      </c>
      <c r="Z270" t="s">
        <v>58</v>
      </c>
    </row>
    <row r="271" spans="1:26" x14ac:dyDescent="0.3">
      <c r="A271" t="s">
        <v>591</v>
      </c>
      <c r="B271" s="2">
        <v>45800</v>
      </c>
      <c r="C271" t="s">
        <v>592</v>
      </c>
      <c r="D271" t="s">
        <v>108</v>
      </c>
      <c r="E271" t="s">
        <v>43</v>
      </c>
      <c r="F271">
        <v>59</v>
      </c>
      <c r="G271" t="s">
        <v>30</v>
      </c>
      <c r="H271" t="s">
        <v>31</v>
      </c>
      <c r="I271" t="s">
        <v>30</v>
      </c>
      <c r="J271" t="s">
        <v>32</v>
      </c>
      <c r="K271">
        <v>3</v>
      </c>
      <c r="L271">
        <v>19289</v>
      </c>
      <c r="M271">
        <v>10</v>
      </c>
      <c r="N271">
        <v>5786.7</v>
      </c>
      <c r="O271">
        <v>9374.4500000000007</v>
      </c>
      <c r="P271">
        <v>261</v>
      </c>
      <c r="Q271">
        <v>61715.75</v>
      </c>
      <c r="R271" t="s">
        <v>33</v>
      </c>
      <c r="S271" t="s">
        <v>34</v>
      </c>
      <c r="T271" t="s">
        <v>46</v>
      </c>
      <c r="U271" t="s">
        <v>36</v>
      </c>
      <c r="V271" t="s">
        <v>37</v>
      </c>
      <c r="W271">
        <v>4</v>
      </c>
      <c r="X271" t="s">
        <v>38</v>
      </c>
      <c r="Y271">
        <v>3</v>
      </c>
      <c r="Z271" t="s">
        <v>39</v>
      </c>
    </row>
    <row r="272" spans="1:26" x14ac:dyDescent="0.3">
      <c r="A272" t="s">
        <v>593</v>
      </c>
      <c r="B272" s="2">
        <v>46015</v>
      </c>
      <c r="C272" t="s">
        <v>423</v>
      </c>
      <c r="D272" t="s">
        <v>66</v>
      </c>
      <c r="E272" t="s">
        <v>29</v>
      </c>
      <c r="F272">
        <v>44</v>
      </c>
      <c r="G272" t="s">
        <v>99</v>
      </c>
      <c r="H272" t="s">
        <v>52</v>
      </c>
      <c r="I272" t="s">
        <v>99</v>
      </c>
      <c r="J272" t="s">
        <v>62</v>
      </c>
      <c r="K272">
        <v>4</v>
      </c>
      <c r="L272">
        <v>47723</v>
      </c>
      <c r="M272">
        <v>10</v>
      </c>
      <c r="N272">
        <v>19089.2</v>
      </c>
      <c r="O272">
        <v>30924.5</v>
      </c>
      <c r="P272">
        <v>497</v>
      </c>
      <c r="Q272">
        <v>203224.3</v>
      </c>
      <c r="R272" t="s">
        <v>83</v>
      </c>
      <c r="S272" t="s">
        <v>63</v>
      </c>
      <c r="T272" t="s">
        <v>35</v>
      </c>
      <c r="U272" t="s">
        <v>36</v>
      </c>
      <c r="V272" t="s">
        <v>37</v>
      </c>
      <c r="W272">
        <v>8</v>
      </c>
      <c r="X272" t="s">
        <v>38</v>
      </c>
      <c r="Y272">
        <v>1</v>
      </c>
      <c r="Z272" t="s">
        <v>39</v>
      </c>
    </row>
    <row r="273" spans="1:26" x14ac:dyDescent="0.3">
      <c r="A273" t="s">
        <v>594</v>
      </c>
      <c r="B273" s="2">
        <v>46001</v>
      </c>
      <c r="C273" t="s">
        <v>417</v>
      </c>
      <c r="D273" t="s">
        <v>50</v>
      </c>
      <c r="E273" t="s">
        <v>29</v>
      </c>
      <c r="F273">
        <v>44</v>
      </c>
      <c r="G273" t="s">
        <v>44</v>
      </c>
      <c r="H273" t="s">
        <v>31</v>
      </c>
      <c r="I273" t="s">
        <v>44</v>
      </c>
      <c r="J273" t="s">
        <v>53</v>
      </c>
      <c r="K273">
        <v>5</v>
      </c>
      <c r="L273">
        <v>36579</v>
      </c>
      <c r="M273">
        <v>5</v>
      </c>
      <c r="N273">
        <v>9144.75</v>
      </c>
      <c r="O273">
        <v>31275.040000000001</v>
      </c>
      <c r="P273">
        <v>326</v>
      </c>
      <c r="Q273">
        <v>205351.29</v>
      </c>
      <c r="R273" t="s">
        <v>83</v>
      </c>
      <c r="S273" t="s">
        <v>63</v>
      </c>
      <c r="T273" t="s">
        <v>95</v>
      </c>
      <c r="U273" t="s">
        <v>96</v>
      </c>
      <c r="V273" t="s">
        <v>57</v>
      </c>
      <c r="W273">
        <v>4</v>
      </c>
      <c r="X273" t="s">
        <v>38</v>
      </c>
      <c r="Y273">
        <v>4</v>
      </c>
      <c r="Z273" t="s">
        <v>58</v>
      </c>
    </row>
    <row r="274" spans="1:26" x14ac:dyDescent="0.3">
      <c r="A274" t="s">
        <v>595</v>
      </c>
      <c r="B274" s="2">
        <v>46085</v>
      </c>
      <c r="C274" t="s">
        <v>596</v>
      </c>
      <c r="D274" t="s">
        <v>61</v>
      </c>
      <c r="E274" t="s">
        <v>43</v>
      </c>
      <c r="F274">
        <v>28</v>
      </c>
      <c r="G274" t="s">
        <v>30</v>
      </c>
      <c r="H274" t="s">
        <v>31</v>
      </c>
      <c r="I274" t="s">
        <v>30</v>
      </c>
      <c r="J274" t="s">
        <v>150</v>
      </c>
      <c r="K274">
        <v>2</v>
      </c>
      <c r="L274">
        <v>30501</v>
      </c>
      <c r="M274">
        <v>10</v>
      </c>
      <c r="N274">
        <v>6100.2</v>
      </c>
      <c r="O274">
        <v>9882.32</v>
      </c>
      <c r="P274">
        <v>215</v>
      </c>
      <c r="Q274">
        <v>64999.12</v>
      </c>
      <c r="R274" t="s">
        <v>54</v>
      </c>
      <c r="S274" t="s">
        <v>63</v>
      </c>
      <c r="T274" t="s">
        <v>95</v>
      </c>
      <c r="U274" t="s">
        <v>96</v>
      </c>
      <c r="V274" t="s">
        <v>57</v>
      </c>
      <c r="W274">
        <v>8</v>
      </c>
      <c r="X274" t="s">
        <v>38</v>
      </c>
      <c r="Y274">
        <v>2</v>
      </c>
      <c r="Z274" t="s">
        <v>47</v>
      </c>
    </row>
    <row r="275" spans="1:26" x14ac:dyDescent="0.3">
      <c r="A275" t="s">
        <v>597</v>
      </c>
      <c r="B275" s="2">
        <v>45908</v>
      </c>
      <c r="C275" t="s">
        <v>598</v>
      </c>
      <c r="D275" t="s">
        <v>42</v>
      </c>
      <c r="E275" t="s">
        <v>29</v>
      </c>
      <c r="F275">
        <v>19</v>
      </c>
      <c r="G275" t="s">
        <v>44</v>
      </c>
      <c r="H275" t="s">
        <v>31</v>
      </c>
      <c r="I275" t="s">
        <v>44</v>
      </c>
      <c r="J275" t="s">
        <v>75</v>
      </c>
      <c r="K275">
        <v>3</v>
      </c>
      <c r="L275">
        <v>35905</v>
      </c>
      <c r="M275">
        <v>20</v>
      </c>
      <c r="N275">
        <v>21543</v>
      </c>
      <c r="O275">
        <v>15510.96</v>
      </c>
      <c r="P275">
        <v>69</v>
      </c>
      <c r="Q275">
        <v>101751.96</v>
      </c>
      <c r="R275" t="s">
        <v>83</v>
      </c>
      <c r="S275" t="s">
        <v>63</v>
      </c>
      <c r="T275" t="s">
        <v>84</v>
      </c>
      <c r="U275" t="s">
        <v>85</v>
      </c>
      <c r="V275" t="s">
        <v>86</v>
      </c>
      <c r="W275">
        <v>6</v>
      </c>
      <c r="X275" t="s">
        <v>38</v>
      </c>
      <c r="Y275">
        <v>4</v>
      </c>
      <c r="Z275" t="s">
        <v>47</v>
      </c>
    </row>
    <row r="276" spans="1:26" x14ac:dyDescent="0.3">
      <c r="A276" t="s">
        <v>599</v>
      </c>
      <c r="B276" s="2">
        <v>45871</v>
      </c>
      <c r="C276" t="s">
        <v>120</v>
      </c>
      <c r="D276" t="s">
        <v>111</v>
      </c>
      <c r="E276" t="s">
        <v>43</v>
      </c>
      <c r="F276">
        <v>38</v>
      </c>
      <c r="G276" t="s">
        <v>139</v>
      </c>
      <c r="H276" t="s">
        <v>31</v>
      </c>
      <c r="I276" t="s">
        <v>139</v>
      </c>
      <c r="J276" t="s">
        <v>53</v>
      </c>
      <c r="K276">
        <v>3</v>
      </c>
      <c r="L276">
        <v>16019</v>
      </c>
      <c r="M276">
        <v>10</v>
      </c>
      <c r="N276">
        <v>4805.7</v>
      </c>
      <c r="O276">
        <v>7785.23</v>
      </c>
      <c r="P276">
        <v>9</v>
      </c>
      <c r="Q276">
        <v>51045.53</v>
      </c>
      <c r="R276" t="s">
        <v>83</v>
      </c>
      <c r="S276" t="s">
        <v>63</v>
      </c>
      <c r="T276" t="s">
        <v>84</v>
      </c>
      <c r="U276" t="s">
        <v>85</v>
      </c>
      <c r="V276" t="s">
        <v>86</v>
      </c>
      <c r="W276">
        <v>4</v>
      </c>
      <c r="X276" t="s">
        <v>38</v>
      </c>
      <c r="Y276">
        <v>4</v>
      </c>
      <c r="Z276" t="s">
        <v>58</v>
      </c>
    </row>
    <row r="277" spans="1:26" x14ac:dyDescent="0.3">
      <c r="A277" t="s">
        <v>600</v>
      </c>
      <c r="B277" s="2">
        <v>45877</v>
      </c>
      <c r="C277" t="s">
        <v>601</v>
      </c>
      <c r="D277" t="s">
        <v>89</v>
      </c>
      <c r="E277" t="s">
        <v>29</v>
      </c>
      <c r="F277">
        <v>22</v>
      </c>
      <c r="G277" t="s">
        <v>94</v>
      </c>
      <c r="H277" t="s">
        <v>31</v>
      </c>
      <c r="I277" t="s">
        <v>94</v>
      </c>
      <c r="J277" t="s">
        <v>53</v>
      </c>
      <c r="K277">
        <v>4</v>
      </c>
      <c r="L277">
        <v>19232</v>
      </c>
      <c r="M277">
        <v>10</v>
      </c>
      <c r="N277">
        <v>7692.8</v>
      </c>
      <c r="O277">
        <v>12462.34</v>
      </c>
      <c r="P277">
        <v>295</v>
      </c>
      <c r="Q277">
        <v>81992.539999999994</v>
      </c>
      <c r="R277" t="s">
        <v>54</v>
      </c>
      <c r="S277" t="s">
        <v>63</v>
      </c>
      <c r="T277" t="s">
        <v>35</v>
      </c>
      <c r="U277" t="s">
        <v>36</v>
      </c>
      <c r="V277" t="s">
        <v>37</v>
      </c>
      <c r="W277">
        <v>6</v>
      </c>
      <c r="X277" t="s">
        <v>38</v>
      </c>
      <c r="Y277">
        <v>5</v>
      </c>
      <c r="Z277" t="s">
        <v>58</v>
      </c>
    </row>
    <row r="278" spans="1:26" x14ac:dyDescent="0.3">
      <c r="A278" t="s">
        <v>602</v>
      </c>
      <c r="B278" s="2">
        <v>45978</v>
      </c>
      <c r="C278" t="s">
        <v>603</v>
      </c>
      <c r="D278" t="s">
        <v>50</v>
      </c>
      <c r="E278" t="s">
        <v>29</v>
      </c>
      <c r="F278">
        <v>57</v>
      </c>
      <c r="G278" t="s">
        <v>74</v>
      </c>
      <c r="H278" t="s">
        <v>31</v>
      </c>
      <c r="I278" t="s">
        <v>74</v>
      </c>
      <c r="J278" t="s">
        <v>102</v>
      </c>
      <c r="K278">
        <v>3</v>
      </c>
      <c r="L278">
        <v>26220</v>
      </c>
      <c r="M278">
        <v>5</v>
      </c>
      <c r="N278">
        <v>3933</v>
      </c>
      <c r="O278">
        <v>13450.86</v>
      </c>
      <c r="P278">
        <v>337</v>
      </c>
      <c r="Q278">
        <v>88514.86</v>
      </c>
      <c r="R278" t="s">
        <v>83</v>
      </c>
      <c r="S278" t="s">
        <v>34</v>
      </c>
      <c r="T278" t="s">
        <v>46</v>
      </c>
      <c r="U278" t="s">
        <v>36</v>
      </c>
      <c r="V278" t="s">
        <v>37</v>
      </c>
      <c r="W278">
        <v>9</v>
      </c>
      <c r="X278" t="s">
        <v>47</v>
      </c>
      <c r="Y278">
        <v>5</v>
      </c>
      <c r="Z278" t="s">
        <v>47</v>
      </c>
    </row>
    <row r="279" spans="1:26" x14ac:dyDescent="0.3">
      <c r="A279" t="s">
        <v>604</v>
      </c>
      <c r="B279" s="2">
        <v>45872</v>
      </c>
      <c r="C279" t="s">
        <v>118</v>
      </c>
      <c r="D279" t="s">
        <v>73</v>
      </c>
      <c r="E279" t="s">
        <v>43</v>
      </c>
      <c r="F279">
        <v>60</v>
      </c>
      <c r="G279" t="s">
        <v>30</v>
      </c>
      <c r="H279" t="s">
        <v>31</v>
      </c>
      <c r="I279" t="s">
        <v>30</v>
      </c>
      <c r="J279" t="s">
        <v>150</v>
      </c>
      <c r="K279">
        <v>2</v>
      </c>
      <c r="L279">
        <v>8816</v>
      </c>
      <c r="M279">
        <v>20</v>
      </c>
      <c r="N279">
        <v>3526.4</v>
      </c>
      <c r="O279">
        <v>2539.0100000000002</v>
      </c>
      <c r="P279">
        <v>394</v>
      </c>
      <c r="Q279">
        <v>17038.61</v>
      </c>
      <c r="R279" t="s">
        <v>45</v>
      </c>
      <c r="S279" t="s">
        <v>34</v>
      </c>
      <c r="T279" t="s">
        <v>46</v>
      </c>
      <c r="U279" t="s">
        <v>36</v>
      </c>
      <c r="V279" t="s">
        <v>37</v>
      </c>
      <c r="W279">
        <v>5</v>
      </c>
      <c r="X279" t="s">
        <v>38</v>
      </c>
      <c r="Y279">
        <v>4</v>
      </c>
      <c r="Z279" t="s">
        <v>47</v>
      </c>
    </row>
    <row r="280" spans="1:26" x14ac:dyDescent="0.3">
      <c r="A280" t="s">
        <v>605</v>
      </c>
      <c r="B280" s="2">
        <v>45773</v>
      </c>
      <c r="C280" t="s">
        <v>606</v>
      </c>
      <c r="D280" t="s">
        <v>80</v>
      </c>
      <c r="E280" t="s">
        <v>43</v>
      </c>
      <c r="F280">
        <v>32</v>
      </c>
      <c r="G280" t="s">
        <v>139</v>
      </c>
      <c r="H280" t="s">
        <v>31</v>
      </c>
      <c r="I280" t="s">
        <v>139</v>
      </c>
      <c r="J280" t="s">
        <v>69</v>
      </c>
      <c r="K280">
        <v>1</v>
      </c>
      <c r="L280">
        <v>21091</v>
      </c>
      <c r="M280">
        <v>10</v>
      </c>
      <c r="N280">
        <v>2109.1</v>
      </c>
      <c r="O280">
        <v>3416.74</v>
      </c>
      <c r="P280">
        <v>177</v>
      </c>
      <c r="Q280">
        <v>22575.64</v>
      </c>
      <c r="R280" t="s">
        <v>54</v>
      </c>
      <c r="S280" t="s">
        <v>63</v>
      </c>
      <c r="T280" t="s">
        <v>95</v>
      </c>
      <c r="U280" t="s">
        <v>96</v>
      </c>
      <c r="V280" t="s">
        <v>57</v>
      </c>
      <c r="W280">
        <v>1</v>
      </c>
      <c r="X280" t="s">
        <v>47</v>
      </c>
      <c r="Y280">
        <v>1</v>
      </c>
      <c r="Z280" t="s">
        <v>39</v>
      </c>
    </row>
    <row r="281" spans="1:26" x14ac:dyDescent="0.3">
      <c r="A281" t="s">
        <v>607</v>
      </c>
      <c r="B281" s="2">
        <v>46032</v>
      </c>
      <c r="C281" t="s">
        <v>538</v>
      </c>
      <c r="D281" t="s">
        <v>50</v>
      </c>
      <c r="E281" t="s">
        <v>29</v>
      </c>
      <c r="F281">
        <v>19</v>
      </c>
      <c r="G281" t="s">
        <v>94</v>
      </c>
      <c r="H281" t="s">
        <v>31</v>
      </c>
      <c r="I281" t="s">
        <v>94</v>
      </c>
      <c r="J281" t="s">
        <v>69</v>
      </c>
      <c r="K281">
        <v>2</v>
      </c>
      <c r="L281">
        <v>46647</v>
      </c>
      <c r="M281">
        <v>0</v>
      </c>
      <c r="N281">
        <v>0</v>
      </c>
      <c r="O281">
        <v>16792.919999999998</v>
      </c>
      <c r="P281">
        <v>477</v>
      </c>
      <c r="Q281">
        <v>110563.92</v>
      </c>
      <c r="R281" t="s">
        <v>33</v>
      </c>
      <c r="S281" t="s">
        <v>34</v>
      </c>
      <c r="T281" t="s">
        <v>103</v>
      </c>
      <c r="U281" t="s">
        <v>103</v>
      </c>
      <c r="V281" t="s">
        <v>57</v>
      </c>
      <c r="W281">
        <v>6</v>
      </c>
      <c r="X281" t="s">
        <v>38</v>
      </c>
      <c r="Y281">
        <v>2</v>
      </c>
      <c r="Z281" t="s">
        <v>58</v>
      </c>
    </row>
    <row r="282" spans="1:26" x14ac:dyDescent="0.3">
      <c r="A282" t="s">
        <v>608</v>
      </c>
      <c r="B282" s="2">
        <v>46042</v>
      </c>
      <c r="C282" t="s">
        <v>609</v>
      </c>
      <c r="D282" t="s">
        <v>80</v>
      </c>
      <c r="E282" t="s">
        <v>43</v>
      </c>
      <c r="F282">
        <v>57</v>
      </c>
      <c r="G282" t="s">
        <v>30</v>
      </c>
      <c r="H282" t="s">
        <v>31</v>
      </c>
      <c r="I282" t="s">
        <v>30</v>
      </c>
      <c r="J282" t="s">
        <v>53</v>
      </c>
      <c r="K282">
        <v>1</v>
      </c>
      <c r="L282">
        <v>46084</v>
      </c>
      <c r="M282">
        <v>10</v>
      </c>
      <c r="N282">
        <v>4608.3999999999996</v>
      </c>
      <c r="O282">
        <v>7465.61</v>
      </c>
      <c r="P282">
        <v>166</v>
      </c>
      <c r="Q282">
        <v>49107.21</v>
      </c>
      <c r="R282" t="s">
        <v>33</v>
      </c>
      <c r="S282" t="s">
        <v>63</v>
      </c>
      <c r="T282" t="s">
        <v>95</v>
      </c>
      <c r="U282" t="s">
        <v>96</v>
      </c>
      <c r="V282" t="s">
        <v>57</v>
      </c>
      <c r="W282">
        <v>4</v>
      </c>
      <c r="X282" t="s">
        <v>47</v>
      </c>
      <c r="Y282">
        <v>3</v>
      </c>
      <c r="Z282" t="s">
        <v>58</v>
      </c>
    </row>
    <row r="283" spans="1:26" x14ac:dyDescent="0.3">
      <c r="A283" t="s">
        <v>610</v>
      </c>
      <c r="B283" s="2">
        <v>46115</v>
      </c>
      <c r="C283" t="s">
        <v>611</v>
      </c>
      <c r="D283" t="s">
        <v>111</v>
      </c>
      <c r="E283" t="s">
        <v>29</v>
      </c>
      <c r="F283">
        <v>27</v>
      </c>
      <c r="G283" t="s">
        <v>90</v>
      </c>
      <c r="H283" t="s">
        <v>31</v>
      </c>
      <c r="I283" t="s">
        <v>90</v>
      </c>
      <c r="J283" t="s">
        <v>53</v>
      </c>
      <c r="K283">
        <v>2</v>
      </c>
      <c r="L283">
        <v>13526</v>
      </c>
      <c r="M283">
        <v>0</v>
      </c>
      <c r="N283">
        <v>0</v>
      </c>
      <c r="O283">
        <v>4869.3599999999997</v>
      </c>
      <c r="P283">
        <v>286</v>
      </c>
      <c r="Q283">
        <v>32207.360000000001</v>
      </c>
      <c r="R283" t="s">
        <v>45</v>
      </c>
      <c r="S283" t="s">
        <v>63</v>
      </c>
      <c r="T283" t="s">
        <v>95</v>
      </c>
      <c r="U283" t="s">
        <v>96</v>
      </c>
      <c r="V283" t="s">
        <v>57</v>
      </c>
      <c r="W283">
        <v>8</v>
      </c>
      <c r="X283" t="s">
        <v>38</v>
      </c>
      <c r="Y283">
        <v>5</v>
      </c>
      <c r="Z283" t="s">
        <v>39</v>
      </c>
    </row>
    <row r="284" spans="1:26" x14ac:dyDescent="0.3">
      <c r="A284" t="s">
        <v>612</v>
      </c>
      <c r="B284" s="2">
        <v>45908</v>
      </c>
      <c r="C284" t="s">
        <v>203</v>
      </c>
      <c r="D284" t="s">
        <v>73</v>
      </c>
      <c r="E284" t="s">
        <v>29</v>
      </c>
      <c r="F284">
        <v>23</v>
      </c>
      <c r="G284" t="s">
        <v>94</v>
      </c>
      <c r="H284" t="s">
        <v>31</v>
      </c>
      <c r="I284" t="s">
        <v>94</v>
      </c>
      <c r="J284" t="s">
        <v>150</v>
      </c>
      <c r="K284">
        <v>2</v>
      </c>
      <c r="L284">
        <v>24594</v>
      </c>
      <c r="M284">
        <v>15</v>
      </c>
      <c r="N284">
        <v>7378.2</v>
      </c>
      <c r="O284">
        <v>7525.76</v>
      </c>
      <c r="P284">
        <v>423</v>
      </c>
      <c r="Q284">
        <v>49758.559999999998</v>
      </c>
      <c r="R284" t="s">
        <v>33</v>
      </c>
      <c r="S284" t="s">
        <v>34</v>
      </c>
      <c r="T284" t="s">
        <v>95</v>
      </c>
      <c r="U284" t="s">
        <v>96</v>
      </c>
      <c r="V284" t="s">
        <v>57</v>
      </c>
      <c r="W284">
        <v>5</v>
      </c>
      <c r="X284" t="s">
        <v>47</v>
      </c>
      <c r="Y284">
        <v>3</v>
      </c>
      <c r="Z284" t="s">
        <v>58</v>
      </c>
    </row>
    <row r="285" spans="1:26" x14ac:dyDescent="0.3">
      <c r="A285" t="s">
        <v>613</v>
      </c>
      <c r="B285" s="2">
        <v>46093</v>
      </c>
      <c r="C285" t="s">
        <v>614</v>
      </c>
      <c r="D285" t="s">
        <v>66</v>
      </c>
      <c r="E285" t="s">
        <v>43</v>
      </c>
      <c r="F285">
        <v>48</v>
      </c>
      <c r="G285" t="s">
        <v>74</v>
      </c>
      <c r="H285" t="s">
        <v>31</v>
      </c>
      <c r="I285" t="s">
        <v>74</v>
      </c>
      <c r="J285" t="s">
        <v>53</v>
      </c>
      <c r="K285">
        <v>1</v>
      </c>
      <c r="L285">
        <v>8792</v>
      </c>
      <c r="M285">
        <v>20</v>
      </c>
      <c r="N285">
        <v>1758.4</v>
      </c>
      <c r="O285">
        <v>1266.05</v>
      </c>
      <c r="P285">
        <v>83</v>
      </c>
      <c r="Q285">
        <v>8382.65</v>
      </c>
      <c r="R285" t="s">
        <v>33</v>
      </c>
      <c r="S285" t="s">
        <v>34</v>
      </c>
      <c r="T285" t="s">
        <v>46</v>
      </c>
      <c r="U285" t="s">
        <v>36</v>
      </c>
      <c r="V285" t="s">
        <v>37</v>
      </c>
      <c r="W285">
        <v>3</v>
      </c>
      <c r="X285" t="s">
        <v>47</v>
      </c>
      <c r="Y285">
        <v>2</v>
      </c>
      <c r="Z285" t="s">
        <v>58</v>
      </c>
    </row>
    <row r="286" spans="1:26" x14ac:dyDescent="0.3">
      <c r="A286" t="s">
        <v>615</v>
      </c>
      <c r="B286" s="2">
        <v>45830</v>
      </c>
      <c r="C286" t="s">
        <v>342</v>
      </c>
      <c r="D286" t="s">
        <v>80</v>
      </c>
      <c r="E286" t="s">
        <v>29</v>
      </c>
      <c r="F286">
        <v>44</v>
      </c>
      <c r="G286" t="s">
        <v>94</v>
      </c>
      <c r="H286" t="s">
        <v>31</v>
      </c>
      <c r="I286" t="s">
        <v>94</v>
      </c>
      <c r="J286" t="s">
        <v>75</v>
      </c>
      <c r="K286">
        <v>2</v>
      </c>
      <c r="L286">
        <v>39070</v>
      </c>
      <c r="M286">
        <v>0</v>
      </c>
      <c r="N286">
        <v>0</v>
      </c>
      <c r="O286">
        <v>14065.2</v>
      </c>
      <c r="P286">
        <v>255</v>
      </c>
      <c r="Q286">
        <v>92460.2</v>
      </c>
      <c r="R286" t="s">
        <v>33</v>
      </c>
      <c r="S286" t="s">
        <v>63</v>
      </c>
      <c r="T286" t="s">
        <v>35</v>
      </c>
      <c r="U286" t="s">
        <v>36</v>
      </c>
      <c r="V286" t="s">
        <v>37</v>
      </c>
      <c r="W286">
        <v>9</v>
      </c>
      <c r="X286" t="s">
        <v>47</v>
      </c>
      <c r="Y286">
        <v>5</v>
      </c>
      <c r="Z286" t="s">
        <v>58</v>
      </c>
    </row>
    <row r="287" spans="1:26" x14ac:dyDescent="0.3">
      <c r="A287" t="s">
        <v>616</v>
      </c>
      <c r="B287" s="2">
        <v>46091</v>
      </c>
      <c r="C287" t="s">
        <v>617</v>
      </c>
      <c r="D287" t="s">
        <v>42</v>
      </c>
      <c r="E287" t="s">
        <v>43</v>
      </c>
      <c r="F287">
        <v>29</v>
      </c>
      <c r="G287" t="s">
        <v>74</v>
      </c>
      <c r="H287" t="s">
        <v>31</v>
      </c>
      <c r="I287" t="s">
        <v>74</v>
      </c>
      <c r="J287" t="s">
        <v>32</v>
      </c>
      <c r="K287">
        <v>2</v>
      </c>
      <c r="L287">
        <v>4186</v>
      </c>
      <c r="M287">
        <v>15</v>
      </c>
      <c r="N287">
        <v>1255.8</v>
      </c>
      <c r="O287">
        <v>1280.92</v>
      </c>
      <c r="P287">
        <v>320</v>
      </c>
      <c r="Q287">
        <v>8717.1200000000008</v>
      </c>
      <c r="R287" t="s">
        <v>83</v>
      </c>
      <c r="S287" t="s">
        <v>63</v>
      </c>
      <c r="T287" t="s">
        <v>103</v>
      </c>
      <c r="U287" t="s">
        <v>103</v>
      </c>
      <c r="V287" t="s">
        <v>57</v>
      </c>
      <c r="W287">
        <v>2</v>
      </c>
      <c r="X287" t="s">
        <v>47</v>
      </c>
      <c r="Y287">
        <v>4</v>
      </c>
      <c r="Z287" t="s">
        <v>39</v>
      </c>
    </row>
    <row r="288" spans="1:26" x14ac:dyDescent="0.3">
      <c r="A288" t="s">
        <v>618</v>
      </c>
      <c r="B288" s="2">
        <v>45852</v>
      </c>
      <c r="C288" t="s">
        <v>619</v>
      </c>
      <c r="D288" t="s">
        <v>80</v>
      </c>
      <c r="E288" t="s">
        <v>43</v>
      </c>
      <c r="F288">
        <v>39</v>
      </c>
      <c r="G288" t="s">
        <v>134</v>
      </c>
      <c r="H288" t="s">
        <v>31</v>
      </c>
      <c r="I288" t="s">
        <v>134</v>
      </c>
      <c r="J288" t="s">
        <v>125</v>
      </c>
      <c r="K288">
        <v>3</v>
      </c>
      <c r="L288">
        <v>27724</v>
      </c>
      <c r="M288">
        <v>0</v>
      </c>
      <c r="N288">
        <v>0</v>
      </c>
      <c r="O288">
        <v>14970.96</v>
      </c>
      <c r="P288">
        <v>412</v>
      </c>
      <c r="Q288">
        <v>98554.96</v>
      </c>
      <c r="R288" t="s">
        <v>45</v>
      </c>
      <c r="S288" t="s">
        <v>63</v>
      </c>
      <c r="T288" t="s">
        <v>103</v>
      </c>
      <c r="U288" t="s">
        <v>103</v>
      </c>
      <c r="V288" t="s">
        <v>57</v>
      </c>
      <c r="W288">
        <v>7</v>
      </c>
      <c r="X288" t="s">
        <v>38</v>
      </c>
      <c r="Y288">
        <v>4</v>
      </c>
      <c r="Z288" t="s">
        <v>58</v>
      </c>
    </row>
    <row r="289" spans="1:26" x14ac:dyDescent="0.3">
      <c r="A289" t="s">
        <v>620</v>
      </c>
      <c r="B289" s="2">
        <v>45816</v>
      </c>
      <c r="C289" t="s">
        <v>621</v>
      </c>
      <c r="D289" t="s">
        <v>50</v>
      </c>
      <c r="E289" t="s">
        <v>43</v>
      </c>
      <c r="F289">
        <v>22</v>
      </c>
      <c r="G289" t="s">
        <v>51</v>
      </c>
      <c r="H289" t="s">
        <v>52</v>
      </c>
      <c r="I289" t="s">
        <v>51</v>
      </c>
      <c r="J289" t="s">
        <v>62</v>
      </c>
      <c r="K289">
        <v>2</v>
      </c>
      <c r="L289">
        <v>25863</v>
      </c>
      <c r="M289">
        <v>15</v>
      </c>
      <c r="N289">
        <v>7758.9</v>
      </c>
      <c r="O289">
        <v>7914.08</v>
      </c>
      <c r="P289">
        <v>282</v>
      </c>
      <c r="Q289">
        <v>52163.18</v>
      </c>
      <c r="R289" t="s">
        <v>45</v>
      </c>
      <c r="S289" t="s">
        <v>34</v>
      </c>
      <c r="T289" t="s">
        <v>70</v>
      </c>
      <c r="U289" t="s">
        <v>56</v>
      </c>
      <c r="V289" t="s">
        <v>57</v>
      </c>
      <c r="W289">
        <v>7</v>
      </c>
      <c r="X289" t="s">
        <v>38</v>
      </c>
      <c r="Y289">
        <v>4</v>
      </c>
      <c r="Z289" t="s">
        <v>47</v>
      </c>
    </row>
    <row r="290" spans="1:26" x14ac:dyDescent="0.3">
      <c r="A290" t="s">
        <v>622</v>
      </c>
      <c r="B290" s="2">
        <v>46103</v>
      </c>
      <c r="C290" t="s">
        <v>623</v>
      </c>
      <c r="D290" t="s">
        <v>50</v>
      </c>
      <c r="E290" t="s">
        <v>43</v>
      </c>
      <c r="F290">
        <v>45</v>
      </c>
      <c r="G290" t="s">
        <v>74</v>
      </c>
      <c r="H290" t="s">
        <v>31</v>
      </c>
      <c r="I290" t="s">
        <v>74</v>
      </c>
      <c r="J290" t="s">
        <v>75</v>
      </c>
      <c r="K290">
        <v>3</v>
      </c>
      <c r="L290">
        <v>5942</v>
      </c>
      <c r="M290">
        <v>5</v>
      </c>
      <c r="N290">
        <v>891.3</v>
      </c>
      <c r="O290">
        <v>3048.25</v>
      </c>
      <c r="P290">
        <v>248</v>
      </c>
      <c r="Q290">
        <v>20230.95</v>
      </c>
      <c r="R290" t="s">
        <v>83</v>
      </c>
      <c r="S290" t="s">
        <v>34</v>
      </c>
      <c r="T290" t="s">
        <v>70</v>
      </c>
      <c r="U290" t="s">
        <v>56</v>
      </c>
      <c r="V290" t="s">
        <v>57</v>
      </c>
      <c r="W290">
        <v>8</v>
      </c>
      <c r="X290" t="s">
        <v>47</v>
      </c>
      <c r="Y290">
        <v>2</v>
      </c>
      <c r="Z290" t="s">
        <v>58</v>
      </c>
    </row>
    <row r="291" spans="1:26" x14ac:dyDescent="0.3">
      <c r="A291" t="s">
        <v>624</v>
      </c>
      <c r="B291" s="2">
        <v>45787</v>
      </c>
      <c r="C291" t="s">
        <v>625</v>
      </c>
      <c r="D291" t="s">
        <v>108</v>
      </c>
      <c r="E291" t="s">
        <v>43</v>
      </c>
      <c r="F291">
        <v>54</v>
      </c>
      <c r="G291" t="s">
        <v>44</v>
      </c>
      <c r="H291" t="s">
        <v>31</v>
      </c>
      <c r="I291" t="s">
        <v>44</v>
      </c>
      <c r="J291" t="s">
        <v>53</v>
      </c>
      <c r="K291">
        <v>2</v>
      </c>
      <c r="L291">
        <v>5637</v>
      </c>
      <c r="M291">
        <v>20</v>
      </c>
      <c r="N291">
        <v>2254.8000000000002</v>
      </c>
      <c r="O291">
        <v>1623.46</v>
      </c>
      <c r="P291">
        <v>105</v>
      </c>
      <c r="Q291">
        <v>10747.66</v>
      </c>
      <c r="R291" t="s">
        <v>45</v>
      </c>
      <c r="S291" t="s">
        <v>34</v>
      </c>
      <c r="T291" t="s">
        <v>103</v>
      </c>
      <c r="U291" t="s">
        <v>103</v>
      </c>
      <c r="V291" t="s">
        <v>57</v>
      </c>
      <c r="W291">
        <v>7</v>
      </c>
      <c r="X291" t="s">
        <v>38</v>
      </c>
      <c r="Y291">
        <v>5</v>
      </c>
      <c r="Z291" t="s">
        <v>91</v>
      </c>
    </row>
    <row r="292" spans="1:26" x14ac:dyDescent="0.3">
      <c r="A292" t="s">
        <v>626</v>
      </c>
      <c r="B292" s="2">
        <v>45759</v>
      </c>
      <c r="C292" t="s">
        <v>627</v>
      </c>
      <c r="D292" t="s">
        <v>42</v>
      </c>
      <c r="E292" t="s">
        <v>43</v>
      </c>
      <c r="F292">
        <v>48</v>
      </c>
      <c r="G292" t="s">
        <v>90</v>
      </c>
      <c r="H292" t="s">
        <v>31</v>
      </c>
      <c r="I292" t="s">
        <v>90</v>
      </c>
      <c r="J292" t="s">
        <v>125</v>
      </c>
      <c r="K292">
        <v>3</v>
      </c>
      <c r="L292">
        <v>11265</v>
      </c>
      <c r="M292">
        <v>15</v>
      </c>
      <c r="N292">
        <v>5069.25</v>
      </c>
      <c r="O292">
        <v>5170.6400000000003</v>
      </c>
      <c r="P292">
        <v>234</v>
      </c>
      <c r="Q292">
        <v>34130.39</v>
      </c>
      <c r="R292" t="s">
        <v>54</v>
      </c>
      <c r="S292" t="s">
        <v>63</v>
      </c>
      <c r="T292" t="s">
        <v>46</v>
      </c>
      <c r="U292" t="s">
        <v>36</v>
      </c>
      <c r="V292" t="s">
        <v>37</v>
      </c>
      <c r="W292">
        <v>6</v>
      </c>
      <c r="X292" t="s">
        <v>38</v>
      </c>
      <c r="Y292">
        <v>1</v>
      </c>
      <c r="Z292" t="s">
        <v>91</v>
      </c>
    </row>
    <row r="293" spans="1:26" x14ac:dyDescent="0.3">
      <c r="A293" t="s">
        <v>628</v>
      </c>
      <c r="B293" s="2">
        <v>45849</v>
      </c>
      <c r="C293" t="s">
        <v>629</v>
      </c>
      <c r="D293" t="s">
        <v>61</v>
      </c>
      <c r="E293" t="s">
        <v>43</v>
      </c>
      <c r="F293">
        <v>31</v>
      </c>
      <c r="G293" t="s">
        <v>44</v>
      </c>
      <c r="H293" t="s">
        <v>31</v>
      </c>
      <c r="I293" t="s">
        <v>44</v>
      </c>
      <c r="J293" t="s">
        <v>102</v>
      </c>
      <c r="K293">
        <v>3</v>
      </c>
      <c r="L293">
        <v>1419</v>
      </c>
      <c r="M293">
        <v>10</v>
      </c>
      <c r="N293">
        <v>425.7</v>
      </c>
      <c r="O293">
        <v>689.63</v>
      </c>
      <c r="P293">
        <v>407</v>
      </c>
      <c r="Q293">
        <v>4927.93</v>
      </c>
      <c r="R293" t="s">
        <v>54</v>
      </c>
      <c r="S293" t="s">
        <v>63</v>
      </c>
      <c r="T293" t="s">
        <v>76</v>
      </c>
      <c r="U293" t="s">
        <v>77</v>
      </c>
      <c r="V293" t="s">
        <v>57</v>
      </c>
      <c r="W293">
        <v>8</v>
      </c>
      <c r="X293" t="s">
        <v>38</v>
      </c>
      <c r="Y293">
        <v>5</v>
      </c>
      <c r="Z293" t="s">
        <v>58</v>
      </c>
    </row>
    <row r="294" spans="1:26" x14ac:dyDescent="0.3">
      <c r="A294" t="s">
        <v>630</v>
      </c>
      <c r="B294" s="2">
        <v>46036</v>
      </c>
      <c r="C294" t="s">
        <v>631</v>
      </c>
      <c r="D294" t="s">
        <v>50</v>
      </c>
      <c r="E294" t="s">
        <v>43</v>
      </c>
      <c r="F294">
        <v>48</v>
      </c>
      <c r="G294" t="s">
        <v>51</v>
      </c>
      <c r="H294" t="s">
        <v>52</v>
      </c>
      <c r="I294" t="s">
        <v>51</v>
      </c>
      <c r="J294" t="s">
        <v>32</v>
      </c>
      <c r="K294">
        <v>4</v>
      </c>
      <c r="L294">
        <v>14676</v>
      </c>
      <c r="M294">
        <v>5</v>
      </c>
      <c r="N294">
        <v>2935.2</v>
      </c>
      <c r="O294">
        <v>10038.379999999999</v>
      </c>
      <c r="P294">
        <v>318</v>
      </c>
      <c r="Q294">
        <v>66125.179999999993</v>
      </c>
      <c r="R294" t="s">
        <v>54</v>
      </c>
      <c r="S294" t="s">
        <v>63</v>
      </c>
      <c r="T294" t="s">
        <v>95</v>
      </c>
      <c r="U294" t="s">
        <v>96</v>
      </c>
      <c r="V294" t="s">
        <v>57</v>
      </c>
      <c r="W294">
        <v>10</v>
      </c>
      <c r="X294" t="s">
        <v>38</v>
      </c>
      <c r="Y294">
        <v>4</v>
      </c>
      <c r="Z294" t="s">
        <v>39</v>
      </c>
    </row>
    <row r="295" spans="1:26" x14ac:dyDescent="0.3">
      <c r="A295" t="s">
        <v>632</v>
      </c>
      <c r="B295" s="2">
        <v>46007</v>
      </c>
      <c r="C295" t="s">
        <v>633</v>
      </c>
      <c r="D295" t="s">
        <v>50</v>
      </c>
      <c r="E295" t="s">
        <v>29</v>
      </c>
      <c r="F295">
        <v>48</v>
      </c>
      <c r="G295" t="s">
        <v>51</v>
      </c>
      <c r="H295" t="s">
        <v>52</v>
      </c>
      <c r="I295" t="s">
        <v>51</v>
      </c>
      <c r="J295" t="s">
        <v>201</v>
      </c>
      <c r="K295">
        <v>1</v>
      </c>
      <c r="L295">
        <v>31678</v>
      </c>
      <c r="M295">
        <v>10</v>
      </c>
      <c r="N295">
        <v>3167.8</v>
      </c>
      <c r="O295">
        <v>5131.84</v>
      </c>
      <c r="P295">
        <v>175</v>
      </c>
      <c r="Q295">
        <v>33817.040000000001</v>
      </c>
      <c r="R295" t="s">
        <v>54</v>
      </c>
      <c r="S295" t="s">
        <v>34</v>
      </c>
      <c r="T295" t="s">
        <v>70</v>
      </c>
      <c r="U295" t="s">
        <v>56</v>
      </c>
      <c r="V295" t="s">
        <v>57</v>
      </c>
      <c r="W295">
        <v>2</v>
      </c>
      <c r="X295" t="s">
        <v>47</v>
      </c>
      <c r="Y295">
        <v>5</v>
      </c>
      <c r="Z295" t="s">
        <v>91</v>
      </c>
    </row>
    <row r="296" spans="1:26" x14ac:dyDescent="0.3">
      <c r="A296" t="s">
        <v>634</v>
      </c>
      <c r="B296" s="2">
        <v>46022</v>
      </c>
      <c r="C296" t="s">
        <v>635</v>
      </c>
      <c r="D296" t="s">
        <v>89</v>
      </c>
      <c r="E296" t="s">
        <v>43</v>
      </c>
      <c r="F296">
        <v>32</v>
      </c>
      <c r="G296" t="s">
        <v>51</v>
      </c>
      <c r="H296" t="s">
        <v>52</v>
      </c>
      <c r="I296" t="s">
        <v>51</v>
      </c>
      <c r="J296" t="s">
        <v>150</v>
      </c>
      <c r="K296">
        <v>4</v>
      </c>
      <c r="L296">
        <v>11363</v>
      </c>
      <c r="M296">
        <v>10</v>
      </c>
      <c r="N296">
        <v>4545.2</v>
      </c>
      <c r="O296">
        <v>7363.22</v>
      </c>
      <c r="P296">
        <v>249</v>
      </c>
      <c r="Q296">
        <v>48519.02</v>
      </c>
      <c r="R296" t="s">
        <v>33</v>
      </c>
      <c r="S296" t="s">
        <v>63</v>
      </c>
      <c r="T296" t="s">
        <v>95</v>
      </c>
      <c r="U296" t="s">
        <v>96</v>
      </c>
      <c r="V296" t="s">
        <v>57</v>
      </c>
      <c r="W296">
        <v>9</v>
      </c>
      <c r="X296" t="s">
        <v>38</v>
      </c>
      <c r="Y296">
        <v>2</v>
      </c>
      <c r="Z296" t="s">
        <v>47</v>
      </c>
    </row>
    <row r="297" spans="1:26" x14ac:dyDescent="0.3">
      <c r="A297" t="s">
        <v>636</v>
      </c>
      <c r="B297" s="2">
        <v>45899</v>
      </c>
      <c r="C297" t="s">
        <v>637</v>
      </c>
      <c r="D297" t="s">
        <v>66</v>
      </c>
      <c r="E297" t="s">
        <v>43</v>
      </c>
      <c r="F297">
        <v>40</v>
      </c>
      <c r="G297" t="s">
        <v>51</v>
      </c>
      <c r="H297" t="s">
        <v>52</v>
      </c>
      <c r="I297" t="s">
        <v>51</v>
      </c>
      <c r="J297" t="s">
        <v>150</v>
      </c>
      <c r="K297">
        <v>5</v>
      </c>
      <c r="L297">
        <v>27019</v>
      </c>
      <c r="M297">
        <v>0</v>
      </c>
      <c r="N297">
        <v>0</v>
      </c>
      <c r="O297">
        <v>24317.1</v>
      </c>
      <c r="P297">
        <v>462</v>
      </c>
      <c r="Q297">
        <v>159874.1</v>
      </c>
      <c r="R297" t="s">
        <v>45</v>
      </c>
      <c r="S297" t="s">
        <v>34</v>
      </c>
      <c r="T297" t="s">
        <v>103</v>
      </c>
      <c r="U297" t="s">
        <v>103</v>
      </c>
      <c r="V297" t="s">
        <v>57</v>
      </c>
      <c r="W297">
        <v>6</v>
      </c>
      <c r="X297" t="s">
        <v>47</v>
      </c>
      <c r="Y297">
        <v>4</v>
      </c>
      <c r="Z297" t="s">
        <v>47</v>
      </c>
    </row>
    <row r="298" spans="1:26" x14ac:dyDescent="0.3">
      <c r="A298" t="s">
        <v>638</v>
      </c>
      <c r="B298" s="2">
        <v>46024</v>
      </c>
      <c r="C298" t="s">
        <v>247</v>
      </c>
      <c r="D298" t="s">
        <v>66</v>
      </c>
      <c r="E298" t="s">
        <v>43</v>
      </c>
      <c r="F298">
        <v>22</v>
      </c>
      <c r="G298" t="s">
        <v>44</v>
      </c>
      <c r="H298" t="s">
        <v>31</v>
      </c>
      <c r="I298" t="s">
        <v>44</v>
      </c>
      <c r="J298" t="s">
        <v>62</v>
      </c>
      <c r="K298">
        <v>3</v>
      </c>
      <c r="L298">
        <v>20219</v>
      </c>
      <c r="M298">
        <v>15</v>
      </c>
      <c r="N298">
        <v>9098.5499999999993</v>
      </c>
      <c r="O298">
        <v>9280.52</v>
      </c>
      <c r="P298">
        <v>212</v>
      </c>
      <c r="Q298">
        <v>61050.97</v>
      </c>
      <c r="R298" t="s">
        <v>83</v>
      </c>
      <c r="S298" t="s">
        <v>63</v>
      </c>
      <c r="T298" t="s">
        <v>84</v>
      </c>
      <c r="U298" t="s">
        <v>85</v>
      </c>
      <c r="V298" t="s">
        <v>86</v>
      </c>
      <c r="W298">
        <v>6</v>
      </c>
      <c r="X298" t="s">
        <v>38</v>
      </c>
      <c r="Y298">
        <v>4</v>
      </c>
      <c r="Z298" t="s">
        <v>91</v>
      </c>
    </row>
    <row r="299" spans="1:26" x14ac:dyDescent="0.3">
      <c r="A299" t="s">
        <v>639</v>
      </c>
      <c r="B299" s="2">
        <v>45771</v>
      </c>
      <c r="C299" t="s">
        <v>640</v>
      </c>
      <c r="D299" t="s">
        <v>108</v>
      </c>
      <c r="E299" t="s">
        <v>43</v>
      </c>
      <c r="F299">
        <v>49</v>
      </c>
      <c r="G299" t="s">
        <v>139</v>
      </c>
      <c r="H299" t="s">
        <v>31</v>
      </c>
      <c r="I299" t="s">
        <v>139</v>
      </c>
      <c r="J299" t="s">
        <v>75</v>
      </c>
      <c r="K299">
        <v>4</v>
      </c>
      <c r="L299">
        <v>17648</v>
      </c>
      <c r="M299">
        <v>20</v>
      </c>
      <c r="N299">
        <v>14118.4</v>
      </c>
      <c r="O299">
        <v>10165.25</v>
      </c>
      <c r="P299">
        <v>6</v>
      </c>
      <c r="Q299">
        <v>66644.850000000006</v>
      </c>
      <c r="R299" t="s">
        <v>54</v>
      </c>
      <c r="S299" t="s">
        <v>63</v>
      </c>
      <c r="T299" t="s">
        <v>76</v>
      </c>
      <c r="U299" t="s">
        <v>77</v>
      </c>
      <c r="V299" t="s">
        <v>57</v>
      </c>
      <c r="W299">
        <v>3</v>
      </c>
      <c r="X299" t="s">
        <v>47</v>
      </c>
      <c r="Y299">
        <v>3</v>
      </c>
      <c r="Z299" t="s">
        <v>91</v>
      </c>
    </row>
    <row r="300" spans="1:26" x14ac:dyDescent="0.3">
      <c r="A300" t="s">
        <v>641</v>
      </c>
      <c r="B300" s="2">
        <v>46026</v>
      </c>
      <c r="C300" t="s">
        <v>421</v>
      </c>
      <c r="D300" t="s">
        <v>80</v>
      </c>
      <c r="E300" t="s">
        <v>29</v>
      </c>
      <c r="F300">
        <v>54</v>
      </c>
      <c r="G300" t="s">
        <v>134</v>
      </c>
      <c r="H300" t="s">
        <v>31</v>
      </c>
      <c r="I300" t="s">
        <v>134</v>
      </c>
      <c r="J300" t="s">
        <v>125</v>
      </c>
      <c r="K300">
        <v>5</v>
      </c>
      <c r="L300">
        <v>2574</v>
      </c>
      <c r="M300">
        <v>10</v>
      </c>
      <c r="N300">
        <v>1287</v>
      </c>
      <c r="O300">
        <v>2084.94</v>
      </c>
      <c r="P300">
        <v>263</v>
      </c>
      <c r="Q300">
        <v>13930.94</v>
      </c>
      <c r="R300" t="s">
        <v>83</v>
      </c>
      <c r="S300" t="s">
        <v>63</v>
      </c>
      <c r="T300" t="s">
        <v>76</v>
      </c>
      <c r="U300" t="s">
        <v>77</v>
      </c>
      <c r="V300" t="s">
        <v>57</v>
      </c>
      <c r="W300">
        <v>9</v>
      </c>
      <c r="X300" t="s">
        <v>38</v>
      </c>
      <c r="Y300">
        <v>5</v>
      </c>
      <c r="Z300" t="s">
        <v>91</v>
      </c>
    </row>
    <row r="301" spans="1:26" x14ac:dyDescent="0.3">
      <c r="A301" t="s">
        <v>642</v>
      </c>
      <c r="B301" s="2">
        <v>45824</v>
      </c>
      <c r="C301" t="s">
        <v>643</v>
      </c>
      <c r="D301" t="s">
        <v>111</v>
      </c>
      <c r="E301" t="s">
        <v>43</v>
      </c>
      <c r="F301">
        <v>51</v>
      </c>
      <c r="G301" t="s">
        <v>99</v>
      </c>
      <c r="H301" t="s">
        <v>52</v>
      </c>
      <c r="I301" t="s">
        <v>99</v>
      </c>
      <c r="J301" t="s">
        <v>150</v>
      </c>
      <c r="K301">
        <v>1</v>
      </c>
      <c r="L301">
        <v>41491</v>
      </c>
      <c r="M301">
        <v>5</v>
      </c>
      <c r="N301">
        <v>2074.5500000000002</v>
      </c>
      <c r="O301">
        <v>7094.96</v>
      </c>
      <c r="P301">
        <v>267</v>
      </c>
      <c r="Q301">
        <v>46778.41</v>
      </c>
      <c r="R301" t="s">
        <v>83</v>
      </c>
      <c r="S301" t="s">
        <v>34</v>
      </c>
      <c r="T301" t="s">
        <v>84</v>
      </c>
      <c r="U301" t="s">
        <v>85</v>
      </c>
      <c r="V301" t="s">
        <v>86</v>
      </c>
      <c r="W301">
        <v>9</v>
      </c>
      <c r="X301" t="s">
        <v>47</v>
      </c>
      <c r="Y301">
        <v>1</v>
      </c>
      <c r="Z301" t="s">
        <v>91</v>
      </c>
    </row>
    <row r="302" spans="1:26" x14ac:dyDescent="0.3">
      <c r="A302" t="s">
        <v>644</v>
      </c>
      <c r="B302" s="2">
        <v>46049</v>
      </c>
      <c r="C302" t="s">
        <v>645</v>
      </c>
      <c r="D302" t="s">
        <v>66</v>
      </c>
      <c r="E302" t="s">
        <v>29</v>
      </c>
      <c r="F302">
        <v>50</v>
      </c>
      <c r="G302" t="s">
        <v>44</v>
      </c>
      <c r="H302" t="s">
        <v>31</v>
      </c>
      <c r="I302" t="s">
        <v>44</v>
      </c>
      <c r="J302" t="s">
        <v>32</v>
      </c>
      <c r="K302">
        <v>1</v>
      </c>
      <c r="L302">
        <v>34811</v>
      </c>
      <c r="M302">
        <v>0</v>
      </c>
      <c r="N302">
        <v>0</v>
      </c>
      <c r="O302">
        <v>6265.98</v>
      </c>
      <c r="P302">
        <v>256</v>
      </c>
      <c r="Q302">
        <v>41332.980000000003</v>
      </c>
      <c r="R302" t="s">
        <v>45</v>
      </c>
      <c r="S302" t="s">
        <v>34</v>
      </c>
      <c r="T302" t="s">
        <v>70</v>
      </c>
      <c r="U302" t="s">
        <v>56</v>
      </c>
      <c r="V302" t="s">
        <v>57</v>
      </c>
      <c r="W302">
        <v>2</v>
      </c>
      <c r="X302" t="s">
        <v>47</v>
      </c>
      <c r="Y302">
        <v>2</v>
      </c>
      <c r="Z302" t="s">
        <v>47</v>
      </c>
    </row>
    <row r="303" spans="1:26" x14ac:dyDescent="0.3">
      <c r="A303" t="s">
        <v>646</v>
      </c>
      <c r="B303" s="2">
        <v>46104</v>
      </c>
      <c r="C303" t="s">
        <v>647</v>
      </c>
      <c r="D303" t="s">
        <v>50</v>
      </c>
      <c r="E303" t="s">
        <v>43</v>
      </c>
      <c r="F303">
        <v>46</v>
      </c>
      <c r="G303" t="s">
        <v>30</v>
      </c>
      <c r="H303" t="s">
        <v>31</v>
      </c>
      <c r="I303" t="s">
        <v>30</v>
      </c>
      <c r="J303" t="s">
        <v>102</v>
      </c>
      <c r="K303">
        <v>2</v>
      </c>
      <c r="L303">
        <v>42244</v>
      </c>
      <c r="M303">
        <v>10</v>
      </c>
      <c r="N303">
        <v>8448.7999999999993</v>
      </c>
      <c r="O303">
        <v>13687.06</v>
      </c>
      <c r="P303">
        <v>25</v>
      </c>
      <c r="Q303">
        <v>89751.26</v>
      </c>
      <c r="R303" t="s">
        <v>54</v>
      </c>
      <c r="S303" t="s">
        <v>34</v>
      </c>
      <c r="T303" t="s">
        <v>103</v>
      </c>
      <c r="U303" t="s">
        <v>103</v>
      </c>
      <c r="V303" t="s">
        <v>57</v>
      </c>
      <c r="W303">
        <v>8</v>
      </c>
      <c r="X303" t="s">
        <v>47</v>
      </c>
      <c r="Y303">
        <v>1</v>
      </c>
      <c r="Z303" t="s">
        <v>47</v>
      </c>
    </row>
    <row r="304" spans="1:26" x14ac:dyDescent="0.3">
      <c r="A304" t="s">
        <v>648</v>
      </c>
      <c r="B304" s="2">
        <v>45872</v>
      </c>
      <c r="C304" t="s">
        <v>410</v>
      </c>
      <c r="D304" t="s">
        <v>108</v>
      </c>
      <c r="E304" t="s">
        <v>43</v>
      </c>
      <c r="F304">
        <v>34</v>
      </c>
      <c r="G304" t="s">
        <v>74</v>
      </c>
      <c r="H304" t="s">
        <v>31</v>
      </c>
      <c r="I304" t="s">
        <v>74</v>
      </c>
      <c r="J304" t="s">
        <v>102</v>
      </c>
      <c r="K304">
        <v>3</v>
      </c>
      <c r="L304">
        <v>27252</v>
      </c>
      <c r="M304">
        <v>20</v>
      </c>
      <c r="N304">
        <v>16351.2</v>
      </c>
      <c r="O304">
        <v>11772.86</v>
      </c>
      <c r="P304">
        <v>470</v>
      </c>
      <c r="Q304">
        <v>77647.66</v>
      </c>
      <c r="R304" t="s">
        <v>45</v>
      </c>
      <c r="S304" t="s">
        <v>34</v>
      </c>
      <c r="T304" t="s">
        <v>35</v>
      </c>
      <c r="U304" t="s">
        <v>36</v>
      </c>
      <c r="V304" t="s">
        <v>37</v>
      </c>
      <c r="W304">
        <v>4</v>
      </c>
      <c r="X304" t="s">
        <v>47</v>
      </c>
      <c r="Y304">
        <v>4</v>
      </c>
      <c r="Z304" t="s">
        <v>58</v>
      </c>
    </row>
    <row r="305" spans="1:26" x14ac:dyDescent="0.3">
      <c r="A305" t="s">
        <v>649</v>
      </c>
      <c r="B305" s="2">
        <v>45874</v>
      </c>
      <c r="C305" t="s">
        <v>650</v>
      </c>
      <c r="D305" t="s">
        <v>66</v>
      </c>
      <c r="E305" t="s">
        <v>43</v>
      </c>
      <c r="F305">
        <v>42</v>
      </c>
      <c r="G305" t="s">
        <v>94</v>
      </c>
      <c r="H305" t="s">
        <v>31</v>
      </c>
      <c r="I305" t="s">
        <v>94</v>
      </c>
      <c r="J305" t="s">
        <v>102</v>
      </c>
      <c r="K305">
        <v>5</v>
      </c>
      <c r="L305">
        <v>33762</v>
      </c>
      <c r="M305">
        <v>0</v>
      </c>
      <c r="N305">
        <v>0</v>
      </c>
      <c r="O305">
        <v>30385.8</v>
      </c>
      <c r="P305">
        <v>363</v>
      </c>
      <c r="Q305">
        <v>199558.8</v>
      </c>
      <c r="R305" t="s">
        <v>33</v>
      </c>
      <c r="S305" t="s">
        <v>63</v>
      </c>
      <c r="T305" t="s">
        <v>35</v>
      </c>
      <c r="U305" t="s">
        <v>36</v>
      </c>
      <c r="V305" t="s">
        <v>37</v>
      </c>
      <c r="W305">
        <v>9</v>
      </c>
      <c r="X305" t="s">
        <v>38</v>
      </c>
      <c r="Y305">
        <v>1</v>
      </c>
      <c r="Z305" t="s">
        <v>58</v>
      </c>
    </row>
    <row r="306" spans="1:26" x14ac:dyDescent="0.3">
      <c r="A306" t="s">
        <v>651</v>
      </c>
      <c r="B306" s="2">
        <v>45811</v>
      </c>
      <c r="C306" t="s">
        <v>652</v>
      </c>
      <c r="D306" t="s">
        <v>108</v>
      </c>
      <c r="E306" t="s">
        <v>43</v>
      </c>
      <c r="F306">
        <v>42</v>
      </c>
      <c r="G306" t="s">
        <v>90</v>
      </c>
      <c r="H306" t="s">
        <v>31</v>
      </c>
      <c r="I306" t="s">
        <v>90</v>
      </c>
      <c r="J306" t="s">
        <v>125</v>
      </c>
      <c r="K306">
        <v>2</v>
      </c>
      <c r="L306">
        <v>22031</v>
      </c>
      <c r="M306">
        <v>0</v>
      </c>
      <c r="N306">
        <v>0</v>
      </c>
      <c r="O306">
        <v>7931.16</v>
      </c>
      <c r="P306">
        <v>84</v>
      </c>
      <c r="Q306">
        <v>52077.16</v>
      </c>
      <c r="R306" t="s">
        <v>33</v>
      </c>
      <c r="S306" t="s">
        <v>34</v>
      </c>
      <c r="T306" t="s">
        <v>84</v>
      </c>
      <c r="U306" t="s">
        <v>85</v>
      </c>
      <c r="V306" t="s">
        <v>86</v>
      </c>
      <c r="W306">
        <v>1</v>
      </c>
      <c r="X306" t="s">
        <v>38</v>
      </c>
      <c r="Y306">
        <v>4</v>
      </c>
      <c r="Z306" t="s">
        <v>47</v>
      </c>
    </row>
    <row r="307" spans="1:26" x14ac:dyDescent="0.3">
      <c r="A307" t="s">
        <v>653</v>
      </c>
      <c r="B307" s="2">
        <v>45835</v>
      </c>
      <c r="C307" t="s">
        <v>654</v>
      </c>
      <c r="D307" t="s">
        <v>50</v>
      </c>
      <c r="E307" t="s">
        <v>43</v>
      </c>
      <c r="F307">
        <v>50</v>
      </c>
      <c r="G307" t="s">
        <v>51</v>
      </c>
      <c r="H307" t="s">
        <v>52</v>
      </c>
      <c r="I307" t="s">
        <v>51</v>
      </c>
      <c r="J307" t="s">
        <v>125</v>
      </c>
      <c r="K307">
        <v>2</v>
      </c>
      <c r="L307">
        <v>19288</v>
      </c>
      <c r="M307">
        <v>5</v>
      </c>
      <c r="N307">
        <v>1928.8</v>
      </c>
      <c r="O307">
        <v>6596.5</v>
      </c>
      <c r="P307">
        <v>389</v>
      </c>
      <c r="Q307">
        <v>43632.7</v>
      </c>
      <c r="R307" t="s">
        <v>45</v>
      </c>
      <c r="S307" t="s">
        <v>63</v>
      </c>
      <c r="T307" t="s">
        <v>95</v>
      </c>
      <c r="U307" t="s">
        <v>96</v>
      </c>
      <c r="V307" t="s">
        <v>57</v>
      </c>
      <c r="W307">
        <v>1</v>
      </c>
      <c r="X307" t="s">
        <v>38</v>
      </c>
      <c r="Y307">
        <v>2</v>
      </c>
      <c r="Z307" t="s">
        <v>58</v>
      </c>
    </row>
    <row r="308" spans="1:26" x14ac:dyDescent="0.3">
      <c r="A308" t="s">
        <v>655</v>
      </c>
      <c r="B308" s="2">
        <v>45896</v>
      </c>
      <c r="C308" t="s">
        <v>656</v>
      </c>
      <c r="D308" t="s">
        <v>108</v>
      </c>
      <c r="E308" t="s">
        <v>43</v>
      </c>
      <c r="F308">
        <v>41</v>
      </c>
      <c r="G308" t="s">
        <v>74</v>
      </c>
      <c r="H308" t="s">
        <v>31</v>
      </c>
      <c r="I308" t="s">
        <v>74</v>
      </c>
      <c r="J308" t="s">
        <v>53</v>
      </c>
      <c r="K308">
        <v>3</v>
      </c>
      <c r="L308">
        <v>4554</v>
      </c>
      <c r="M308">
        <v>0</v>
      </c>
      <c r="N308">
        <v>0</v>
      </c>
      <c r="O308">
        <v>2459.16</v>
      </c>
      <c r="P308">
        <v>402</v>
      </c>
      <c r="Q308">
        <v>16523.16</v>
      </c>
      <c r="R308" t="s">
        <v>54</v>
      </c>
      <c r="S308" t="s">
        <v>34</v>
      </c>
      <c r="T308" t="s">
        <v>76</v>
      </c>
      <c r="U308" t="s">
        <v>77</v>
      </c>
      <c r="V308" t="s">
        <v>57</v>
      </c>
      <c r="W308">
        <v>3</v>
      </c>
      <c r="X308" t="s">
        <v>38</v>
      </c>
      <c r="Y308">
        <v>3</v>
      </c>
      <c r="Z308" t="s">
        <v>91</v>
      </c>
    </row>
    <row r="309" spans="1:26" x14ac:dyDescent="0.3">
      <c r="A309" t="s">
        <v>657</v>
      </c>
      <c r="B309" s="2">
        <v>46084</v>
      </c>
      <c r="C309" t="s">
        <v>658</v>
      </c>
      <c r="D309" t="s">
        <v>73</v>
      </c>
      <c r="E309" t="s">
        <v>29</v>
      </c>
      <c r="F309">
        <v>40</v>
      </c>
      <c r="G309" t="s">
        <v>139</v>
      </c>
      <c r="H309" t="s">
        <v>31</v>
      </c>
      <c r="I309" t="s">
        <v>139</v>
      </c>
      <c r="J309" t="s">
        <v>201</v>
      </c>
      <c r="K309">
        <v>1</v>
      </c>
      <c r="L309">
        <v>15911</v>
      </c>
      <c r="M309">
        <v>0</v>
      </c>
      <c r="N309">
        <v>0</v>
      </c>
      <c r="O309">
        <v>2863.98</v>
      </c>
      <c r="P309">
        <v>246</v>
      </c>
      <c r="Q309">
        <v>19020.98</v>
      </c>
      <c r="R309" t="s">
        <v>83</v>
      </c>
      <c r="S309" t="s">
        <v>34</v>
      </c>
      <c r="T309" t="s">
        <v>103</v>
      </c>
      <c r="U309" t="s">
        <v>103</v>
      </c>
      <c r="V309" t="s">
        <v>57</v>
      </c>
      <c r="W309">
        <v>7</v>
      </c>
      <c r="X309" t="s">
        <v>47</v>
      </c>
      <c r="Y309">
        <v>3</v>
      </c>
      <c r="Z309" t="s">
        <v>39</v>
      </c>
    </row>
    <row r="310" spans="1:26" x14ac:dyDescent="0.3">
      <c r="A310" t="s">
        <v>659</v>
      </c>
      <c r="B310" s="2">
        <v>46107</v>
      </c>
      <c r="C310" t="s">
        <v>660</v>
      </c>
      <c r="D310" t="s">
        <v>42</v>
      </c>
      <c r="E310" t="s">
        <v>29</v>
      </c>
      <c r="F310">
        <v>48</v>
      </c>
      <c r="G310" t="s">
        <v>30</v>
      </c>
      <c r="H310" t="s">
        <v>31</v>
      </c>
      <c r="I310" t="s">
        <v>30</v>
      </c>
      <c r="J310" t="s">
        <v>62</v>
      </c>
      <c r="K310">
        <v>4</v>
      </c>
      <c r="L310">
        <v>43550</v>
      </c>
      <c r="M310">
        <v>10</v>
      </c>
      <c r="N310">
        <v>17420</v>
      </c>
      <c r="O310">
        <v>28220.400000000001</v>
      </c>
      <c r="P310">
        <v>291</v>
      </c>
      <c r="Q310">
        <v>185291.4</v>
      </c>
      <c r="R310" t="s">
        <v>54</v>
      </c>
      <c r="S310" t="s">
        <v>63</v>
      </c>
      <c r="T310" t="s">
        <v>103</v>
      </c>
      <c r="U310" t="s">
        <v>103</v>
      </c>
      <c r="V310" t="s">
        <v>57</v>
      </c>
      <c r="W310">
        <v>5</v>
      </c>
      <c r="X310" t="s">
        <v>38</v>
      </c>
      <c r="Y310">
        <v>2</v>
      </c>
      <c r="Z310" t="s">
        <v>39</v>
      </c>
    </row>
    <row r="311" spans="1:26" x14ac:dyDescent="0.3">
      <c r="A311" t="s">
        <v>661</v>
      </c>
      <c r="B311" s="2">
        <v>45954</v>
      </c>
      <c r="C311" t="s">
        <v>231</v>
      </c>
      <c r="D311" t="s">
        <v>61</v>
      </c>
      <c r="E311" t="s">
        <v>43</v>
      </c>
      <c r="F311">
        <v>60</v>
      </c>
      <c r="G311" t="s">
        <v>134</v>
      </c>
      <c r="H311" t="s">
        <v>31</v>
      </c>
      <c r="I311" t="s">
        <v>134</v>
      </c>
      <c r="J311" t="s">
        <v>75</v>
      </c>
      <c r="K311">
        <v>3</v>
      </c>
      <c r="L311">
        <v>22416</v>
      </c>
      <c r="M311">
        <v>0</v>
      </c>
      <c r="N311">
        <v>0</v>
      </c>
      <c r="O311">
        <v>12104.64</v>
      </c>
      <c r="P311">
        <v>410</v>
      </c>
      <c r="Q311">
        <v>79762.64</v>
      </c>
      <c r="R311" t="s">
        <v>54</v>
      </c>
      <c r="S311" t="s">
        <v>34</v>
      </c>
      <c r="T311" t="s">
        <v>55</v>
      </c>
      <c r="U311" t="s">
        <v>56</v>
      </c>
      <c r="V311" t="s">
        <v>57</v>
      </c>
      <c r="W311">
        <v>9</v>
      </c>
      <c r="X311" t="s">
        <v>47</v>
      </c>
      <c r="Y311">
        <v>3</v>
      </c>
      <c r="Z311" t="s">
        <v>47</v>
      </c>
    </row>
    <row r="312" spans="1:26" x14ac:dyDescent="0.3">
      <c r="A312" t="s">
        <v>662</v>
      </c>
      <c r="B312" s="2">
        <v>45781</v>
      </c>
      <c r="C312" t="s">
        <v>377</v>
      </c>
      <c r="D312" t="s">
        <v>28</v>
      </c>
      <c r="E312" t="s">
        <v>29</v>
      </c>
      <c r="F312">
        <v>23</v>
      </c>
      <c r="G312" t="s">
        <v>51</v>
      </c>
      <c r="H312" t="s">
        <v>52</v>
      </c>
      <c r="I312" t="s">
        <v>51</v>
      </c>
      <c r="J312" t="s">
        <v>201</v>
      </c>
      <c r="K312">
        <v>4</v>
      </c>
      <c r="L312">
        <v>29172</v>
      </c>
      <c r="M312">
        <v>15</v>
      </c>
      <c r="N312">
        <v>17503.2</v>
      </c>
      <c r="O312">
        <v>17853.259999999998</v>
      </c>
      <c r="P312">
        <v>97</v>
      </c>
      <c r="Q312">
        <v>117135.06</v>
      </c>
      <c r="R312" t="s">
        <v>54</v>
      </c>
      <c r="S312" t="s">
        <v>63</v>
      </c>
      <c r="T312" t="s">
        <v>46</v>
      </c>
      <c r="U312" t="s">
        <v>36</v>
      </c>
      <c r="V312" t="s">
        <v>37</v>
      </c>
      <c r="W312">
        <v>4</v>
      </c>
      <c r="X312" t="s">
        <v>47</v>
      </c>
      <c r="Y312">
        <v>2</v>
      </c>
      <c r="Z312" t="s">
        <v>91</v>
      </c>
    </row>
    <row r="313" spans="1:26" x14ac:dyDescent="0.3">
      <c r="A313" t="s">
        <v>663</v>
      </c>
      <c r="B313" s="2">
        <v>45863</v>
      </c>
      <c r="C313" t="s">
        <v>625</v>
      </c>
      <c r="D313" t="s">
        <v>80</v>
      </c>
      <c r="E313" t="s">
        <v>29</v>
      </c>
      <c r="F313">
        <v>35</v>
      </c>
      <c r="G313" t="s">
        <v>134</v>
      </c>
      <c r="H313" t="s">
        <v>31</v>
      </c>
      <c r="I313" t="s">
        <v>134</v>
      </c>
      <c r="J313" t="s">
        <v>32</v>
      </c>
      <c r="K313">
        <v>5</v>
      </c>
      <c r="L313">
        <v>44748</v>
      </c>
      <c r="M313">
        <v>15</v>
      </c>
      <c r="N313">
        <v>33561</v>
      </c>
      <c r="O313">
        <v>34232.22</v>
      </c>
      <c r="P313">
        <v>34</v>
      </c>
      <c r="Q313">
        <v>224445.22</v>
      </c>
      <c r="R313" t="s">
        <v>45</v>
      </c>
      <c r="S313" t="s">
        <v>63</v>
      </c>
      <c r="T313" t="s">
        <v>35</v>
      </c>
      <c r="U313" t="s">
        <v>36</v>
      </c>
      <c r="V313" t="s">
        <v>37</v>
      </c>
      <c r="W313">
        <v>1</v>
      </c>
      <c r="X313" t="s">
        <v>38</v>
      </c>
      <c r="Y313">
        <v>2</v>
      </c>
      <c r="Z313" t="s">
        <v>91</v>
      </c>
    </row>
    <row r="314" spans="1:26" x14ac:dyDescent="0.3">
      <c r="A314" t="s">
        <v>664</v>
      </c>
      <c r="B314" s="2">
        <v>45963</v>
      </c>
      <c r="C314" t="s">
        <v>665</v>
      </c>
      <c r="D314" t="s">
        <v>108</v>
      </c>
      <c r="E314" t="s">
        <v>43</v>
      </c>
      <c r="F314">
        <v>42</v>
      </c>
      <c r="G314" t="s">
        <v>99</v>
      </c>
      <c r="H314" t="s">
        <v>52</v>
      </c>
      <c r="I314" t="s">
        <v>99</v>
      </c>
      <c r="J314" t="s">
        <v>62</v>
      </c>
      <c r="K314">
        <v>5</v>
      </c>
      <c r="L314">
        <v>23381</v>
      </c>
      <c r="M314">
        <v>5</v>
      </c>
      <c r="N314">
        <v>5845.25</v>
      </c>
      <c r="O314">
        <v>19990.759999999998</v>
      </c>
      <c r="P314">
        <v>214</v>
      </c>
      <c r="Q314">
        <v>131264.51</v>
      </c>
      <c r="R314" t="s">
        <v>54</v>
      </c>
      <c r="S314" t="s">
        <v>34</v>
      </c>
      <c r="T314" t="s">
        <v>76</v>
      </c>
      <c r="U314" t="s">
        <v>77</v>
      </c>
      <c r="V314" t="s">
        <v>57</v>
      </c>
      <c r="W314">
        <v>3</v>
      </c>
      <c r="X314" t="s">
        <v>47</v>
      </c>
      <c r="Y314">
        <v>4</v>
      </c>
      <c r="Z314" t="s">
        <v>58</v>
      </c>
    </row>
    <row r="315" spans="1:26" x14ac:dyDescent="0.3">
      <c r="A315" t="s">
        <v>666</v>
      </c>
      <c r="B315" s="2">
        <v>45868</v>
      </c>
      <c r="C315" t="s">
        <v>667</v>
      </c>
      <c r="D315" t="s">
        <v>80</v>
      </c>
      <c r="E315" t="s">
        <v>29</v>
      </c>
      <c r="F315">
        <v>44</v>
      </c>
      <c r="G315" t="s">
        <v>51</v>
      </c>
      <c r="H315" t="s">
        <v>52</v>
      </c>
      <c r="I315" t="s">
        <v>51</v>
      </c>
      <c r="J315" t="s">
        <v>102</v>
      </c>
      <c r="K315">
        <v>3</v>
      </c>
      <c r="L315">
        <v>21630</v>
      </c>
      <c r="M315">
        <v>15</v>
      </c>
      <c r="N315">
        <v>9733.5</v>
      </c>
      <c r="O315">
        <v>9928.17</v>
      </c>
      <c r="P315">
        <v>379</v>
      </c>
      <c r="Q315">
        <v>65463.67</v>
      </c>
      <c r="R315" t="s">
        <v>54</v>
      </c>
      <c r="S315" t="s">
        <v>63</v>
      </c>
      <c r="T315" t="s">
        <v>46</v>
      </c>
      <c r="U315" t="s">
        <v>36</v>
      </c>
      <c r="V315" t="s">
        <v>37</v>
      </c>
      <c r="W315">
        <v>3</v>
      </c>
      <c r="X315" t="s">
        <v>47</v>
      </c>
      <c r="Y315">
        <v>2</v>
      </c>
      <c r="Z315" t="s">
        <v>91</v>
      </c>
    </row>
    <row r="316" spans="1:26" x14ac:dyDescent="0.3">
      <c r="A316" t="s">
        <v>668</v>
      </c>
      <c r="B316" s="2">
        <v>45930</v>
      </c>
      <c r="C316" t="s">
        <v>669</v>
      </c>
      <c r="D316" t="s">
        <v>50</v>
      </c>
      <c r="E316" t="s">
        <v>43</v>
      </c>
      <c r="F316">
        <v>40</v>
      </c>
      <c r="G316" t="s">
        <v>90</v>
      </c>
      <c r="H316" t="s">
        <v>31</v>
      </c>
      <c r="I316" t="s">
        <v>90</v>
      </c>
      <c r="J316" t="s">
        <v>201</v>
      </c>
      <c r="K316">
        <v>2</v>
      </c>
      <c r="L316">
        <v>41791</v>
      </c>
      <c r="M316">
        <v>20</v>
      </c>
      <c r="N316">
        <v>16716.400000000001</v>
      </c>
      <c r="O316">
        <v>12035.81</v>
      </c>
      <c r="P316">
        <v>371</v>
      </c>
      <c r="Q316">
        <v>79272.41</v>
      </c>
      <c r="R316" t="s">
        <v>45</v>
      </c>
      <c r="S316" t="s">
        <v>34</v>
      </c>
      <c r="T316" t="s">
        <v>55</v>
      </c>
      <c r="U316" t="s">
        <v>56</v>
      </c>
      <c r="V316" t="s">
        <v>57</v>
      </c>
      <c r="W316">
        <v>7</v>
      </c>
      <c r="X316" t="s">
        <v>47</v>
      </c>
      <c r="Y316">
        <v>2</v>
      </c>
      <c r="Z316" t="s">
        <v>47</v>
      </c>
    </row>
    <row r="317" spans="1:26" x14ac:dyDescent="0.3">
      <c r="A317" t="s">
        <v>670</v>
      </c>
      <c r="B317" s="2">
        <v>45794</v>
      </c>
      <c r="C317" t="s">
        <v>671</v>
      </c>
      <c r="D317" t="s">
        <v>108</v>
      </c>
      <c r="E317" t="s">
        <v>43</v>
      </c>
      <c r="F317">
        <v>40</v>
      </c>
      <c r="G317" t="s">
        <v>90</v>
      </c>
      <c r="H317" t="s">
        <v>31</v>
      </c>
      <c r="I317" t="s">
        <v>90</v>
      </c>
      <c r="J317" t="s">
        <v>150</v>
      </c>
      <c r="K317">
        <v>2</v>
      </c>
      <c r="L317">
        <v>5799</v>
      </c>
      <c r="M317">
        <v>5</v>
      </c>
      <c r="N317">
        <v>579.9</v>
      </c>
      <c r="O317">
        <v>1983.26</v>
      </c>
      <c r="P317">
        <v>221</v>
      </c>
      <c r="Q317">
        <v>13222.36</v>
      </c>
      <c r="R317" t="s">
        <v>54</v>
      </c>
      <c r="S317" t="s">
        <v>34</v>
      </c>
      <c r="T317" t="s">
        <v>55</v>
      </c>
      <c r="U317" t="s">
        <v>56</v>
      </c>
      <c r="V317" t="s">
        <v>57</v>
      </c>
      <c r="W317">
        <v>5</v>
      </c>
      <c r="X317" t="s">
        <v>38</v>
      </c>
      <c r="Y317">
        <v>1</v>
      </c>
      <c r="Z317" t="s">
        <v>47</v>
      </c>
    </row>
    <row r="318" spans="1:26" x14ac:dyDescent="0.3">
      <c r="A318" t="s">
        <v>672</v>
      </c>
      <c r="B318" s="2">
        <v>45900</v>
      </c>
      <c r="C318" t="s">
        <v>477</v>
      </c>
      <c r="D318" t="s">
        <v>61</v>
      </c>
      <c r="E318" t="s">
        <v>29</v>
      </c>
      <c r="F318">
        <v>26</v>
      </c>
      <c r="G318" t="s">
        <v>51</v>
      </c>
      <c r="H318" t="s">
        <v>52</v>
      </c>
      <c r="I318" t="s">
        <v>51</v>
      </c>
      <c r="J318" t="s">
        <v>150</v>
      </c>
      <c r="K318">
        <v>2</v>
      </c>
      <c r="L318">
        <v>23634</v>
      </c>
      <c r="M318">
        <v>5</v>
      </c>
      <c r="N318">
        <v>2363.4</v>
      </c>
      <c r="O318">
        <v>8082.83</v>
      </c>
      <c r="P318">
        <v>450</v>
      </c>
      <c r="Q318">
        <v>53437.43</v>
      </c>
      <c r="R318" t="s">
        <v>54</v>
      </c>
      <c r="S318" t="s">
        <v>63</v>
      </c>
      <c r="T318" t="s">
        <v>84</v>
      </c>
      <c r="U318" t="s">
        <v>85</v>
      </c>
      <c r="V318" t="s">
        <v>86</v>
      </c>
      <c r="W318">
        <v>9</v>
      </c>
      <c r="X318" t="s">
        <v>47</v>
      </c>
      <c r="Y318">
        <v>2</v>
      </c>
      <c r="Z318" t="s">
        <v>47</v>
      </c>
    </row>
    <row r="319" spans="1:26" x14ac:dyDescent="0.3">
      <c r="A319" t="s">
        <v>673</v>
      </c>
      <c r="B319" s="2">
        <v>45963</v>
      </c>
      <c r="C319" t="s">
        <v>674</v>
      </c>
      <c r="D319" t="s">
        <v>80</v>
      </c>
      <c r="E319" t="s">
        <v>43</v>
      </c>
      <c r="F319">
        <v>51</v>
      </c>
      <c r="G319" t="s">
        <v>139</v>
      </c>
      <c r="H319" t="s">
        <v>31</v>
      </c>
      <c r="I319" t="s">
        <v>139</v>
      </c>
      <c r="J319" t="s">
        <v>102</v>
      </c>
      <c r="K319">
        <v>3</v>
      </c>
      <c r="L319">
        <v>21565</v>
      </c>
      <c r="M319">
        <v>15</v>
      </c>
      <c r="N319">
        <v>9704.25</v>
      </c>
      <c r="O319">
        <v>9898.33</v>
      </c>
      <c r="P319">
        <v>46</v>
      </c>
      <c r="Q319">
        <v>64935.08</v>
      </c>
      <c r="R319" t="s">
        <v>83</v>
      </c>
      <c r="S319" t="s">
        <v>34</v>
      </c>
      <c r="T319" t="s">
        <v>84</v>
      </c>
      <c r="U319" t="s">
        <v>85</v>
      </c>
      <c r="V319" t="s">
        <v>86</v>
      </c>
      <c r="W319">
        <v>10</v>
      </c>
      <c r="X319" t="s">
        <v>38</v>
      </c>
      <c r="Y319">
        <v>2</v>
      </c>
      <c r="Z319" t="s">
        <v>39</v>
      </c>
    </row>
    <row r="320" spans="1:26" x14ac:dyDescent="0.3">
      <c r="A320" t="s">
        <v>675</v>
      </c>
      <c r="B320" s="2">
        <v>45870</v>
      </c>
      <c r="C320" t="s">
        <v>676</v>
      </c>
      <c r="D320" t="s">
        <v>108</v>
      </c>
      <c r="E320" t="s">
        <v>29</v>
      </c>
      <c r="F320">
        <v>49</v>
      </c>
      <c r="G320" t="s">
        <v>30</v>
      </c>
      <c r="H320" t="s">
        <v>31</v>
      </c>
      <c r="I320" t="s">
        <v>30</v>
      </c>
      <c r="J320" t="s">
        <v>32</v>
      </c>
      <c r="K320">
        <v>5</v>
      </c>
      <c r="L320">
        <v>41024</v>
      </c>
      <c r="M320">
        <v>20</v>
      </c>
      <c r="N320">
        <v>41024</v>
      </c>
      <c r="O320">
        <v>29537.279999999999</v>
      </c>
      <c r="P320">
        <v>262</v>
      </c>
      <c r="Q320">
        <v>193895.28</v>
      </c>
      <c r="R320" t="s">
        <v>33</v>
      </c>
      <c r="S320" t="s">
        <v>63</v>
      </c>
      <c r="T320" t="s">
        <v>84</v>
      </c>
      <c r="U320" t="s">
        <v>85</v>
      </c>
      <c r="V320" t="s">
        <v>86</v>
      </c>
      <c r="W320">
        <v>5</v>
      </c>
      <c r="X320" t="s">
        <v>47</v>
      </c>
      <c r="Y320">
        <v>4</v>
      </c>
      <c r="Z320" t="s">
        <v>91</v>
      </c>
    </row>
    <row r="321" spans="1:26" x14ac:dyDescent="0.3">
      <c r="A321" t="s">
        <v>677</v>
      </c>
      <c r="B321" s="2">
        <v>45881</v>
      </c>
      <c r="C321" t="s">
        <v>678</v>
      </c>
      <c r="D321" t="s">
        <v>50</v>
      </c>
      <c r="E321" t="s">
        <v>43</v>
      </c>
      <c r="F321">
        <v>37</v>
      </c>
      <c r="G321" t="s">
        <v>134</v>
      </c>
      <c r="H321" t="s">
        <v>31</v>
      </c>
      <c r="I321" t="s">
        <v>134</v>
      </c>
      <c r="J321" t="s">
        <v>32</v>
      </c>
      <c r="K321">
        <v>2</v>
      </c>
      <c r="L321">
        <v>49704</v>
      </c>
      <c r="M321">
        <v>20</v>
      </c>
      <c r="N321">
        <v>19881.599999999999</v>
      </c>
      <c r="O321">
        <v>14314.75</v>
      </c>
      <c r="P321">
        <v>174</v>
      </c>
      <c r="Q321">
        <v>94015.15</v>
      </c>
      <c r="R321" t="s">
        <v>45</v>
      </c>
      <c r="S321" t="s">
        <v>34</v>
      </c>
      <c r="T321" t="s">
        <v>84</v>
      </c>
      <c r="U321" t="s">
        <v>85</v>
      </c>
      <c r="V321" t="s">
        <v>86</v>
      </c>
      <c r="W321">
        <v>8</v>
      </c>
      <c r="X321" t="s">
        <v>47</v>
      </c>
      <c r="Y321">
        <v>3</v>
      </c>
      <c r="Z321" t="s">
        <v>91</v>
      </c>
    </row>
    <row r="322" spans="1:26" x14ac:dyDescent="0.3">
      <c r="A322" t="s">
        <v>679</v>
      </c>
      <c r="B322" s="2">
        <v>45892</v>
      </c>
      <c r="C322" t="s">
        <v>680</v>
      </c>
      <c r="D322" t="s">
        <v>108</v>
      </c>
      <c r="E322" t="s">
        <v>29</v>
      </c>
      <c r="F322">
        <v>38</v>
      </c>
      <c r="G322" t="s">
        <v>74</v>
      </c>
      <c r="H322" t="s">
        <v>31</v>
      </c>
      <c r="I322" t="s">
        <v>74</v>
      </c>
      <c r="J322" t="s">
        <v>125</v>
      </c>
      <c r="K322">
        <v>1</v>
      </c>
      <c r="L322">
        <v>7179</v>
      </c>
      <c r="M322">
        <v>15</v>
      </c>
      <c r="N322">
        <v>1076.8499999999999</v>
      </c>
      <c r="O322">
        <v>1098.3900000000001</v>
      </c>
      <c r="P322">
        <v>459</v>
      </c>
      <c r="Q322">
        <v>7659.54</v>
      </c>
      <c r="R322" t="s">
        <v>33</v>
      </c>
      <c r="S322" t="s">
        <v>34</v>
      </c>
      <c r="T322" t="s">
        <v>35</v>
      </c>
      <c r="U322" t="s">
        <v>36</v>
      </c>
      <c r="V322" t="s">
        <v>37</v>
      </c>
      <c r="W322">
        <v>7</v>
      </c>
      <c r="X322" t="s">
        <v>38</v>
      </c>
      <c r="Y322">
        <v>5</v>
      </c>
      <c r="Z322" t="s">
        <v>91</v>
      </c>
    </row>
    <row r="323" spans="1:26" x14ac:dyDescent="0.3">
      <c r="A323" t="s">
        <v>681</v>
      </c>
      <c r="B323" s="2">
        <v>45796</v>
      </c>
      <c r="C323" t="s">
        <v>682</v>
      </c>
      <c r="D323" t="s">
        <v>61</v>
      </c>
      <c r="E323" t="s">
        <v>43</v>
      </c>
      <c r="F323">
        <v>55</v>
      </c>
      <c r="G323" t="s">
        <v>90</v>
      </c>
      <c r="H323" t="s">
        <v>31</v>
      </c>
      <c r="I323" t="s">
        <v>90</v>
      </c>
      <c r="J323" t="s">
        <v>53</v>
      </c>
      <c r="K323">
        <v>1</v>
      </c>
      <c r="L323">
        <v>48043</v>
      </c>
      <c r="M323">
        <v>5</v>
      </c>
      <c r="N323">
        <v>2402.15</v>
      </c>
      <c r="O323">
        <v>8215.35</v>
      </c>
      <c r="P323">
        <v>151</v>
      </c>
      <c r="Q323">
        <v>54007.199999999997</v>
      </c>
      <c r="R323" t="s">
        <v>54</v>
      </c>
      <c r="S323" t="s">
        <v>63</v>
      </c>
      <c r="T323" t="s">
        <v>95</v>
      </c>
      <c r="U323" t="s">
        <v>96</v>
      </c>
      <c r="V323" t="s">
        <v>57</v>
      </c>
      <c r="W323">
        <v>3</v>
      </c>
      <c r="X323" t="s">
        <v>38</v>
      </c>
      <c r="Y323">
        <v>3</v>
      </c>
      <c r="Z323" t="s">
        <v>91</v>
      </c>
    </row>
    <row r="324" spans="1:26" x14ac:dyDescent="0.3">
      <c r="A324" t="s">
        <v>683</v>
      </c>
      <c r="B324" s="2">
        <v>45922</v>
      </c>
      <c r="C324" t="s">
        <v>684</v>
      </c>
      <c r="D324" t="s">
        <v>50</v>
      </c>
      <c r="E324" t="s">
        <v>43</v>
      </c>
      <c r="F324">
        <v>49</v>
      </c>
      <c r="G324" t="s">
        <v>51</v>
      </c>
      <c r="H324" t="s">
        <v>52</v>
      </c>
      <c r="I324" t="s">
        <v>51</v>
      </c>
      <c r="J324" t="s">
        <v>150</v>
      </c>
      <c r="K324">
        <v>5</v>
      </c>
      <c r="L324">
        <v>49415</v>
      </c>
      <c r="M324">
        <v>0</v>
      </c>
      <c r="N324">
        <v>0</v>
      </c>
      <c r="O324">
        <v>44473.5</v>
      </c>
      <c r="P324">
        <v>97</v>
      </c>
      <c r="Q324">
        <v>291645.5</v>
      </c>
      <c r="R324" t="s">
        <v>83</v>
      </c>
      <c r="S324" t="s">
        <v>34</v>
      </c>
      <c r="T324" t="s">
        <v>70</v>
      </c>
      <c r="U324" t="s">
        <v>56</v>
      </c>
      <c r="V324" t="s">
        <v>57</v>
      </c>
      <c r="W324">
        <v>3</v>
      </c>
      <c r="X324" t="s">
        <v>47</v>
      </c>
      <c r="Y324">
        <v>2</v>
      </c>
      <c r="Z324" t="s">
        <v>58</v>
      </c>
    </row>
    <row r="325" spans="1:26" x14ac:dyDescent="0.3">
      <c r="A325" t="s">
        <v>685</v>
      </c>
      <c r="B325" s="2">
        <v>46018</v>
      </c>
      <c r="C325" t="s">
        <v>686</v>
      </c>
      <c r="D325" t="s">
        <v>66</v>
      </c>
      <c r="E325" t="s">
        <v>43</v>
      </c>
      <c r="F325">
        <v>34</v>
      </c>
      <c r="G325" t="s">
        <v>94</v>
      </c>
      <c r="H325" t="s">
        <v>31</v>
      </c>
      <c r="I325" t="s">
        <v>94</v>
      </c>
      <c r="J325" t="s">
        <v>201</v>
      </c>
      <c r="K325">
        <v>3</v>
      </c>
      <c r="L325">
        <v>19786</v>
      </c>
      <c r="M325">
        <v>10</v>
      </c>
      <c r="N325">
        <v>5935.8</v>
      </c>
      <c r="O325">
        <v>9616</v>
      </c>
      <c r="P325">
        <v>78</v>
      </c>
      <c r="Q325">
        <v>63116.2</v>
      </c>
      <c r="R325" t="s">
        <v>33</v>
      </c>
      <c r="S325" t="s">
        <v>34</v>
      </c>
      <c r="T325" t="s">
        <v>35</v>
      </c>
      <c r="U325" t="s">
        <v>36</v>
      </c>
      <c r="V325" t="s">
        <v>37</v>
      </c>
      <c r="W325">
        <v>1</v>
      </c>
      <c r="X325" t="s">
        <v>38</v>
      </c>
      <c r="Y325">
        <v>4</v>
      </c>
      <c r="Z325" t="s">
        <v>39</v>
      </c>
    </row>
    <row r="326" spans="1:26" x14ac:dyDescent="0.3">
      <c r="A326" t="s">
        <v>687</v>
      </c>
      <c r="B326" s="2">
        <v>45970</v>
      </c>
      <c r="C326" t="s">
        <v>330</v>
      </c>
      <c r="D326" t="s">
        <v>89</v>
      </c>
      <c r="E326" t="s">
        <v>29</v>
      </c>
      <c r="F326">
        <v>26</v>
      </c>
      <c r="G326" t="s">
        <v>44</v>
      </c>
      <c r="H326" t="s">
        <v>31</v>
      </c>
      <c r="I326" t="s">
        <v>44</v>
      </c>
      <c r="J326" t="s">
        <v>53</v>
      </c>
      <c r="K326">
        <v>5</v>
      </c>
      <c r="L326">
        <v>30964</v>
      </c>
      <c r="M326">
        <v>20</v>
      </c>
      <c r="N326">
        <v>30964</v>
      </c>
      <c r="O326">
        <v>22294.080000000002</v>
      </c>
      <c r="P326">
        <v>420</v>
      </c>
      <c r="Q326">
        <v>146570.07999999999</v>
      </c>
      <c r="R326" t="s">
        <v>33</v>
      </c>
      <c r="S326" t="s">
        <v>34</v>
      </c>
      <c r="T326" t="s">
        <v>55</v>
      </c>
      <c r="U326" t="s">
        <v>56</v>
      </c>
      <c r="V326" t="s">
        <v>57</v>
      </c>
      <c r="W326">
        <v>7</v>
      </c>
      <c r="X326" t="s">
        <v>38</v>
      </c>
      <c r="Y326">
        <v>4</v>
      </c>
      <c r="Z326" t="s">
        <v>47</v>
      </c>
    </row>
    <row r="327" spans="1:26" x14ac:dyDescent="0.3">
      <c r="A327" t="s">
        <v>688</v>
      </c>
      <c r="B327" s="2">
        <v>46103</v>
      </c>
      <c r="C327" t="s">
        <v>182</v>
      </c>
      <c r="D327" t="s">
        <v>89</v>
      </c>
      <c r="E327" t="s">
        <v>29</v>
      </c>
      <c r="F327">
        <v>58</v>
      </c>
      <c r="G327" t="s">
        <v>30</v>
      </c>
      <c r="H327" t="s">
        <v>31</v>
      </c>
      <c r="I327" t="s">
        <v>30</v>
      </c>
      <c r="J327" t="s">
        <v>112</v>
      </c>
      <c r="K327">
        <v>4</v>
      </c>
      <c r="L327">
        <v>49969</v>
      </c>
      <c r="M327">
        <v>5</v>
      </c>
      <c r="N327">
        <v>9993.7999999999993</v>
      </c>
      <c r="O327">
        <v>34178.800000000003</v>
      </c>
      <c r="P327">
        <v>218</v>
      </c>
      <c r="Q327">
        <v>224279</v>
      </c>
      <c r="R327" t="s">
        <v>83</v>
      </c>
      <c r="S327" t="s">
        <v>34</v>
      </c>
      <c r="T327" t="s">
        <v>46</v>
      </c>
      <c r="U327" t="s">
        <v>36</v>
      </c>
      <c r="V327" t="s">
        <v>37</v>
      </c>
      <c r="W327">
        <v>9</v>
      </c>
      <c r="X327" t="s">
        <v>47</v>
      </c>
      <c r="Y327">
        <v>1</v>
      </c>
      <c r="Z327" t="s">
        <v>39</v>
      </c>
    </row>
    <row r="328" spans="1:26" x14ac:dyDescent="0.3">
      <c r="A328" t="s">
        <v>689</v>
      </c>
      <c r="B328" s="2">
        <v>46101</v>
      </c>
      <c r="C328" t="s">
        <v>690</v>
      </c>
      <c r="D328" t="s">
        <v>42</v>
      </c>
      <c r="E328" t="s">
        <v>43</v>
      </c>
      <c r="F328">
        <v>33</v>
      </c>
      <c r="G328" t="s">
        <v>99</v>
      </c>
      <c r="H328" t="s">
        <v>52</v>
      </c>
      <c r="I328" t="s">
        <v>99</v>
      </c>
      <c r="J328" t="s">
        <v>32</v>
      </c>
      <c r="K328">
        <v>2</v>
      </c>
      <c r="L328">
        <v>42028</v>
      </c>
      <c r="M328">
        <v>15</v>
      </c>
      <c r="N328">
        <v>12608.4</v>
      </c>
      <c r="O328">
        <v>12860.57</v>
      </c>
      <c r="P328">
        <v>190</v>
      </c>
      <c r="Q328">
        <v>84498.17</v>
      </c>
      <c r="R328" t="s">
        <v>54</v>
      </c>
      <c r="S328" t="s">
        <v>34</v>
      </c>
      <c r="T328" t="s">
        <v>55</v>
      </c>
      <c r="U328" t="s">
        <v>56</v>
      </c>
      <c r="V328" t="s">
        <v>57</v>
      </c>
      <c r="W328">
        <v>7</v>
      </c>
      <c r="X328" t="s">
        <v>47</v>
      </c>
      <c r="Y328">
        <v>2</v>
      </c>
      <c r="Z328" t="s">
        <v>58</v>
      </c>
    </row>
    <row r="329" spans="1:26" x14ac:dyDescent="0.3">
      <c r="A329" t="s">
        <v>691</v>
      </c>
      <c r="B329" s="2">
        <v>45869</v>
      </c>
      <c r="C329" t="s">
        <v>627</v>
      </c>
      <c r="D329" t="s">
        <v>28</v>
      </c>
      <c r="E329" t="s">
        <v>29</v>
      </c>
      <c r="F329">
        <v>59</v>
      </c>
      <c r="G329" t="s">
        <v>30</v>
      </c>
      <c r="H329" t="s">
        <v>31</v>
      </c>
      <c r="I329" t="s">
        <v>30</v>
      </c>
      <c r="J329" t="s">
        <v>112</v>
      </c>
      <c r="K329">
        <v>3</v>
      </c>
      <c r="L329">
        <v>40430</v>
      </c>
      <c r="M329">
        <v>20</v>
      </c>
      <c r="N329">
        <v>24258</v>
      </c>
      <c r="O329">
        <v>17465.759999999998</v>
      </c>
      <c r="P329">
        <v>15</v>
      </c>
      <c r="Q329">
        <v>114512.76</v>
      </c>
      <c r="R329" t="s">
        <v>33</v>
      </c>
      <c r="S329" t="s">
        <v>34</v>
      </c>
      <c r="T329" t="s">
        <v>84</v>
      </c>
      <c r="U329" t="s">
        <v>85</v>
      </c>
      <c r="V329" t="s">
        <v>86</v>
      </c>
      <c r="W329">
        <v>6</v>
      </c>
      <c r="X329" t="s">
        <v>38</v>
      </c>
      <c r="Y329">
        <v>4</v>
      </c>
      <c r="Z329" t="s">
        <v>91</v>
      </c>
    </row>
    <row r="330" spans="1:26" x14ac:dyDescent="0.3">
      <c r="A330" t="s">
        <v>692</v>
      </c>
      <c r="B330" s="2">
        <v>46006</v>
      </c>
      <c r="C330" t="s">
        <v>693</v>
      </c>
      <c r="D330" t="s">
        <v>61</v>
      </c>
      <c r="E330" t="s">
        <v>29</v>
      </c>
      <c r="F330">
        <v>60</v>
      </c>
      <c r="G330" t="s">
        <v>44</v>
      </c>
      <c r="H330" t="s">
        <v>31</v>
      </c>
      <c r="I330" t="s">
        <v>44</v>
      </c>
      <c r="J330" t="s">
        <v>150</v>
      </c>
      <c r="K330">
        <v>5</v>
      </c>
      <c r="L330">
        <v>34114</v>
      </c>
      <c r="M330">
        <v>0</v>
      </c>
      <c r="N330">
        <v>0</v>
      </c>
      <c r="O330">
        <v>30702.6</v>
      </c>
      <c r="P330">
        <v>3</v>
      </c>
      <c r="Q330">
        <v>201275.6</v>
      </c>
      <c r="R330" t="s">
        <v>45</v>
      </c>
      <c r="S330" t="s">
        <v>63</v>
      </c>
      <c r="T330" t="s">
        <v>84</v>
      </c>
      <c r="U330" t="s">
        <v>85</v>
      </c>
      <c r="V330" t="s">
        <v>86</v>
      </c>
      <c r="W330">
        <v>7</v>
      </c>
      <c r="X330" t="s">
        <v>47</v>
      </c>
      <c r="Y330">
        <v>1</v>
      </c>
      <c r="Z330" t="s">
        <v>47</v>
      </c>
    </row>
    <row r="331" spans="1:26" x14ac:dyDescent="0.3">
      <c r="A331" t="s">
        <v>694</v>
      </c>
      <c r="B331" s="2">
        <v>46044</v>
      </c>
      <c r="C331" t="s">
        <v>695</v>
      </c>
      <c r="D331" t="s">
        <v>73</v>
      </c>
      <c r="E331" t="s">
        <v>43</v>
      </c>
      <c r="F331">
        <v>20</v>
      </c>
      <c r="G331" t="s">
        <v>67</v>
      </c>
      <c r="H331" t="s">
        <v>68</v>
      </c>
      <c r="I331" t="s">
        <v>67</v>
      </c>
      <c r="J331" t="s">
        <v>75</v>
      </c>
      <c r="K331">
        <v>2</v>
      </c>
      <c r="L331">
        <v>23052</v>
      </c>
      <c r="M331">
        <v>20</v>
      </c>
      <c r="N331">
        <v>9220.7999999999993</v>
      </c>
      <c r="O331">
        <v>6638.98</v>
      </c>
      <c r="P331">
        <v>141</v>
      </c>
      <c r="Q331">
        <v>43663.18</v>
      </c>
      <c r="R331" t="s">
        <v>54</v>
      </c>
      <c r="S331" t="s">
        <v>34</v>
      </c>
      <c r="T331" t="s">
        <v>35</v>
      </c>
      <c r="U331" t="s">
        <v>36</v>
      </c>
      <c r="V331" t="s">
        <v>37</v>
      </c>
      <c r="W331">
        <v>2</v>
      </c>
      <c r="X331" t="s">
        <v>38</v>
      </c>
      <c r="Y331">
        <v>4</v>
      </c>
      <c r="Z331" t="s">
        <v>39</v>
      </c>
    </row>
    <row r="332" spans="1:26" x14ac:dyDescent="0.3">
      <c r="A332" t="s">
        <v>696</v>
      </c>
      <c r="B332" s="2">
        <v>45831</v>
      </c>
      <c r="C332" t="s">
        <v>697</v>
      </c>
      <c r="D332" t="s">
        <v>42</v>
      </c>
      <c r="E332" t="s">
        <v>43</v>
      </c>
      <c r="F332">
        <v>30</v>
      </c>
      <c r="G332" t="s">
        <v>94</v>
      </c>
      <c r="H332" t="s">
        <v>31</v>
      </c>
      <c r="I332" t="s">
        <v>94</v>
      </c>
      <c r="J332" t="s">
        <v>62</v>
      </c>
      <c r="K332">
        <v>5</v>
      </c>
      <c r="L332">
        <v>26141</v>
      </c>
      <c r="M332">
        <v>0</v>
      </c>
      <c r="N332">
        <v>0</v>
      </c>
      <c r="O332">
        <v>23526.9</v>
      </c>
      <c r="P332">
        <v>51</v>
      </c>
      <c r="Q332">
        <v>154282.9</v>
      </c>
      <c r="R332" t="s">
        <v>83</v>
      </c>
      <c r="S332" t="s">
        <v>63</v>
      </c>
      <c r="T332" t="s">
        <v>103</v>
      </c>
      <c r="U332" t="s">
        <v>103</v>
      </c>
      <c r="V332" t="s">
        <v>57</v>
      </c>
      <c r="W332">
        <v>10</v>
      </c>
      <c r="X332" t="s">
        <v>38</v>
      </c>
      <c r="Y332">
        <v>1</v>
      </c>
      <c r="Z332" t="s">
        <v>39</v>
      </c>
    </row>
    <row r="333" spans="1:26" x14ac:dyDescent="0.3">
      <c r="A333" t="s">
        <v>698</v>
      </c>
      <c r="B333" s="2">
        <v>46027</v>
      </c>
      <c r="C333" t="s">
        <v>342</v>
      </c>
      <c r="D333" t="s">
        <v>111</v>
      </c>
      <c r="E333" t="s">
        <v>43</v>
      </c>
      <c r="F333">
        <v>23</v>
      </c>
      <c r="G333" t="s">
        <v>90</v>
      </c>
      <c r="H333" t="s">
        <v>31</v>
      </c>
      <c r="I333" t="s">
        <v>90</v>
      </c>
      <c r="J333" t="s">
        <v>32</v>
      </c>
      <c r="K333">
        <v>3</v>
      </c>
      <c r="L333">
        <v>3051</v>
      </c>
      <c r="M333">
        <v>15</v>
      </c>
      <c r="N333">
        <v>1372.95</v>
      </c>
      <c r="O333">
        <v>1400.41</v>
      </c>
      <c r="P333">
        <v>107</v>
      </c>
      <c r="Q333">
        <v>9287.4599999999991</v>
      </c>
      <c r="R333" t="s">
        <v>45</v>
      </c>
      <c r="S333" t="s">
        <v>63</v>
      </c>
      <c r="T333" t="s">
        <v>95</v>
      </c>
      <c r="U333" t="s">
        <v>96</v>
      </c>
      <c r="V333" t="s">
        <v>57</v>
      </c>
      <c r="W333">
        <v>7</v>
      </c>
      <c r="X333" t="s">
        <v>38</v>
      </c>
      <c r="Y333">
        <v>5</v>
      </c>
      <c r="Z333" t="s">
        <v>91</v>
      </c>
    </row>
    <row r="334" spans="1:26" x14ac:dyDescent="0.3">
      <c r="A334" t="s">
        <v>699</v>
      </c>
      <c r="B334" s="2">
        <v>45925</v>
      </c>
      <c r="C334" t="s">
        <v>700</v>
      </c>
      <c r="D334" t="s">
        <v>28</v>
      </c>
      <c r="E334" t="s">
        <v>29</v>
      </c>
      <c r="F334">
        <v>27</v>
      </c>
      <c r="G334" t="s">
        <v>94</v>
      </c>
      <c r="H334" t="s">
        <v>31</v>
      </c>
      <c r="I334" t="s">
        <v>94</v>
      </c>
      <c r="J334" t="s">
        <v>32</v>
      </c>
      <c r="K334">
        <v>1</v>
      </c>
      <c r="L334">
        <v>48655</v>
      </c>
      <c r="M334">
        <v>0</v>
      </c>
      <c r="N334">
        <v>0</v>
      </c>
      <c r="O334">
        <v>8757.9</v>
      </c>
      <c r="P334">
        <v>391</v>
      </c>
      <c r="Q334">
        <v>57803.9</v>
      </c>
      <c r="R334" t="s">
        <v>83</v>
      </c>
      <c r="S334" t="s">
        <v>63</v>
      </c>
      <c r="T334" t="s">
        <v>70</v>
      </c>
      <c r="U334" t="s">
        <v>56</v>
      </c>
      <c r="V334" t="s">
        <v>57</v>
      </c>
      <c r="W334">
        <v>1</v>
      </c>
      <c r="X334" t="s">
        <v>38</v>
      </c>
      <c r="Y334">
        <v>3</v>
      </c>
      <c r="Z334" t="s">
        <v>58</v>
      </c>
    </row>
    <row r="335" spans="1:26" x14ac:dyDescent="0.3">
      <c r="A335" t="s">
        <v>701</v>
      </c>
      <c r="B335" s="2">
        <v>45834</v>
      </c>
      <c r="C335" t="s">
        <v>702</v>
      </c>
      <c r="D335" t="s">
        <v>111</v>
      </c>
      <c r="E335" t="s">
        <v>29</v>
      </c>
      <c r="F335">
        <v>57</v>
      </c>
      <c r="G335" t="s">
        <v>90</v>
      </c>
      <c r="H335" t="s">
        <v>31</v>
      </c>
      <c r="I335" t="s">
        <v>90</v>
      </c>
      <c r="J335" t="s">
        <v>150</v>
      </c>
      <c r="K335">
        <v>4</v>
      </c>
      <c r="L335">
        <v>1414</v>
      </c>
      <c r="M335">
        <v>20</v>
      </c>
      <c r="N335">
        <v>1131.2</v>
      </c>
      <c r="O335">
        <v>814.46</v>
      </c>
      <c r="P335">
        <v>128</v>
      </c>
      <c r="Q335">
        <v>5467.26</v>
      </c>
      <c r="R335" t="s">
        <v>54</v>
      </c>
      <c r="S335" t="s">
        <v>34</v>
      </c>
      <c r="T335" t="s">
        <v>46</v>
      </c>
      <c r="U335" t="s">
        <v>36</v>
      </c>
      <c r="V335" t="s">
        <v>37</v>
      </c>
      <c r="W335">
        <v>10</v>
      </c>
      <c r="X335" t="s">
        <v>38</v>
      </c>
      <c r="Y335">
        <v>3</v>
      </c>
      <c r="Z335" t="s">
        <v>47</v>
      </c>
    </row>
    <row r="336" spans="1:26" x14ac:dyDescent="0.3">
      <c r="A336" t="s">
        <v>703</v>
      </c>
      <c r="B336" s="2">
        <v>45763</v>
      </c>
      <c r="C336" t="s">
        <v>187</v>
      </c>
      <c r="D336" t="s">
        <v>50</v>
      </c>
      <c r="E336" t="s">
        <v>29</v>
      </c>
      <c r="F336">
        <v>53</v>
      </c>
      <c r="G336" t="s">
        <v>44</v>
      </c>
      <c r="H336" t="s">
        <v>31</v>
      </c>
      <c r="I336" t="s">
        <v>44</v>
      </c>
      <c r="J336" t="s">
        <v>62</v>
      </c>
      <c r="K336">
        <v>2</v>
      </c>
      <c r="L336">
        <v>48474</v>
      </c>
      <c r="M336">
        <v>10</v>
      </c>
      <c r="N336">
        <v>9694.7999999999993</v>
      </c>
      <c r="O336">
        <v>15705.58</v>
      </c>
      <c r="P336">
        <v>419</v>
      </c>
      <c r="Q336">
        <v>103377.78</v>
      </c>
      <c r="R336" t="s">
        <v>45</v>
      </c>
      <c r="S336" t="s">
        <v>63</v>
      </c>
      <c r="T336" t="s">
        <v>84</v>
      </c>
      <c r="U336" t="s">
        <v>85</v>
      </c>
      <c r="V336" t="s">
        <v>86</v>
      </c>
      <c r="W336">
        <v>6</v>
      </c>
      <c r="X336" t="s">
        <v>47</v>
      </c>
      <c r="Y336">
        <v>3</v>
      </c>
      <c r="Z336" t="s">
        <v>39</v>
      </c>
    </row>
    <row r="337" spans="1:26" x14ac:dyDescent="0.3">
      <c r="A337" t="s">
        <v>704</v>
      </c>
      <c r="B337" s="2">
        <v>46111</v>
      </c>
      <c r="C337" t="s">
        <v>279</v>
      </c>
      <c r="D337" t="s">
        <v>73</v>
      </c>
      <c r="E337" t="s">
        <v>29</v>
      </c>
      <c r="F337">
        <v>60</v>
      </c>
      <c r="G337" t="s">
        <v>94</v>
      </c>
      <c r="H337" t="s">
        <v>31</v>
      </c>
      <c r="I337" t="s">
        <v>94</v>
      </c>
      <c r="J337" t="s">
        <v>62</v>
      </c>
      <c r="K337">
        <v>2</v>
      </c>
      <c r="L337">
        <v>4505</v>
      </c>
      <c r="M337">
        <v>15</v>
      </c>
      <c r="N337">
        <v>1351.5</v>
      </c>
      <c r="O337">
        <v>1378.53</v>
      </c>
      <c r="P337">
        <v>135</v>
      </c>
      <c r="Q337">
        <v>9172.0300000000007</v>
      </c>
      <c r="R337" t="s">
        <v>45</v>
      </c>
      <c r="S337" t="s">
        <v>63</v>
      </c>
      <c r="T337" t="s">
        <v>55</v>
      </c>
      <c r="U337" t="s">
        <v>56</v>
      </c>
      <c r="V337" t="s">
        <v>57</v>
      </c>
      <c r="W337">
        <v>8</v>
      </c>
      <c r="X337" t="s">
        <v>38</v>
      </c>
      <c r="Y337">
        <v>1</v>
      </c>
      <c r="Z337" t="s">
        <v>47</v>
      </c>
    </row>
    <row r="338" spans="1:26" x14ac:dyDescent="0.3">
      <c r="A338" t="s">
        <v>705</v>
      </c>
      <c r="B338" s="2">
        <v>46020</v>
      </c>
      <c r="C338" t="s">
        <v>706</v>
      </c>
      <c r="D338" t="s">
        <v>42</v>
      </c>
      <c r="E338" t="s">
        <v>43</v>
      </c>
      <c r="F338">
        <v>35</v>
      </c>
      <c r="G338" t="s">
        <v>90</v>
      </c>
      <c r="H338" t="s">
        <v>31</v>
      </c>
      <c r="I338" t="s">
        <v>90</v>
      </c>
      <c r="J338" t="s">
        <v>32</v>
      </c>
      <c r="K338">
        <v>2</v>
      </c>
      <c r="L338">
        <v>24276</v>
      </c>
      <c r="M338">
        <v>0</v>
      </c>
      <c r="N338">
        <v>0</v>
      </c>
      <c r="O338">
        <v>8739.36</v>
      </c>
      <c r="P338">
        <v>242</v>
      </c>
      <c r="Q338">
        <v>57533.36</v>
      </c>
      <c r="R338" t="s">
        <v>83</v>
      </c>
      <c r="S338" t="s">
        <v>34</v>
      </c>
      <c r="T338" t="s">
        <v>35</v>
      </c>
      <c r="U338" t="s">
        <v>36</v>
      </c>
      <c r="V338" t="s">
        <v>37</v>
      </c>
      <c r="W338">
        <v>5</v>
      </c>
      <c r="X338" t="s">
        <v>47</v>
      </c>
      <c r="Y338">
        <v>3</v>
      </c>
      <c r="Z338" t="s">
        <v>91</v>
      </c>
    </row>
    <row r="339" spans="1:26" x14ac:dyDescent="0.3">
      <c r="A339" t="s">
        <v>707</v>
      </c>
      <c r="B339" s="2">
        <v>45886</v>
      </c>
      <c r="C339" t="s">
        <v>568</v>
      </c>
      <c r="D339" t="s">
        <v>89</v>
      </c>
      <c r="E339" t="s">
        <v>43</v>
      </c>
      <c r="F339">
        <v>60</v>
      </c>
      <c r="G339" t="s">
        <v>51</v>
      </c>
      <c r="H339" t="s">
        <v>52</v>
      </c>
      <c r="I339" t="s">
        <v>51</v>
      </c>
      <c r="J339" t="s">
        <v>32</v>
      </c>
      <c r="K339">
        <v>3</v>
      </c>
      <c r="L339">
        <v>2724</v>
      </c>
      <c r="M339">
        <v>15</v>
      </c>
      <c r="N339">
        <v>1225.8</v>
      </c>
      <c r="O339">
        <v>1250.32</v>
      </c>
      <c r="P339">
        <v>21</v>
      </c>
      <c r="Q339">
        <v>8217.52</v>
      </c>
      <c r="R339" t="s">
        <v>45</v>
      </c>
      <c r="S339" t="s">
        <v>34</v>
      </c>
      <c r="T339" t="s">
        <v>84</v>
      </c>
      <c r="U339" t="s">
        <v>85</v>
      </c>
      <c r="V339" t="s">
        <v>86</v>
      </c>
      <c r="W339">
        <v>2</v>
      </c>
      <c r="X339" t="s">
        <v>47</v>
      </c>
      <c r="Y339">
        <v>2</v>
      </c>
      <c r="Z339" t="s">
        <v>39</v>
      </c>
    </row>
    <row r="340" spans="1:26" x14ac:dyDescent="0.3">
      <c r="A340" t="s">
        <v>708</v>
      </c>
      <c r="B340" s="2">
        <v>46019</v>
      </c>
      <c r="C340" t="s">
        <v>709</v>
      </c>
      <c r="D340" t="s">
        <v>66</v>
      </c>
      <c r="E340" t="s">
        <v>29</v>
      </c>
      <c r="F340">
        <v>36</v>
      </c>
      <c r="G340" t="s">
        <v>30</v>
      </c>
      <c r="H340" t="s">
        <v>31</v>
      </c>
      <c r="I340" t="s">
        <v>30</v>
      </c>
      <c r="J340" t="s">
        <v>125</v>
      </c>
      <c r="K340">
        <v>4</v>
      </c>
      <c r="L340">
        <v>37327</v>
      </c>
      <c r="M340">
        <v>15</v>
      </c>
      <c r="N340">
        <v>22396.2</v>
      </c>
      <c r="O340">
        <v>22844.12</v>
      </c>
      <c r="P340">
        <v>36</v>
      </c>
      <c r="Q340">
        <v>149791.92000000001</v>
      </c>
      <c r="R340" t="s">
        <v>83</v>
      </c>
      <c r="S340" t="s">
        <v>63</v>
      </c>
      <c r="T340" t="s">
        <v>95</v>
      </c>
      <c r="U340" t="s">
        <v>96</v>
      </c>
      <c r="V340" t="s">
        <v>57</v>
      </c>
      <c r="W340">
        <v>10</v>
      </c>
      <c r="X340" t="s">
        <v>38</v>
      </c>
      <c r="Y340">
        <v>4</v>
      </c>
      <c r="Z340" t="s">
        <v>47</v>
      </c>
    </row>
    <row r="341" spans="1:26" x14ac:dyDescent="0.3">
      <c r="A341" t="s">
        <v>710</v>
      </c>
      <c r="B341" s="2">
        <v>46072</v>
      </c>
      <c r="C341" t="s">
        <v>711</v>
      </c>
      <c r="D341" t="s">
        <v>108</v>
      </c>
      <c r="E341" t="s">
        <v>29</v>
      </c>
      <c r="F341">
        <v>28</v>
      </c>
      <c r="G341" t="s">
        <v>90</v>
      </c>
      <c r="H341" t="s">
        <v>31</v>
      </c>
      <c r="I341" t="s">
        <v>90</v>
      </c>
      <c r="J341" t="s">
        <v>112</v>
      </c>
      <c r="K341">
        <v>5</v>
      </c>
      <c r="L341">
        <v>26465</v>
      </c>
      <c r="M341">
        <v>5</v>
      </c>
      <c r="N341">
        <v>6616.25</v>
      </c>
      <c r="O341">
        <v>22627.58</v>
      </c>
      <c r="P341">
        <v>473</v>
      </c>
      <c r="Q341">
        <v>148809.32999999999</v>
      </c>
      <c r="R341" t="s">
        <v>33</v>
      </c>
      <c r="S341" t="s">
        <v>63</v>
      </c>
      <c r="T341" t="s">
        <v>35</v>
      </c>
      <c r="U341" t="s">
        <v>36</v>
      </c>
      <c r="V341" t="s">
        <v>37</v>
      </c>
      <c r="W341">
        <v>1</v>
      </c>
      <c r="X341" t="s">
        <v>38</v>
      </c>
      <c r="Y341">
        <v>5</v>
      </c>
      <c r="Z341" t="s">
        <v>58</v>
      </c>
    </row>
    <row r="342" spans="1:26" x14ac:dyDescent="0.3">
      <c r="A342" t="s">
        <v>712</v>
      </c>
      <c r="B342" s="2">
        <v>46104</v>
      </c>
      <c r="C342" t="s">
        <v>713</v>
      </c>
      <c r="D342" t="s">
        <v>50</v>
      </c>
      <c r="E342" t="s">
        <v>43</v>
      </c>
      <c r="F342">
        <v>37</v>
      </c>
      <c r="G342" t="s">
        <v>67</v>
      </c>
      <c r="H342" t="s">
        <v>68</v>
      </c>
      <c r="I342" t="s">
        <v>67</v>
      </c>
      <c r="J342" t="s">
        <v>69</v>
      </c>
      <c r="K342">
        <v>2</v>
      </c>
      <c r="L342">
        <v>27129</v>
      </c>
      <c r="M342">
        <v>15</v>
      </c>
      <c r="N342">
        <v>8138.7</v>
      </c>
      <c r="O342">
        <v>8301.4699999999993</v>
      </c>
      <c r="P342">
        <v>47</v>
      </c>
      <c r="Q342">
        <v>54467.77</v>
      </c>
      <c r="R342" t="s">
        <v>83</v>
      </c>
      <c r="S342" t="s">
        <v>34</v>
      </c>
      <c r="T342" t="s">
        <v>95</v>
      </c>
      <c r="U342" t="s">
        <v>96</v>
      </c>
      <c r="V342" t="s">
        <v>57</v>
      </c>
      <c r="W342">
        <v>3</v>
      </c>
      <c r="X342" t="s">
        <v>38</v>
      </c>
      <c r="Y342">
        <v>4</v>
      </c>
      <c r="Z342" t="s">
        <v>58</v>
      </c>
    </row>
    <row r="343" spans="1:26" x14ac:dyDescent="0.3">
      <c r="A343" t="s">
        <v>714</v>
      </c>
      <c r="B343" s="2">
        <v>45848</v>
      </c>
      <c r="C343" t="s">
        <v>715</v>
      </c>
      <c r="D343" t="s">
        <v>111</v>
      </c>
      <c r="E343" t="s">
        <v>43</v>
      </c>
      <c r="F343">
        <v>44</v>
      </c>
      <c r="G343" t="s">
        <v>134</v>
      </c>
      <c r="H343" t="s">
        <v>31</v>
      </c>
      <c r="I343" t="s">
        <v>134</v>
      </c>
      <c r="J343" t="s">
        <v>69</v>
      </c>
      <c r="K343">
        <v>2</v>
      </c>
      <c r="L343">
        <v>37005</v>
      </c>
      <c r="M343">
        <v>0</v>
      </c>
      <c r="N343">
        <v>0</v>
      </c>
      <c r="O343">
        <v>13321.8</v>
      </c>
      <c r="P343">
        <v>458</v>
      </c>
      <c r="Q343">
        <v>87789.8</v>
      </c>
      <c r="R343" t="s">
        <v>33</v>
      </c>
      <c r="S343" t="s">
        <v>34</v>
      </c>
      <c r="T343" t="s">
        <v>35</v>
      </c>
      <c r="U343" t="s">
        <v>36</v>
      </c>
      <c r="V343" t="s">
        <v>37</v>
      </c>
      <c r="W343">
        <v>8</v>
      </c>
      <c r="X343" t="s">
        <v>47</v>
      </c>
      <c r="Y343">
        <v>4</v>
      </c>
      <c r="Z343" t="s">
        <v>47</v>
      </c>
    </row>
    <row r="344" spans="1:26" x14ac:dyDescent="0.3">
      <c r="A344" t="s">
        <v>716</v>
      </c>
      <c r="B344" s="2">
        <v>45820</v>
      </c>
      <c r="C344" t="s">
        <v>342</v>
      </c>
      <c r="D344" t="s">
        <v>61</v>
      </c>
      <c r="E344" t="s">
        <v>29</v>
      </c>
      <c r="F344">
        <v>36</v>
      </c>
      <c r="G344" t="s">
        <v>30</v>
      </c>
      <c r="H344" t="s">
        <v>31</v>
      </c>
      <c r="I344" t="s">
        <v>30</v>
      </c>
      <c r="J344" t="s">
        <v>75</v>
      </c>
      <c r="K344">
        <v>1</v>
      </c>
      <c r="L344">
        <v>42523</v>
      </c>
      <c r="M344">
        <v>10</v>
      </c>
      <c r="N344">
        <v>4252.3</v>
      </c>
      <c r="O344">
        <v>6888.73</v>
      </c>
      <c r="P344">
        <v>150</v>
      </c>
      <c r="Q344">
        <v>45309.43</v>
      </c>
      <c r="R344" t="s">
        <v>33</v>
      </c>
      <c r="S344" t="s">
        <v>34</v>
      </c>
      <c r="T344" t="s">
        <v>76</v>
      </c>
      <c r="U344" t="s">
        <v>77</v>
      </c>
      <c r="V344" t="s">
        <v>57</v>
      </c>
      <c r="W344">
        <v>9</v>
      </c>
      <c r="X344" t="s">
        <v>47</v>
      </c>
      <c r="Y344">
        <v>2</v>
      </c>
      <c r="Z344" t="s">
        <v>58</v>
      </c>
    </row>
    <row r="345" spans="1:26" x14ac:dyDescent="0.3">
      <c r="A345" t="s">
        <v>717</v>
      </c>
      <c r="B345" s="2">
        <v>46118</v>
      </c>
      <c r="C345" t="s">
        <v>101</v>
      </c>
      <c r="D345" t="s">
        <v>28</v>
      </c>
      <c r="E345" t="s">
        <v>43</v>
      </c>
      <c r="F345">
        <v>45</v>
      </c>
      <c r="G345" t="s">
        <v>44</v>
      </c>
      <c r="H345" t="s">
        <v>31</v>
      </c>
      <c r="I345" t="s">
        <v>44</v>
      </c>
      <c r="J345" t="s">
        <v>62</v>
      </c>
      <c r="K345">
        <v>4</v>
      </c>
      <c r="L345">
        <v>20804</v>
      </c>
      <c r="M345">
        <v>0</v>
      </c>
      <c r="N345">
        <v>0</v>
      </c>
      <c r="O345">
        <v>14978.88</v>
      </c>
      <c r="P345">
        <v>308</v>
      </c>
      <c r="Q345">
        <v>98502.88</v>
      </c>
      <c r="R345" t="s">
        <v>54</v>
      </c>
      <c r="S345" t="s">
        <v>34</v>
      </c>
      <c r="T345" t="s">
        <v>70</v>
      </c>
      <c r="U345" t="s">
        <v>56</v>
      </c>
      <c r="V345" t="s">
        <v>57</v>
      </c>
      <c r="W345">
        <v>4</v>
      </c>
      <c r="X345" t="s">
        <v>38</v>
      </c>
      <c r="Y345">
        <v>1</v>
      </c>
      <c r="Z345" t="s">
        <v>47</v>
      </c>
    </row>
    <row r="346" spans="1:26" x14ac:dyDescent="0.3">
      <c r="A346" t="s">
        <v>718</v>
      </c>
      <c r="B346" s="2">
        <v>46038</v>
      </c>
      <c r="C346" t="s">
        <v>719</v>
      </c>
      <c r="D346" t="s">
        <v>73</v>
      </c>
      <c r="E346" t="s">
        <v>43</v>
      </c>
      <c r="F346">
        <v>28</v>
      </c>
      <c r="G346" t="s">
        <v>90</v>
      </c>
      <c r="H346" t="s">
        <v>31</v>
      </c>
      <c r="I346" t="s">
        <v>90</v>
      </c>
      <c r="J346" t="s">
        <v>53</v>
      </c>
      <c r="K346">
        <v>1</v>
      </c>
      <c r="L346">
        <v>15992</v>
      </c>
      <c r="M346">
        <v>5</v>
      </c>
      <c r="N346">
        <v>799.6</v>
      </c>
      <c r="O346">
        <v>2734.63</v>
      </c>
      <c r="P346">
        <v>229</v>
      </c>
      <c r="Q346">
        <v>18156.03</v>
      </c>
      <c r="R346" t="s">
        <v>83</v>
      </c>
      <c r="S346" t="s">
        <v>63</v>
      </c>
      <c r="T346" t="s">
        <v>46</v>
      </c>
      <c r="U346" t="s">
        <v>36</v>
      </c>
      <c r="V346" t="s">
        <v>37</v>
      </c>
      <c r="W346">
        <v>9</v>
      </c>
      <c r="X346" t="s">
        <v>38</v>
      </c>
      <c r="Y346">
        <v>5</v>
      </c>
      <c r="Z346" t="s">
        <v>58</v>
      </c>
    </row>
    <row r="347" spans="1:26" x14ac:dyDescent="0.3">
      <c r="A347" t="s">
        <v>720</v>
      </c>
      <c r="B347" s="2">
        <v>46045</v>
      </c>
      <c r="C347" t="s">
        <v>82</v>
      </c>
      <c r="D347" t="s">
        <v>89</v>
      </c>
      <c r="E347" t="s">
        <v>43</v>
      </c>
      <c r="F347">
        <v>25</v>
      </c>
      <c r="G347" t="s">
        <v>51</v>
      </c>
      <c r="H347" t="s">
        <v>52</v>
      </c>
      <c r="I347" t="s">
        <v>51</v>
      </c>
      <c r="J347" t="s">
        <v>53</v>
      </c>
      <c r="K347">
        <v>5</v>
      </c>
      <c r="L347">
        <v>11797</v>
      </c>
      <c r="M347">
        <v>0</v>
      </c>
      <c r="N347">
        <v>0</v>
      </c>
      <c r="O347">
        <v>10617.3</v>
      </c>
      <c r="P347">
        <v>45</v>
      </c>
      <c r="Q347">
        <v>69647.3</v>
      </c>
      <c r="R347" t="s">
        <v>54</v>
      </c>
      <c r="S347" t="s">
        <v>63</v>
      </c>
      <c r="T347" t="s">
        <v>35</v>
      </c>
      <c r="U347" t="s">
        <v>36</v>
      </c>
      <c r="V347" t="s">
        <v>37</v>
      </c>
      <c r="W347">
        <v>3</v>
      </c>
      <c r="X347" t="s">
        <v>38</v>
      </c>
      <c r="Y347">
        <v>4</v>
      </c>
      <c r="Z347" t="s">
        <v>39</v>
      </c>
    </row>
    <row r="348" spans="1:26" x14ac:dyDescent="0.3">
      <c r="A348" t="s">
        <v>721</v>
      </c>
      <c r="B348" s="2">
        <v>45766</v>
      </c>
      <c r="C348" t="s">
        <v>722</v>
      </c>
      <c r="D348" t="s">
        <v>111</v>
      </c>
      <c r="E348" t="s">
        <v>43</v>
      </c>
      <c r="F348">
        <v>27</v>
      </c>
      <c r="G348" t="s">
        <v>67</v>
      </c>
      <c r="H348" t="s">
        <v>68</v>
      </c>
      <c r="I348" t="s">
        <v>67</v>
      </c>
      <c r="J348" t="s">
        <v>201</v>
      </c>
      <c r="K348">
        <v>1</v>
      </c>
      <c r="L348">
        <v>46166</v>
      </c>
      <c r="M348">
        <v>15</v>
      </c>
      <c r="N348">
        <v>6924.9</v>
      </c>
      <c r="O348">
        <v>7063.4</v>
      </c>
      <c r="P348">
        <v>461</v>
      </c>
      <c r="Q348">
        <v>46765.5</v>
      </c>
      <c r="R348" t="s">
        <v>54</v>
      </c>
      <c r="S348" t="s">
        <v>34</v>
      </c>
      <c r="T348" t="s">
        <v>46</v>
      </c>
      <c r="U348" t="s">
        <v>36</v>
      </c>
      <c r="V348" t="s">
        <v>37</v>
      </c>
      <c r="W348">
        <v>10</v>
      </c>
      <c r="X348" t="s">
        <v>47</v>
      </c>
      <c r="Y348">
        <v>5</v>
      </c>
      <c r="Z348" t="s">
        <v>47</v>
      </c>
    </row>
    <row r="349" spans="1:26" x14ac:dyDescent="0.3">
      <c r="A349" t="s">
        <v>723</v>
      </c>
      <c r="B349" s="2">
        <v>45763</v>
      </c>
      <c r="C349" t="s">
        <v>724</v>
      </c>
      <c r="D349" t="s">
        <v>50</v>
      </c>
      <c r="E349" t="s">
        <v>29</v>
      </c>
      <c r="F349">
        <v>37</v>
      </c>
      <c r="G349" t="s">
        <v>90</v>
      </c>
      <c r="H349" t="s">
        <v>31</v>
      </c>
      <c r="I349" t="s">
        <v>90</v>
      </c>
      <c r="J349" t="s">
        <v>53</v>
      </c>
      <c r="K349">
        <v>1</v>
      </c>
      <c r="L349">
        <v>36991</v>
      </c>
      <c r="M349">
        <v>10</v>
      </c>
      <c r="N349">
        <v>3699.1</v>
      </c>
      <c r="O349">
        <v>5992.54</v>
      </c>
      <c r="P349">
        <v>357</v>
      </c>
      <c r="Q349">
        <v>39641.440000000002</v>
      </c>
      <c r="R349" t="s">
        <v>54</v>
      </c>
      <c r="S349" t="s">
        <v>63</v>
      </c>
      <c r="T349" t="s">
        <v>103</v>
      </c>
      <c r="U349" t="s">
        <v>103</v>
      </c>
      <c r="V349" t="s">
        <v>57</v>
      </c>
      <c r="W349">
        <v>1</v>
      </c>
      <c r="X349" t="s">
        <v>38</v>
      </c>
      <c r="Y349">
        <v>3</v>
      </c>
      <c r="Z349" t="s">
        <v>39</v>
      </c>
    </row>
    <row r="350" spans="1:26" x14ac:dyDescent="0.3">
      <c r="A350" t="s">
        <v>725</v>
      </c>
      <c r="B350" s="2">
        <v>45862</v>
      </c>
      <c r="C350" t="s">
        <v>526</v>
      </c>
      <c r="D350" t="s">
        <v>73</v>
      </c>
      <c r="E350" t="s">
        <v>29</v>
      </c>
      <c r="F350">
        <v>30</v>
      </c>
      <c r="G350" t="s">
        <v>51</v>
      </c>
      <c r="H350" t="s">
        <v>52</v>
      </c>
      <c r="I350" t="s">
        <v>51</v>
      </c>
      <c r="J350" t="s">
        <v>150</v>
      </c>
      <c r="K350">
        <v>4</v>
      </c>
      <c r="L350">
        <v>28780</v>
      </c>
      <c r="M350">
        <v>15</v>
      </c>
      <c r="N350">
        <v>17268</v>
      </c>
      <c r="O350">
        <v>17613.36</v>
      </c>
      <c r="P350">
        <v>127</v>
      </c>
      <c r="Q350">
        <v>115592.36</v>
      </c>
      <c r="R350" t="s">
        <v>83</v>
      </c>
      <c r="S350" t="s">
        <v>63</v>
      </c>
      <c r="T350" t="s">
        <v>70</v>
      </c>
      <c r="U350" t="s">
        <v>56</v>
      </c>
      <c r="V350" t="s">
        <v>57</v>
      </c>
      <c r="W350">
        <v>6</v>
      </c>
      <c r="X350" t="s">
        <v>47</v>
      </c>
      <c r="Y350">
        <v>3</v>
      </c>
      <c r="Z350" t="s">
        <v>39</v>
      </c>
    </row>
    <row r="351" spans="1:26" x14ac:dyDescent="0.3">
      <c r="A351" t="s">
        <v>726</v>
      </c>
      <c r="B351" s="2">
        <v>45832</v>
      </c>
      <c r="C351" t="s">
        <v>631</v>
      </c>
      <c r="D351" t="s">
        <v>50</v>
      </c>
      <c r="E351" t="s">
        <v>29</v>
      </c>
      <c r="F351">
        <v>54</v>
      </c>
      <c r="G351" t="s">
        <v>94</v>
      </c>
      <c r="H351" t="s">
        <v>31</v>
      </c>
      <c r="I351" t="s">
        <v>94</v>
      </c>
      <c r="J351" t="s">
        <v>75</v>
      </c>
      <c r="K351">
        <v>4</v>
      </c>
      <c r="L351">
        <v>18388</v>
      </c>
      <c r="M351">
        <v>20</v>
      </c>
      <c r="N351">
        <v>14710.4</v>
      </c>
      <c r="O351">
        <v>10591.49</v>
      </c>
      <c r="P351">
        <v>469</v>
      </c>
      <c r="Q351">
        <v>69902.09</v>
      </c>
      <c r="R351" t="s">
        <v>83</v>
      </c>
      <c r="S351" t="s">
        <v>63</v>
      </c>
      <c r="T351" t="s">
        <v>35</v>
      </c>
      <c r="U351" t="s">
        <v>36</v>
      </c>
      <c r="V351" t="s">
        <v>37</v>
      </c>
      <c r="W351">
        <v>4</v>
      </c>
      <c r="X351" t="s">
        <v>47</v>
      </c>
      <c r="Y351">
        <v>4</v>
      </c>
      <c r="Z351" t="s">
        <v>91</v>
      </c>
    </row>
    <row r="352" spans="1:26" x14ac:dyDescent="0.3">
      <c r="A352" t="s">
        <v>727</v>
      </c>
      <c r="B352" s="2">
        <v>46108</v>
      </c>
      <c r="C352" t="s">
        <v>728</v>
      </c>
      <c r="D352" t="s">
        <v>111</v>
      </c>
      <c r="E352" t="s">
        <v>43</v>
      </c>
      <c r="F352">
        <v>50</v>
      </c>
      <c r="G352" t="s">
        <v>44</v>
      </c>
      <c r="H352" t="s">
        <v>31</v>
      </c>
      <c r="I352" t="s">
        <v>44</v>
      </c>
      <c r="J352" t="s">
        <v>53</v>
      </c>
      <c r="K352">
        <v>4</v>
      </c>
      <c r="L352">
        <v>31950</v>
      </c>
      <c r="M352">
        <v>0</v>
      </c>
      <c r="N352">
        <v>0</v>
      </c>
      <c r="O352">
        <v>23004</v>
      </c>
      <c r="P352">
        <v>50</v>
      </c>
      <c r="Q352">
        <v>150854</v>
      </c>
      <c r="R352" t="s">
        <v>83</v>
      </c>
      <c r="S352" t="s">
        <v>34</v>
      </c>
      <c r="T352" t="s">
        <v>35</v>
      </c>
      <c r="U352" t="s">
        <v>36</v>
      </c>
      <c r="V352" t="s">
        <v>37</v>
      </c>
      <c r="W352">
        <v>6</v>
      </c>
      <c r="X352" t="s">
        <v>38</v>
      </c>
      <c r="Y352">
        <v>4</v>
      </c>
      <c r="Z352" t="s">
        <v>58</v>
      </c>
    </row>
    <row r="353" spans="1:26" x14ac:dyDescent="0.3">
      <c r="A353" t="s">
        <v>729</v>
      </c>
      <c r="B353" s="2">
        <v>46025</v>
      </c>
      <c r="C353" t="s">
        <v>730</v>
      </c>
      <c r="D353" t="s">
        <v>111</v>
      </c>
      <c r="E353" t="s">
        <v>29</v>
      </c>
      <c r="F353">
        <v>38</v>
      </c>
      <c r="G353" t="s">
        <v>44</v>
      </c>
      <c r="H353" t="s">
        <v>31</v>
      </c>
      <c r="I353" t="s">
        <v>44</v>
      </c>
      <c r="J353" t="s">
        <v>75</v>
      </c>
      <c r="K353">
        <v>1</v>
      </c>
      <c r="L353">
        <v>35608</v>
      </c>
      <c r="M353">
        <v>20</v>
      </c>
      <c r="N353">
        <v>7121.6</v>
      </c>
      <c r="O353">
        <v>5127.55</v>
      </c>
      <c r="P353">
        <v>412</v>
      </c>
      <c r="Q353">
        <v>34025.949999999997</v>
      </c>
      <c r="R353" t="s">
        <v>83</v>
      </c>
      <c r="S353" t="s">
        <v>63</v>
      </c>
      <c r="T353" t="s">
        <v>70</v>
      </c>
      <c r="U353" t="s">
        <v>56</v>
      </c>
      <c r="V353" t="s">
        <v>57</v>
      </c>
      <c r="W353">
        <v>10</v>
      </c>
      <c r="X353" t="s">
        <v>47</v>
      </c>
      <c r="Y353">
        <v>2</v>
      </c>
      <c r="Z353" t="s">
        <v>91</v>
      </c>
    </row>
    <row r="354" spans="1:26" x14ac:dyDescent="0.3">
      <c r="A354" t="s">
        <v>731</v>
      </c>
      <c r="B354" s="2">
        <v>45910</v>
      </c>
      <c r="C354" t="s">
        <v>138</v>
      </c>
      <c r="D354" t="s">
        <v>42</v>
      </c>
      <c r="E354" t="s">
        <v>29</v>
      </c>
      <c r="F354">
        <v>56</v>
      </c>
      <c r="G354" t="s">
        <v>30</v>
      </c>
      <c r="H354" t="s">
        <v>31</v>
      </c>
      <c r="I354" t="s">
        <v>30</v>
      </c>
      <c r="J354" t="s">
        <v>102</v>
      </c>
      <c r="K354">
        <v>5</v>
      </c>
      <c r="L354">
        <v>23093</v>
      </c>
      <c r="M354">
        <v>0</v>
      </c>
      <c r="N354">
        <v>0</v>
      </c>
      <c r="O354">
        <v>20783.7</v>
      </c>
      <c r="P354">
        <v>59</v>
      </c>
      <c r="Q354">
        <v>136307.70000000001</v>
      </c>
      <c r="R354" t="s">
        <v>45</v>
      </c>
      <c r="S354" t="s">
        <v>63</v>
      </c>
      <c r="T354" t="s">
        <v>76</v>
      </c>
      <c r="U354" t="s">
        <v>77</v>
      </c>
      <c r="V354" t="s">
        <v>57</v>
      </c>
      <c r="W354">
        <v>6</v>
      </c>
      <c r="X354" t="s">
        <v>38</v>
      </c>
      <c r="Y354">
        <v>2</v>
      </c>
      <c r="Z354" t="s">
        <v>58</v>
      </c>
    </row>
    <row r="355" spans="1:26" x14ac:dyDescent="0.3">
      <c r="A355" t="s">
        <v>732</v>
      </c>
      <c r="B355" s="2">
        <v>45986</v>
      </c>
      <c r="C355" t="s">
        <v>455</v>
      </c>
      <c r="D355" t="s">
        <v>42</v>
      </c>
      <c r="E355" t="s">
        <v>43</v>
      </c>
      <c r="F355">
        <v>54</v>
      </c>
      <c r="G355" t="s">
        <v>90</v>
      </c>
      <c r="H355" t="s">
        <v>31</v>
      </c>
      <c r="I355" t="s">
        <v>90</v>
      </c>
      <c r="J355" t="s">
        <v>102</v>
      </c>
      <c r="K355">
        <v>4</v>
      </c>
      <c r="L355">
        <v>27882</v>
      </c>
      <c r="M355">
        <v>10</v>
      </c>
      <c r="N355">
        <v>11152.8</v>
      </c>
      <c r="O355">
        <v>18067.54</v>
      </c>
      <c r="P355">
        <v>288</v>
      </c>
      <c r="Q355">
        <v>118730.74</v>
      </c>
      <c r="R355" t="s">
        <v>33</v>
      </c>
      <c r="S355" t="s">
        <v>63</v>
      </c>
      <c r="T355" t="s">
        <v>35</v>
      </c>
      <c r="U355" t="s">
        <v>36</v>
      </c>
      <c r="V355" t="s">
        <v>37</v>
      </c>
      <c r="W355">
        <v>7</v>
      </c>
      <c r="X355" t="s">
        <v>47</v>
      </c>
      <c r="Y355">
        <v>1</v>
      </c>
      <c r="Z355" t="s">
        <v>47</v>
      </c>
    </row>
    <row r="356" spans="1:26" x14ac:dyDescent="0.3">
      <c r="A356" t="s">
        <v>733</v>
      </c>
      <c r="B356" s="2">
        <v>46059</v>
      </c>
      <c r="C356" t="s">
        <v>734</v>
      </c>
      <c r="D356" t="s">
        <v>61</v>
      </c>
      <c r="E356" t="s">
        <v>43</v>
      </c>
      <c r="F356">
        <v>39</v>
      </c>
      <c r="G356" t="s">
        <v>134</v>
      </c>
      <c r="H356" t="s">
        <v>31</v>
      </c>
      <c r="I356" t="s">
        <v>134</v>
      </c>
      <c r="J356" t="s">
        <v>150</v>
      </c>
      <c r="K356">
        <v>2</v>
      </c>
      <c r="L356">
        <v>44930</v>
      </c>
      <c r="M356">
        <v>10</v>
      </c>
      <c r="N356">
        <v>8986</v>
      </c>
      <c r="O356">
        <v>14557.32</v>
      </c>
      <c r="P356">
        <v>262</v>
      </c>
      <c r="Q356">
        <v>95693.32</v>
      </c>
      <c r="R356" t="s">
        <v>54</v>
      </c>
      <c r="S356" t="s">
        <v>34</v>
      </c>
      <c r="T356" t="s">
        <v>46</v>
      </c>
      <c r="U356" t="s">
        <v>36</v>
      </c>
      <c r="V356" t="s">
        <v>37</v>
      </c>
      <c r="W356">
        <v>4</v>
      </c>
      <c r="X356" t="s">
        <v>38</v>
      </c>
      <c r="Y356">
        <v>1</v>
      </c>
      <c r="Z356" t="s">
        <v>91</v>
      </c>
    </row>
    <row r="357" spans="1:26" x14ac:dyDescent="0.3">
      <c r="A357" t="s">
        <v>735</v>
      </c>
      <c r="B357" s="2">
        <v>46010</v>
      </c>
      <c r="C357" t="s">
        <v>305</v>
      </c>
      <c r="D357" t="s">
        <v>42</v>
      </c>
      <c r="E357" t="s">
        <v>43</v>
      </c>
      <c r="F357">
        <v>51</v>
      </c>
      <c r="G357" t="s">
        <v>139</v>
      </c>
      <c r="H357" t="s">
        <v>31</v>
      </c>
      <c r="I357" t="s">
        <v>139</v>
      </c>
      <c r="J357" t="s">
        <v>53</v>
      </c>
      <c r="K357">
        <v>2</v>
      </c>
      <c r="L357">
        <v>32991</v>
      </c>
      <c r="M357">
        <v>5</v>
      </c>
      <c r="N357">
        <v>3299.1</v>
      </c>
      <c r="O357">
        <v>11282.92</v>
      </c>
      <c r="P357">
        <v>307</v>
      </c>
      <c r="Q357">
        <v>74272.820000000007</v>
      </c>
      <c r="R357" t="s">
        <v>54</v>
      </c>
      <c r="S357" t="s">
        <v>63</v>
      </c>
      <c r="T357" t="s">
        <v>35</v>
      </c>
      <c r="U357" t="s">
        <v>36</v>
      </c>
      <c r="V357" t="s">
        <v>37</v>
      </c>
      <c r="W357">
        <v>6</v>
      </c>
      <c r="X357" t="s">
        <v>47</v>
      </c>
      <c r="Y357">
        <v>4</v>
      </c>
      <c r="Z357" t="s">
        <v>47</v>
      </c>
    </row>
    <row r="358" spans="1:26" x14ac:dyDescent="0.3">
      <c r="A358" t="s">
        <v>736</v>
      </c>
      <c r="B358" s="2">
        <v>46051</v>
      </c>
      <c r="C358" t="s">
        <v>332</v>
      </c>
      <c r="D358" t="s">
        <v>108</v>
      </c>
      <c r="E358" t="s">
        <v>43</v>
      </c>
      <c r="F358">
        <v>41</v>
      </c>
      <c r="G358" t="s">
        <v>44</v>
      </c>
      <c r="H358" t="s">
        <v>31</v>
      </c>
      <c r="I358" t="s">
        <v>44</v>
      </c>
      <c r="J358" t="s">
        <v>69</v>
      </c>
      <c r="K358">
        <v>5</v>
      </c>
      <c r="L358">
        <v>45961</v>
      </c>
      <c r="M358">
        <v>15</v>
      </c>
      <c r="N358">
        <v>34470.75</v>
      </c>
      <c r="O358">
        <v>35160.17</v>
      </c>
      <c r="P358">
        <v>329</v>
      </c>
      <c r="Q358">
        <v>230823.42</v>
      </c>
      <c r="R358" t="s">
        <v>54</v>
      </c>
      <c r="S358" t="s">
        <v>34</v>
      </c>
      <c r="T358" t="s">
        <v>84</v>
      </c>
      <c r="U358" t="s">
        <v>85</v>
      </c>
      <c r="V358" t="s">
        <v>86</v>
      </c>
      <c r="W358">
        <v>10</v>
      </c>
      <c r="X358" t="s">
        <v>47</v>
      </c>
      <c r="Y358">
        <v>1</v>
      </c>
      <c r="Z358" t="s">
        <v>58</v>
      </c>
    </row>
    <row r="359" spans="1:26" x14ac:dyDescent="0.3">
      <c r="A359" t="s">
        <v>737</v>
      </c>
      <c r="B359" s="2">
        <v>45907</v>
      </c>
      <c r="C359" t="s">
        <v>738</v>
      </c>
      <c r="D359" t="s">
        <v>28</v>
      </c>
      <c r="E359" t="s">
        <v>43</v>
      </c>
      <c r="F359">
        <v>35</v>
      </c>
      <c r="G359" t="s">
        <v>90</v>
      </c>
      <c r="H359" t="s">
        <v>31</v>
      </c>
      <c r="I359" t="s">
        <v>90</v>
      </c>
      <c r="J359" t="s">
        <v>69</v>
      </c>
      <c r="K359">
        <v>1</v>
      </c>
      <c r="L359">
        <v>31904</v>
      </c>
      <c r="M359">
        <v>5</v>
      </c>
      <c r="N359">
        <v>1595.2</v>
      </c>
      <c r="O359">
        <v>5455.58</v>
      </c>
      <c r="P359">
        <v>374</v>
      </c>
      <c r="Q359">
        <v>36138.379999999997</v>
      </c>
      <c r="R359" t="s">
        <v>54</v>
      </c>
      <c r="S359" t="s">
        <v>63</v>
      </c>
      <c r="T359" t="s">
        <v>84</v>
      </c>
      <c r="U359" t="s">
        <v>85</v>
      </c>
      <c r="V359" t="s">
        <v>86</v>
      </c>
      <c r="W359">
        <v>6</v>
      </c>
      <c r="X359" t="s">
        <v>47</v>
      </c>
      <c r="Y359">
        <v>3</v>
      </c>
      <c r="Z359" t="s">
        <v>47</v>
      </c>
    </row>
    <row r="360" spans="1:26" x14ac:dyDescent="0.3">
      <c r="A360" t="s">
        <v>739</v>
      </c>
      <c r="B360" s="2">
        <v>46081</v>
      </c>
      <c r="C360" t="s">
        <v>740</v>
      </c>
      <c r="D360" t="s">
        <v>108</v>
      </c>
      <c r="E360" t="s">
        <v>43</v>
      </c>
      <c r="F360">
        <v>46</v>
      </c>
      <c r="G360" t="s">
        <v>134</v>
      </c>
      <c r="H360" t="s">
        <v>31</v>
      </c>
      <c r="I360" t="s">
        <v>134</v>
      </c>
      <c r="J360" t="s">
        <v>125</v>
      </c>
      <c r="K360">
        <v>1</v>
      </c>
      <c r="L360">
        <v>33120</v>
      </c>
      <c r="M360">
        <v>0</v>
      </c>
      <c r="N360">
        <v>0</v>
      </c>
      <c r="O360">
        <v>5961.6</v>
      </c>
      <c r="P360">
        <v>154</v>
      </c>
      <c r="Q360">
        <v>39235.599999999999</v>
      </c>
      <c r="R360" t="s">
        <v>83</v>
      </c>
      <c r="S360" t="s">
        <v>63</v>
      </c>
      <c r="T360" t="s">
        <v>84</v>
      </c>
      <c r="U360" t="s">
        <v>85</v>
      </c>
      <c r="V360" t="s">
        <v>86</v>
      </c>
      <c r="W360">
        <v>2</v>
      </c>
      <c r="X360" t="s">
        <v>47</v>
      </c>
      <c r="Y360">
        <v>4</v>
      </c>
      <c r="Z360" t="s">
        <v>58</v>
      </c>
    </row>
    <row r="361" spans="1:26" x14ac:dyDescent="0.3">
      <c r="A361" t="s">
        <v>741</v>
      </c>
      <c r="B361" s="2">
        <v>45899</v>
      </c>
      <c r="C361" t="s">
        <v>742</v>
      </c>
      <c r="D361" t="s">
        <v>61</v>
      </c>
      <c r="E361" t="s">
        <v>43</v>
      </c>
      <c r="F361">
        <v>47</v>
      </c>
      <c r="G361" t="s">
        <v>44</v>
      </c>
      <c r="H361" t="s">
        <v>31</v>
      </c>
      <c r="I361" t="s">
        <v>44</v>
      </c>
      <c r="J361" t="s">
        <v>75</v>
      </c>
      <c r="K361">
        <v>2</v>
      </c>
      <c r="L361">
        <v>39261</v>
      </c>
      <c r="M361">
        <v>0</v>
      </c>
      <c r="N361">
        <v>0</v>
      </c>
      <c r="O361">
        <v>14133.96</v>
      </c>
      <c r="P361">
        <v>437</v>
      </c>
      <c r="Q361">
        <v>93092.96</v>
      </c>
      <c r="R361" t="s">
        <v>54</v>
      </c>
      <c r="S361" t="s">
        <v>63</v>
      </c>
      <c r="T361" t="s">
        <v>84</v>
      </c>
      <c r="U361" t="s">
        <v>85</v>
      </c>
      <c r="V361" t="s">
        <v>86</v>
      </c>
      <c r="W361">
        <v>8</v>
      </c>
      <c r="X361" t="s">
        <v>47</v>
      </c>
      <c r="Y361">
        <v>1</v>
      </c>
      <c r="Z361" t="s">
        <v>47</v>
      </c>
    </row>
    <row r="362" spans="1:26" x14ac:dyDescent="0.3">
      <c r="A362" t="s">
        <v>743</v>
      </c>
      <c r="B362" s="2">
        <v>45990</v>
      </c>
      <c r="C362" t="s">
        <v>744</v>
      </c>
      <c r="D362" t="s">
        <v>80</v>
      </c>
      <c r="E362" t="s">
        <v>43</v>
      </c>
      <c r="F362">
        <v>56</v>
      </c>
      <c r="G362" t="s">
        <v>67</v>
      </c>
      <c r="H362" t="s">
        <v>68</v>
      </c>
      <c r="I362" t="s">
        <v>67</v>
      </c>
      <c r="J362" t="s">
        <v>53</v>
      </c>
      <c r="K362">
        <v>4</v>
      </c>
      <c r="L362">
        <v>20027</v>
      </c>
      <c r="M362">
        <v>10</v>
      </c>
      <c r="N362">
        <v>8010.8</v>
      </c>
      <c r="O362">
        <v>12977.5</v>
      </c>
      <c r="P362">
        <v>0</v>
      </c>
      <c r="Q362">
        <v>85074.7</v>
      </c>
      <c r="R362" t="s">
        <v>45</v>
      </c>
      <c r="S362" t="s">
        <v>63</v>
      </c>
      <c r="T362" t="s">
        <v>103</v>
      </c>
      <c r="U362" t="s">
        <v>103</v>
      </c>
      <c r="V362" t="s">
        <v>57</v>
      </c>
      <c r="W362">
        <v>1</v>
      </c>
      <c r="X362" t="s">
        <v>38</v>
      </c>
      <c r="Y362">
        <v>5</v>
      </c>
      <c r="Z362" t="s">
        <v>91</v>
      </c>
    </row>
    <row r="363" spans="1:26" x14ac:dyDescent="0.3">
      <c r="A363" t="s">
        <v>745</v>
      </c>
      <c r="B363" s="2">
        <v>45877</v>
      </c>
      <c r="C363" t="s">
        <v>746</v>
      </c>
      <c r="D363" t="s">
        <v>66</v>
      </c>
      <c r="E363" t="s">
        <v>29</v>
      </c>
      <c r="F363">
        <v>33</v>
      </c>
      <c r="G363" t="s">
        <v>139</v>
      </c>
      <c r="H363" t="s">
        <v>31</v>
      </c>
      <c r="I363" t="s">
        <v>139</v>
      </c>
      <c r="J363" t="s">
        <v>69</v>
      </c>
      <c r="K363">
        <v>2</v>
      </c>
      <c r="L363">
        <v>29124</v>
      </c>
      <c r="M363">
        <v>0</v>
      </c>
      <c r="N363">
        <v>0</v>
      </c>
      <c r="O363">
        <v>10484.64</v>
      </c>
      <c r="P363">
        <v>260</v>
      </c>
      <c r="Q363">
        <v>68992.639999999999</v>
      </c>
      <c r="R363" t="s">
        <v>33</v>
      </c>
      <c r="S363" t="s">
        <v>63</v>
      </c>
      <c r="T363" t="s">
        <v>103</v>
      </c>
      <c r="U363" t="s">
        <v>103</v>
      </c>
      <c r="V363" t="s">
        <v>57</v>
      </c>
      <c r="W363">
        <v>8</v>
      </c>
      <c r="X363" t="s">
        <v>38</v>
      </c>
      <c r="Y363">
        <v>5</v>
      </c>
      <c r="Z363" t="s">
        <v>58</v>
      </c>
    </row>
    <row r="364" spans="1:26" x14ac:dyDescent="0.3">
      <c r="A364" t="s">
        <v>747</v>
      </c>
      <c r="B364" s="2">
        <v>46029</v>
      </c>
      <c r="C364" t="s">
        <v>748</v>
      </c>
      <c r="D364" t="s">
        <v>89</v>
      </c>
      <c r="E364" t="s">
        <v>29</v>
      </c>
      <c r="F364">
        <v>24</v>
      </c>
      <c r="G364" t="s">
        <v>67</v>
      </c>
      <c r="H364" t="s">
        <v>68</v>
      </c>
      <c r="I364" t="s">
        <v>67</v>
      </c>
      <c r="J364" t="s">
        <v>150</v>
      </c>
      <c r="K364">
        <v>3</v>
      </c>
      <c r="L364">
        <v>34423</v>
      </c>
      <c r="M364">
        <v>10</v>
      </c>
      <c r="N364">
        <v>10326.9</v>
      </c>
      <c r="O364">
        <v>16729.580000000002</v>
      </c>
      <c r="P364">
        <v>223</v>
      </c>
      <c r="Q364">
        <v>109894.68</v>
      </c>
      <c r="R364" t="s">
        <v>83</v>
      </c>
      <c r="S364" t="s">
        <v>34</v>
      </c>
      <c r="T364" t="s">
        <v>95</v>
      </c>
      <c r="U364" t="s">
        <v>96</v>
      </c>
      <c r="V364" t="s">
        <v>57</v>
      </c>
      <c r="W364">
        <v>7</v>
      </c>
      <c r="X364" t="s">
        <v>47</v>
      </c>
      <c r="Y364">
        <v>4</v>
      </c>
      <c r="Z364" t="s">
        <v>91</v>
      </c>
    </row>
    <row r="365" spans="1:26" x14ac:dyDescent="0.3">
      <c r="A365" t="s">
        <v>749</v>
      </c>
      <c r="B365" s="2">
        <v>46027</v>
      </c>
      <c r="C365" t="s">
        <v>279</v>
      </c>
      <c r="D365" t="s">
        <v>108</v>
      </c>
      <c r="E365" t="s">
        <v>43</v>
      </c>
      <c r="F365">
        <v>36</v>
      </c>
      <c r="G365" t="s">
        <v>74</v>
      </c>
      <c r="H365" t="s">
        <v>31</v>
      </c>
      <c r="I365" t="s">
        <v>74</v>
      </c>
      <c r="J365" t="s">
        <v>201</v>
      </c>
      <c r="K365">
        <v>4</v>
      </c>
      <c r="L365">
        <v>33019</v>
      </c>
      <c r="M365">
        <v>20</v>
      </c>
      <c r="N365">
        <v>26415.200000000001</v>
      </c>
      <c r="O365">
        <v>19018.939999999999</v>
      </c>
      <c r="P365">
        <v>47</v>
      </c>
      <c r="Q365">
        <v>124726.74</v>
      </c>
      <c r="R365" t="s">
        <v>54</v>
      </c>
      <c r="S365" t="s">
        <v>63</v>
      </c>
      <c r="T365" t="s">
        <v>35</v>
      </c>
      <c r="U365" t="s">
        <v>36</v>
      </c>
      <c r="V365" t="s">
        <v>37</v>
      </c>
      <c r="W365">
        <v>4</v>
      </c>
      <c r="X365" t="s">
        <v>38</v>
      </c>
      <c r="Y365">
        <v>2</v>
      </c>
      <c r="Z365" t="s">
        <v>91</v>
      </c>
    </row>
    <row r="366" spans="1:26" x14ac:dyDescent="0.3">
      <c r="A366" t="s">
        <v>750</v>
      </c>
      <c r="B366" s="2">
        <v>45957</v>
      </c>
      <c r="C366" t="s">
        <v>751</v>
      </c>
      <c r="D366" t="s">
        <v>108</v>
      </c>
      <c r="E366" t="s">
        <v>43</v>
      </c>
      <c r="F366">
        <v>40</v>
      </c>
      <c r="G366" t="s">
        <v>44</v>
      </c>
      <c r="H366" t="s">
        <v>31</v>
      </c>
      <c r="I366" t="s">
        <v>44</v>
      </c>
      <c r="J366" t="s">
        <v>75</v>
      </c>
      <c r="K366">
        <v>3</v>
      </c>
      <c r="L366">
        <v>42953</v>
      </c>
      <c r="M366">
        <v>5</v>
      </c>
      <c r="N366">
        <v>6442.95</v>
      </c>
      <c r="O366">
        <v>22034.89</v>
      </c>
      <c r="P366">
        <v>312</v>
      </c>
      <c r="Q366">
        <v>144762.94</v>
      </c>
      <c r="R366" t="s">
        <v>33</v>
      </c>
      <c r="S366" t="s">
        <v>63</v>
      </c>
      <c r="T366" t="s">
        <v>103</v>
      </c>
      <c r="U366" t="s">
        <v>103</v>
      </c>
      <c r="V366" t="s">
        <v>57</v>
      </c>
      <c r="W366">
        <v>10</v>
      </c>
      <c r="X366" t="s">
        <v>47</v>
      </c>
      <c r="Y366">
        <v>1</v>
      </c>
      <c r="Z366" t="s">
        <v>91</v>
      </c>
    </row>
    <row r="367" spans="1:26" x14ac:dyDescent="0.3">
      <c r="A367" t="s">
        <v>752</v>
      </c>
      <c r="B367" s="2">
        <v>45862</v>
      </c>
      <c r="C367" t="s">
        <v>753</v>
      </c>
      <c r="D367" t="s">
        <v>111</v>
      </c>
      <c r="E367" t="s">
        <v>29</v>
      </c>
      <c r="F367">
        <v>34</v>
      </c>
      <c r="G367" t="s">
        <v>99</v>
      </c>
      <c r="H367" t="s">
        <v>52</v>
      </c>
      <c r="I367" t="s">
        <v>99</v>
      </c>
      <c r="J367" t="s">
        <v>32</v>
      </c>
      <c r="K367">
        <v>4</v>
      </c>
      <c r="L367">
        <v>20988</v>
      </c>
      <c r="M367">
        <v>10</v>
      </c>
      <c r="N367">
        <v>8395.2000000000007</v>
      </c>
      <c r="O367">
        <v>13600.22</v>
      </c>
      <c r="P367">
        <v>300</v>
      </c>
      <c r="Q367">
        <v>89457.02</v>
      </c>
      <c r="R367" t="s">
        <v>45</v>
      </c>
      <c r="S367" t="s">
        <v>63</v>
      </c>
      <c r="T367" t="s">
        <v>95</v>
      </c>
      <c r="U367" t="s">
        <v>96</v>
      </c>
      <c r="V367" t="s">
        <v>57</v>
      </c>
      <c r="W367">
        <v>8</v>
      </c>
      <c r="X367" t="s">
        <v>38</v>
      </c>
      <c r="Y367">
        <v>3</v>
      </c>
      <c r="Z367" t="s">
        <v>91</v>
      </c>
    </row>
    <row r="368" spans="1:26" x14ac:dyDescent="0.3">
      <c r="A368" t="s">
        <v>754</v>
      </c>
      <c r="B368" s="2">
        <v>45909</v>
      </c>
      <c r="C368" t="s">
        <v>755</v>
      </c>
      <c r="D368" t="s">
        <v>66</v>
      </c>
      <c r="E368" t="s">
        <v>29</v>
      </c>
      <c r="F368">
        <v>40</v>
      </c>
      <c r="G368" t="s">
        <v>44</v>
      </c>
      <c r="H368" t="s">
        <v>31</v>
      </c>
      <c r="I368" t="s">
        <v>44</v>
      </c>
      <c r="J368" t="s">
        <v>32</v>
      </c>
      <c r="K368">
        <v>5</v>
      </c>
      <c r="L368">
        <v>29902</v>
      </c>
      <c r="M368">
        <v>0</v>
      </c>
      <c r="N368">
        <v>0</v>
      </c>
      <c r="O368">
        <v>26911.8</v>
      </c>
      <c r="P368">
        <v>252</v>
      </c>
      <c r="Q368">
        <v>176673.8</v>
      </c>
      <c r="R368" t="s">
        <v>45</v>
      </c>
      <c r="S368" t="s">
        <v>34</v>
      </c>
      <c r="T368" t="s">
        <v>95</v>
      </c>
      <c r="U368" t="s">
        <v>96</v>
      </c>
      <c r="V368" t="s">
        <v>57</v>
      </c>
      <c r="W368">
        <v>4</v>
      </c>
      <c r="X368" t="s">
        <v>38</v>
      </c>
      <c r="Y368">
        <v>2</v>
      </c>
      <c r="Z368" t="s">
        <v>91</v>
      </c>
    </row>
    <row r="369" spans="1:26" x14ac:dyDescent="0.3">
      <c r="A369" t="s">
        <v>756</v>
      </c>
      <c r="B369" s="2">
        <v>46010</v>
      </c>
      <c r="C369" t="s">
        <v>757</v>
      </c>
      <c r="D369" t="s">
        <v>66</v>
      </c>
      <c r="E369" t="s">
        <v>43</v>
      </c>
      <c r="F369">
        <v>35</v>
      </c>
      <c r="G369" t="s">
        <v>90</v>
      </c>
      <c r="H369" t="s">
        <v>31</v>
      </c>
      <c r="I369" t="s">
        <v>90</v>
      </c>
      <c r="J369" t="s">
        <v>32</v>
      </c>
      <c r="K369">
        <v>5</v>
      </c>
      <c r="L369">
        <v>8265</v>
      </c>
      <c r="M369">
        <v>20</v>
      </c>
      <c r="N369">
        <v>8265</v>
      </c>
      <c r="O369">
        <v>5950.8</v>
      </c>
      <c r="P369">
        <v>487</v>
      </c>
      <c r="Q369">
        <v>39497.800000000003</v>
      </c>
      <c r="R369" t="s">
        <v>83</v>
      </c>
      <c r="S369" t="s">
        <v>63</v>
      </c>
      <c r="T369" t="s">
        <v>76</v>
      </c>
      <c r="U369" t="s">
        <v>77</v>
      </c>
      <c r="V369" t="s">
        <v>57</v>
      </c>
      <c r="W369">
        <v>7</v>
      </c>
      <c r="X369" t="s">
        <v>47</v>
      </c>
      <c r="Y369">
        <v>2</v>
      </c>
      <c r="Z369" t="s">
        <v>39</v>
      </c>
    </row>
    <row r="370" spans="1:26" x14ac:dyDescent="0.3">
      <c r="A370" t="s">
        <v>758</v>
      </c>
      <c r="B370" s="2">
        <v>46118</v>
      </c>
      <c r="C370" t="s">
        <v>349</v>
      </c>
      <c r="D370" t="s">
        <v>28</v>
      </c>
      <c r="E370" t="s">
        <v>29</v>
      </c>
      <c r="F370">
        <v>31</v>
      </c>
      <c r="G370" t="s">
        <v>139</v>
      </c>
      <c r="H370" t="s">
        <v>31</v>
      </c>
      <c r="I370" t="s">
        <v>139</v>
      </c>
      <c r="J370" t="s">
        <v>53</v>
      </c>
      <c r="K370">
        <v>1</v>
      </c>
      <c r="L370">
        <v>44313</v>
      </c>
      <c r="M370">
        <v>10</v>
      </c>
      <c r="N370">
        <v>4431.3</v>
      </c>
      <c r="O370">
        <v>7178.71</v>
      </c>
      <c r="P370">
        <v>103</v>
      </c>
      <c r="Q370">
        <v>47163.41</v>
      </c>
      <c r="R370" t="s">
        <v>45</v>
      </c>
      <c r="S370" t="s">
        <v>34</v>
      </c>
      <c r="T370" t="s">
        <v>84</v>
      </c>
      <c r="U370" t="s">
        <v>85</v>
      </c>
      <c r="V370" t="s">
        <v>86</v>
      </c>
      <c r="W370">
        <v>1</v>
      </c>
      <c r="X370" t="s">
        <v>47</v>
      </c>
      <c r="Y370">
        <v>5</v>
      </c>
      <c r="Z370" t="s">
        <v>91</v>
      </c>
    </row>
    <row r="371" spans="1:26" x14ac:dyDescent="0.3">
      <c r="A371" t="s">
        <v>759</v>
      </c>
      <c r="B371" s="2">
        <v>45886</v>
      </c>
      <c r="C371" t="s">
        <v>760</v>
      </c>
      <c r="D371" t="s">
        <v>89</v>
      </c>
      <c r="E371" t="s">
        <v>43</v>
      </c>
      <c r="F371">
        <v>35</v>
      </c>
      <c r="G371" t="s">
        <v>90</v>
      </c>
      <c r="H371" t="s">
        <v>31</v>
      </c>
      <c r="I371" t="s">
        <v>90</v>
      </c>
      <c r="J371" t="s">
        <v>150</v>
      </c>
      <c r="K371">
        <v>5</v>
      </c>
      <c r="L371">
        <v>30235</v>
      </c>
      <c r="M371">
        <v>20</v>
      </c>
      <c r="N371">
        <v>30235</v>
      </c>
      <c r="O371">
        <v>21769.200000000001</v>
      </c>
      <c r="P371">
        <v>120</v>
      </c>
      <c r="Q371">
        <v>142829.20000000001</v>
      </c>
      <c r="R371" t="s">
        <v>54</v>
      </c>
      <c r="S371" t="s">
        <v>34</v>
      </c>
      <c r="T371" t="s">
        <v>95</v>
      </c>
      <c r="U371" t="s">
        <v>96</v>
      </c>
      <c r="V371" t="s">
        <v>57</v>
      </c>
      <c r="W371">
        <v>4</v>
      </c>
      <c r="X371" t="s">
        <v>38</v>
      </c>
      <c r="Y371">
        <v>1</v>
      </c>
      <c r="Z371" t="s">
        <v>58</v>
      </c>
    </row>
    <row r="372" spans="1:26" x14ac:dyDescent="0.3">
      <c r="A372" t="s">
        <v>761</v>
      </c>
      <c r="B372" s="2">
        <v>45789</v>
      </c>
      <c r="C372" t="s">
        <v>762</v>
      </c>
      <c r="D372" t="s">
        <v>61</v>
      </c>
      <c r="E372" t="s">
        <v>43</v>
      </c>
      <c r="F372">
        <v>40</v>
      </c>
      <c r="G372" t="s">
        <v>94</v>
      </c>
      <c r="H372" t="s">
        <v>31</v>
      </c>
      <c r="I372" t="s">
        <v>94</v>
      </c>
      <c r="J372" t="s">
        <v>112</v>
      </c>
      <c r="K372">
        <v>1</v>
      </c>
      <c r="L372">
        <v>47817</v>
      </c>
      <c r="M372">
        <v>20</v>
      </c>
      <c r="N372">
        <v>9563.4</v>
      </c>
      <c r="O372">
        <v>6885.65</v>
      </c>
      <c r="P372">
        <v>434</v>
      </c>
      <c r="Q372">
        <v>45573.25</v>
      </c>
      <c r="R372" t="s">
        <v>54</v>
      </c>
      <c r="S372" t="s">
        <v>34</v>
      </c>
      <c r="T372" t="s">
        <v>35</v>
      </c>
      <c r="U372" t="s">
        <v>36</v>
      </c>
      <c r="V372" t="s">
        <v>37</v>
      </c>
      <c r="W372">
        <v>1</v>
      </c>
      <c r="X372" t="s">
        <v>38</v>
      </c>
      <c r="Y372">
        <v>2</v>
      </c>
      <c r="Z372" t="s">
        <v>39</v>
      </c>
    </row>
    <row r="373" spans="1:26" x14ac:dyDescent="0.3">
      <c r="A373" t="s">
        <v>763</v>
      </c>
      <c r="B373" s="2">
        <v>45974</v>
      </c>
      <c r="C373" t="s">
        <v>764</v>
      </c>
      <c r="D373" t="s">
        <v>111</v>
      </c>
      <c r="E373" t="s">
        <v>43</v>
      </c>
      <c r="F373">
        <v>18</v>
      </c>
      <c r="G373" t="s">
        <v>51</v>
      </c>
      <c r="H373" t="s">
        <v>52</v>
      </c>
      <c r="I373" t="s">
        <v>51</v>
      </c>
      <c r="J373" t="s">
        <v>102</v>
      </c>
      <c r="K373">
        <v>3</v>
      </c>
      <c r="L373">
        <v>3210</v>
      </c>
      <c r="M373">
        <v>0</v>
      </c>
      <c r="N373">
        <v>0</v>
      </c>
      <c r="O373">
        <v>1733.4</v>
      </c>
      <c r="P373">
        <v>177</v>
      </c>
      <c r="Q373">
        <v>11540.4</v>
      </c>
      <c r="R373" t="s">
        <v>33</v>
      </c>
      <c r="S373" t="s">
        <v>34</v>
      </c>
      <c r="T373" t="s">
        <v>70</v>
      </c>
      <c r="U373" t="s">
        <v>56</v>
      </c>
      <c r="V373" t="s">
        <v>57</v>
      </c>
      <c r="W373">
        <v>7</v>
      </c>
      <c r="X373" t="s">
        <v>38</v>
      </c>
      <c r="Y373">
        <v>1</v>
      </c>
      <c r="Z373" t="s">
        <v>47</v>
      </c>
    </row>
    <row r="374" spans="1:26" x14ac:dyDescent="0.3">
      <c r="A374" t="s">
        <v>765</v>
      </c>
      <c r="B374" s="2">
        <v>45880</v>
      </c>
      <c r="C374" t="s">
        <v>475</v>
      </c>
      <c r="D374" t="s">
        <v>89</v>
      </c>
      <c r="E374" t="s">
        <v>29</v>
      </c>
      <c r="F374">
        <v>37</v>
      </c>
      <c r="G374" t="s">
        <v>67</v>
      </c>
      <c r="H374" t="s">
        <v>68</v>
      </c>
      <c r="I374" t="s">
        <v>67</v>
      </c>
      <c r="J374" t="s">
        <v>125</v>
      </c>
      <c r="K374">
        <v>3</v>
      </c>
      <c r="L374">
        <v>9055</v>
      </c>
      <c r="M374">
        <v>0</v>
      </c>
      <c r="N374">
        <v>0</v>
      </c>
      <c r="O374">
        <v>4889.7</v>
      </c>
      <c r="P374">
        <v>444</v>
      </c>
      <c r="Q374">
        <v>32498.7</v>
      </c>
      <c r="R374" t="s">
        <v>33</v>
      </c>
      <c r="S374" t="s">
        <v>34</v>
      </c>
      <c r="T374" t="s">
        <v>95</v>
      </c>
      <c r="U374" t="s">
        <v>96</v>
      </c>
      <c r="V374" t="s">
        <v>57</v>
      </c>
      <c r="W374">
        <v>4</v>
      </c>
      <c r="X374" t="s">
        <v>38</v>
      </c>
      <c r="Y374">
        <v>2</v>
      </c>
      <c r="Z374" t="s">
        <v>91</v>
      </c>
    </row>
    <row r="375" spans="1:26" x14ac:dyDescent="0.3">
      <c r="A375" t="s">
        <v>766</v>
      </c>
      <c r="B375" s="2">
        <v>45878</v>
      </c>
      <c r="C375" t="s">
        <v>767</v>
      </c>
      <c r="D375" t="s">
        <v>42</v>
      </c>
      <c r="E375" t="s">
        <v>29</v>
      </c>
      <c r="F375">
        <v>48</v>
      </c>
      <c r="G375" t="s">
        <v>139</v>
      </c>
      <c r="H375" t="s">
        <v>31</v>
      </c>
      <c r="I375" t="s">
        <v>139</v>
      </c>
      <c r="J375" t="s">
        <v>125</v>
      </c>
      <c r="K375">
        <v>5</v>
      </c>
      <c r="L375">
        <v>28376</v>
      </c>
      <c r="M375">
        <v>10</v>
      </c>
      <c r="N375">
        <v>14188</v>
      </c>
      <c r="O375">
        <v>22984.560000000001</v>
      </c>
      <c r="P375">
        <v>491</v>
      </c>
      <c r="Q375">
        <v>151167.56</v>
      </c>
      <c r="R375" t="s">
        <v>54</v>
      </c>
      <c r="S375" t="s">
        <v>34</v>
      </c>
      <c r="T375" t="s">
        <v>95</v>
      </c>
      <c r="U375" t="s">
        <v>96</v>
      </c>
      <c r="V375" t="s">
        <v>57</v>
      </c>
      <c r="W375">
        <v>2</v>
      </c>
      <c r="X375" t="s">
        <v>47</v>
      </c>
      <c r="Y375">
        <v>4</v>
      </c>
      <c r="Z375" t="s">
        <v>91</v>
      </c>
    </row>
    <row r="376" spans="1:26" x14ac:dyDescent="0.3">
      <c r="A376" t="s">
        <v>768</v>
      </c>
      <c r="B376" s="2">
        <v>45917</v>
      </c>
      <c r="C376" t="s">
        <v>769</v>
      </c>
      <c r="D376" t="s">
        <v>42</v>
      </c>
      <c r="E376" t="s">
        <v>43</v>
      </c>
      <c r="F376">
        <v>59</v>
      </c>
      <c r="G376" t="s">
        <v>67</v>
      </c>
      <c r="H376" t="s">
        <v>68</v>
      </c>
      <c r="I376" t="s">
        <v>67</v>
      </c>
      <c r="J376" t="s">
        <v>125</v>
      </c>
      <c r="K376">
        <v>1</v>
      </c>
      <c r="L376">
        <v>32505</v>
      </c>
      <c r="M376">
        <v>20</v>
      </c>
      <c r="N376">
        <v>6501</v>
      </c>
      <c r="O376">
        <v>4680.72</v>
      </c>
      <c r="P376">
        <v>395</v>
      </c>
      <c r="Q376">
        <v>31079.72</v>
      </c>
      <c r="R376" t="s">
        <v>45</v>
      </c>
      <c r="S376" t="s">
        <v>34</v>
      </c>
      <c r="T376" t="s">
        <v>103</v>
      </c>
      <c r="U376" t="s">
        <v>103</v>
      </c>
      <c r="V376" t="s">
        <v>57</v>
      </c>
      <c r="W376">
        <v>3</v>
      </c>
      <c r="X376" t="s">
        <v>38</v>
      </c>
      <c r="Y376">
        <v>1</v>
      </c>
      <c r="Z376" t="s">
        <v>47</v>
      </c>
    </row>
    <row r="377" spans="1:26" x14ac:dyDescent="0.3">
      <c r="A377" t="s">
        <v>770</v>
      </c>
      <c r="B377" s="2">
        <v>45959</v>
      </c>
      <c r="C377" t="s">
        <v>771</v>
      </c>
      <c r="D377" t="s">
        <v>61</v>
      </c>
      <c r="E377" t="s">
        <v>29</v>
      </c>
      <c r="F377">
        <v>37</v>
      </c>
      <c r="G377" t="s">
        <v>139</v>
      </c>
      <c r="H377" t="s">
        <v>31</v>
      </c>
      <c r="I377" t="s">
        <v>139</v>
      </c>
      <c r="J377" t="s">
        <v>62</v>
      </c>
      <c r="K377">
        <v>4</v>
      </c>
      <c r="L377">
        <v>38052</v>
      </c>
      <c r="M377">
        <v>15</v>
      </c>
      <c r="N377">
        <v>22831.200000000001</v>
      </c>
      <c r="O377">
        <v>23287.82</v>
      </c>
      <c r="P377">
        <v>488</v>
      </c>
      <c r="Q377">
        <v>153152.62</v>
      </c>
      <c r="R377" t="s">
        <v>83</v>
      </c>
      <c r="S377" t="s">
        <v>63</v>
      </c>
      <c r="T377" t="s">
        <v>103</v>
      </c>
      <c r="U377" t="s">
        <v>103</v>
      </c>
      <c r="V377" t="s">
        <v>57</v>
      </c>
      <c r="W377">
        <v>7</v>
      </c>
      <c r="X377" t="s">
        <v>47</v>
      </c>
      <c r="Y377">
        <v>2</v>
      </c>
      <c r="Z377" t="s">
        <v>39</v>
      </c>
    </row>
    <row r="378" spans="1:26" x14ac:dyDescent="0.3">
      <c r="A378" t="s">
        <v>772</v>
      </c>
      <c r="B378" s="2">
        <v>45805</v>
      </c>
      <c r="C378" t="s">
        <v>740</v>
      </c>
      <c r="D378" t="s">
        <v>108</v>
      </c>
      <c r="E378" t="s">
        <v>29</v>
      </c>
      <c r="F378">
        <v>50</v>
      </c>
      <c r="G378" t="s">
        <v>94</v>
      </c>
      <c r="H378" t="s">
        <v>31</v>
      </c>
      <c r="I378" t="s">
        <v>94</v>
      </c>
      <c r="J378" t="s">
        <v>201</v>
      </c>
      <c r="K378">
        <v>1</v>
      </c>
      <c r="L378">
        <v>44961</v>
      </c>
      <c r="M378">
        <v>5</v>
      </c>
      <c r="N378">
        <v>2248.0500000000002</v>
      </c>
      <c r="O378">
        <v>7688.33</v>
      </c>
      <c r="P378">
        <v>362</v>
      </c>
      <c r="Q378">
        <v>50763.28</v>
      </c>
      <c r="R378" t="s">
        <v>45</v>
      </c>
      <c r="S378" t="s">
        <v>63</v>
      </c>
      <c r="T378" t="s">
        <v>95</v>
      </c>
      <c r="U378" t="s">
        <v>96</v>
      </c>
      <c r="V378" t="s">
        <v>57</v>
      </c>
      <c r="W378">
        <v>9</v>
      </c>
      <c r="X378" t="s">
        <v>38</v>
      </c>
      <c r="Y378">
        <v>3</v>
      </c>
      <c r="Z378" t="s">
        <v>91</v>
      </c>
    </row>
    <row r="379" spans="1:26" x14ac:dyDescent="0.3">
      <c r="A379" t="s">
        <v>773</v>
      </c>
      <c r="B379" s="2">
        <v>46015</v>
      </c>
      <c r="C379" t="s">
        <v>774</v>
      </c>
      <c r="D379" t="s">
        <v>73</v>
      </c>
      <c r="E379" t="s">
        <v>29</v>
      </c>
      <c r="F379">
        <v>30</v>
      </c>
      <c r="G379" t="s">
        <v>94</v>
      </c>
      <c r="H379" t="s">
        <v>31</v>
      </c>
      <c r="I379" t="s">
        <v>94</v>
      </c>
      <c r="J379" t="s">
        <v>150</v>
      </c>
      <c r="K379">
        <v>2</v>
      </c>
      <c r="L379">
        <v>33846</v>
      </c>
      <c r="M379">
        <v>0</v>
      </c>
      <c r="N379">
        <v>0</v>
      </c>
      <c r="O379">
        <v>12184.56</v>
      </c>
      <c r="P379">
        <v>189</v>
      </c>
      <c r="Q379">
        <v>80065.56</v>
      </c>
      <c r="R379" t="s">
        <v>83</v>
      </c>
      <c r="S379" t="s">
        <v>34</v>
      </c>
      <c r="T379" t="s">
        <v>95</v>
      </c>
      <c r="U379" t="s">
        <v>96</v>
      </c>
      <c r="V379" t="s">
        <v>57</v>
      </c>
      <c r="W379">
        <v>2</v>
      </c>
      <c r="X379" t="s">
        <v>47</v>
      </c>
      <c r="Y379">
        <v>3</v>
      </c>
      <c r="Z379" t="s">
        <v>39</v>
      </c>
    </row>
    <row r="380" spans="1:26" x14ac:dyDescent="0.3">
      <c r="A380" t="s">
        <v>775</v>
      </c>
      <c r="B380" s="2">
        <v>46057</v>
      </c>
      <c r="C380" t="s">
        <v>724</v>
      </c>
      <c r="D380" t="s">
        <v>73</v>
      </c>
      <c r="E380" t="s">
        <v>43</v>
      </c>
      <c r="F380">
        <v>43</v>
      </c>
      <c r="G380" t="s">
        <v>90</v>
      </c>
      <c r="H380" t="s">
        <v>31</v>
      </c>
      <c r="I380" t="s">
        <v>90</v>
      </c>
      <c r="J380" t="s">
        <v>125</v>
      </c>
      <c r="K380">
        <v>4</v>
      </c>
      <c r="L380">
        <v>10257</v>
      </c>
      <c r="M380">
        <v>15</v>
      </c>
      <c r="N380">
        <v>6154.2</v>
      </c>
      <c r="O380">
        <v>6277.28</v>
      </c>
      <c r="P380">
        <v>295</v>
      </c>
      <c r="Q380">
        <v>41446.080000000002</v>
      </c>
      <c r="R380" t="s">
        <v>33</v>
      </c>
      <c r="S380" t="s">
        <v>63</v>
      </c>
      <c r="T380" t="s">
        <v>55</v>
      </c>
      <c r="U380" t="s">
        <v>56</v>
      </c>
      <c r="V380" t="s">
        <v>57</v>
      </c>
      <c r="W380">
        <v>7</v>
      </c>
      <c r="X380" t="s">
        <v>38</v>
      </c>
      <c r="Y380">
        <v>3</v>
      </c>
      <c r="Z380" t="s">
        <v>47</v>
      </c>
    </row>
    <row r="381" spans="1:26" x14ac:dyDescent="0.3">
      <c r="A381" t="s">
        <v>776</v>
      </c>
      <c r="B381" s="2">
        <v>46036</v>
      </c>
      <c r="C381" t="s">
        <v>777</v>
      </c>
      <c r="D381" t="s">
        <v>111</v>
      </c>
      <c r="E381" t="s">
        <v>29</v>
      </c>
      <c r="F381">
        <v>26</v>
      </c>
      <c r="G381" t="s">
        <v>139</v>
      </c>
      <c r="H381" t="s">
        <v>31</v>
      </c>
      <c r="I381" t="s">
        <v>139</v>
      </c>
      <c r="J381" t="s">
        <v>62</v>
      </c>
      <c r="K381">
        <v>5</v>
      </c>
      <c r="L381">
        <v>35399</v>
      </c>
      <c r="M381">
        <v>0</v>
      </c>
      <c r="N381">
        <v>0</v>
      </c>
      <c r="O381">
        <v>31859.1</v>
      </c>
      <c r="P381">
        <v>222</v>
      </c>
      <c r="Q381">
        <v>209076.1</v>
      </c>
      <c r="R381" t="s">
        <v>45</v>
      </c>
      <c r="S381" t="s">
        <v>63</v>
      </c>
      <c r="T381" t="s">
        <v>84</v>
      </c>
      <c r="U381" t="s">
        <v>85</v>
      </c>
      <c r="V381" t="s">
        <v>86</v>
      </c>
      <c r="W381">
        <v>2</v>
      </c>
      <c r="X381" t="s">
        <v>47</v>
      </c>
      <c r="Y381">
        <v>4</v>
      </c>
      <c r="Z381" t="s">
        <v>91</v>
      </c>
    </row>
    <row r="382" spans="1:26" x14ac:dyDescent="0.3">
      <c r="A382" t="s">
        <v>778</v>
      </c>
      <c r="B382" s="2">
        <v>46018</v>
      </c>
      <c r="C382" t="s">
        <v>779</v>
      </c>
      <c r="D382" t="s">
        <v>111</v>
      </c>
      <c r="E382" t="s">
        <v>29</v>
      </c>
      <c r="F382">
        <v>48</v>
      </c>
      <c r="G382" t="s">
        <v>67</v>
      </c>
      <c r="H382" t="s">
        <v>68</v>
      </c>
      <c r="I382" t="s">
        <v>67</v>
      </c>
      <c r="J382" t="s">
        <v>125</v>
      </c>
      <c r="K382">
        <v>3</v>
      </c>
      <c r="L382">
        <v>38354</v>
      </c>
      <c r="M382">
        <v>5</v>
      </c>
      <c r="N382">
        <v>5753.1</v>
      </c>
      <c r="O382">
        <v>19675.599999999999</v>
      </c>
      <c r="P382">
        <v>229</v>
      </c>
      <c r="Q382">
        <v>129213.5</v>
      </c>
      <c r="R382" t="s">
        <v>33</v>
      </c>
      <c r="S382" t="s">
        <v>34</v>
      </c>
      <c r="T382" t="s">
        <v>46</v>
      </c>
      <c r="U382" t="s">
        <v>36</v>
      </c>
      <c r="V382" t="s">
        <v>37</v>
      </c>
      <c r="W382">
        <v>3</v>
      </c>
      <c r="X382" t="s">
        <v>47</v>
      </c>
      <c r="Y382">
        <v>2</v>
      </c>
      <c r="Z382" t="s">
        <v>47</v>
      </c>
    </row>
    <row r="383" spans="1:26" x14ac:dyDescent="0.3">
      <c r="A383" t="s">
        <v>780</v>
      </c>
      <c r="B383" s="2">
        <v>46008</v>
      </c>
      <c r="C383" t="s">
        <v>781</v>
      </c>
      <c r="D383" t="s">
        <v>28</v>
      </c>
      <c r="E383" t="s">
        <v>29</v>
      </c>
      <c r="F383">
        <v>25</v>
      </c>
      <c r="G383" t="s">
        <v>90</v>
      </c>
      <c r="H383" t="s">
        <v>31</v>
      </c>
      <c r="I383" t="s">
        <v>90</v>
      </c>
      <c r="J383" t="s">
        <v>112</v>
      </c>
      <c r="K383">
        <v>3</v>
      </c>
      <c r="L383">
        <v>41789</v>
      </c>
      <c r="M383">
        <v>10</v>
      </c>
      <c r="N383">
        <v>12536.7</v>
      </c>
      <c r="O383">
        <v>20309.45</v>
      </c>
      <c r="P383">
        <v>460</v>
      </c>
      <c r="Q383">
        <v>133599.75</v>
      </c>
      <c r="R383" t="s">
        <v>33</v>
      </c>
      <c r="S383" t="s">
        <v>63</v>
      </c>
      <c r="T383" t="s">
        <v>46</v>
      </c>
      <c r="U383" t="s">
        <v>36</v>
      </c>
      <c r="V383" t="s">
        <v>37</v>
      </c>
      <c r="W383">
        <v>1</v>
      </c>
      <c r="X383" t="s">
        <v>47</v>
      </c>
      <c r="Y383">
        <v>4</v>
      </c>
      <c r="Z383" t="s">
        <v>91</v>
      </c>
    </row>
    <row r="384" spans="1:26" x14ac:dyDescent="0.3">
      <c r="A384" t="s">
        <v>782</v>
      </c>
      <c r="B384" s="2">
        <v>45802</v>
      </c>
      <c r="C384" t="s">
        <v>79</v>
      </c>
      <c r="D384" t="s">
        <v>89</v>
      </c>
      <c r="E384" t="s">
        <v>43</v>
      </c>
      <c r="F384">
        <v>50</v>
      </c>
      <c r="G384" t="s">
        <v>99</v>
      </c>
      <c r="H384" t="s">
        <v>52</v>
      </c>
      <c r="I384" t="s">
        <v>99</v>
      </c>
      <c r="J384" t="s">
        <v>32</v>
      </c>
      <c r="K384">
        <v>5</v>
      </c>
      <c r="L384">
        <v>40354</v>
      </c>
      <c r="M384">
        <v>15</v>
      </c>
      <c r="N384">
        <v>30265.5</v>
      </c>
      <c r="O384">
        <v>30870.81</v>
      </c>
      <c r="P384">
        <v>5</v>
      </c>
      <c r="Q384">
        <v>202380.31</v>
      </c>
      <c r="R384" t="s">
        <v>33</v>
      </c>
      <c r="S384" t="s">
        <v>34</v>
      </c>
      <c r="T384" t="s">
        <v>70</v>
      </c>
      <c r="U384" t="s">
        <v>56</v>
      </c>
      <c r="V384" t="s">
        <v>57</v>
      </c>
      <c r="W384">
        <v>9</v>
      </c>
      <c r="X384" t="s">
        <v>38</v>
      </c>
      <c r="Y384">
        <v>5</v>
      </c>
      <c r="Z384" t="s">
        <v>91</v>
      </c>
    </row>
    <row r="385" spans="1:26" x14ac:dyDescent="0.3">
      <c r="A385" t="s">
        <v>783</v>
      </c>
      <c r="B385" s="2">
        <v>46007</v>
      </c>
      <c r="C385" t="s">
        <v>784</v>
      </c>
      <c r="D385" t="s">
        <v>108</v>
      </c>
      <c r="E385" t="s">
        <v>29</v>
      </c>
      <c r="F385">
        <v>57</v>
      </c>
      <c r="G385" t="s">
        <v>90</v>
      </c>
      <c r="H385" t="s">
        <v>31</v>
      </c>
      <c r="I385" t="s">
        <v>90</v>
      </c>
      <c r="J385" t="s">
        <v>112</v>
      </c>
      <c r="K385">
        <v>3</v>
      </c>
      <c r="L385">
        <v>44552</v>
      </c>
      <c r="M385">
        <v>20</v>
      </c>
      <c r="N385">
        <v>26731.200000000001</v>
      </c>
      <c r="O385">
        <v>19246.46</v>
      </c>
      <c r="P385">
        <v>222</v>
      </c>
      <c r="Q385">
        <v>126393.26</v>
      </c>
      <c r="R385" t="s">
        <v>45</v>
      </c>
      <c r="S385" t="s">
        <v>34</v>
      </c>
      <c r="T385" t="s">
        <v>70</v>
      </c>
      <c r="U385" t="s">
        <v>56</v>
      </c>
      <c r="V385" t="s">
        <v>57</v>
      </c>
      <c r="W385">
        <v>2</v>
      </c>
      <c r="X385" t="s">
        <v>47</v>
      </c>
      <c r="Y385">
        <v>1</v>
      </c>
      <c r="Z385" t="s">
        <v>39</v>
      </c>
    </row>
    <row r="386" spans="1:26" x14ac:dyDescent="0.3">
      <c r="A386" t="s">
        <v>785</v>
      </c>
      <c r="B386" s="2">
        <v>45803</v>
      </c>
      <c r="C386" t="s">
        <v>786</v>
      </c>
      <c r="D386" t="s">
        <v>42</v>
      </c>
      <c r="E386" t="s">
        <v>43</v>
      </c>
      <c r="F386">
        <v>57</v>
      </c>
      <c r="G386" t="s">
        <v>74</v>
      </c>
      <c r="H386" t="s">
        <v>31</v>
      </c>
      <c r="I386" t="s">
        <v>74</v>
      </c>
      <c r="J386" t="s">
        <v>69</v>
      </c>
      <c r="K386">
        <v>4</v>
      </c>
      <c r="L386">
        <v>6838</v>
      </c>
      <c r="M386">
        <v>5</v>
      </c>
      <c r="N386">
        <v>1367.6</v>
      </c>
      <c r="O386">
        <v>4677.1899999999996</v>
      </c>
      <c r="P386">
        <v>1</v>
      </c>
      <c r="Q386">
        <v>30662.59</v>
      </c>
      <c r="R386" t="s">
        <v>54</v>
      </c>
      <c r="S386" t="s">
        <v>34</v>
      </c>
      <c r="T386" t="s">
        <v>103</v>
      </c>
      <c r="U386" t="s">
        <v>103</v>
      </c>
      <c r="V386" t="s">
        <v>57</v>
      </c>
      <c r="W386">
        <v>1</v>
      </c>
      <c r="X386" t="s">
        <v>38</v>
      </c>
      <c r="Y386">
        <v>3</v>
      </c>
      <c r="Z386" t="s">
        <v>91</v>
      </c>
    </row>
    <row r="387" spans="1:26" x14ac:dyDescent="0.3">
      <c r="A387" t="s">
        <v>787</v>
      </c>
      <c r="B387" s="2">
        <v>45794</v>
      </c>
      <c r="C387" t="s">
        <v>788</v>
      </c>
      <c r="D387" t="s">
        <v>108</v>
      </c>
      <c r="E387" t="s">
        <v>29</v>
      </c>
      <c r="F387">
        <v>50</v>
      </c>
      <c r="G387" t="s">
        <v>51</v>
      </c>
      <c r="H387" t="s">
        <v>52</v>
      </c>
      <c r="I387" t="s">
        <v>51</v>
      </c>
      <c r="J387" t="s">
        <v>125</v>
      </c>
      <c r="K387">
        <v>5</v>
      </c>
      <c r="L387">
        <v>38147</v>
      </c>
      <c r="M387">
        <v>15</v>
      </c>
      <c r="N387">
        <v>28610.25</v>
      </c>
      <c r="O387">
        <v>29182.45</v>
      </c>
      <c r="P387">
        <v>184</v>
      </c>
      <c r="Q387">
        <v>191491.20000000001</v>
      </c>
      <c r="R387" t="s">
        <v>54</v>
      </c>
      <c r="S387" t="s">
        <v>34</v>
      </c>
      <c r="T387" t="s">
        <v>35</v>
      </c>
      <c r="U387" t="s">
        <v>36</v>
      </c>
      <c r="V387" t="s">
        <v>37</v>
      </c>
      <c r="W387">
        <v>5</v>
      </c>
      <c r="X387" t="s">
        <v>47</v>
      </c>
      <c r="Y387">
        <v>5</v>
      </c>
      <c r="Z387" t="s">
        <v>91</v>
      </c>
    </row>
    <row r="388" spans="1:26" x14ac:dyDescent="0.3">
      <c r="A388" t="s">
        <v>789</v>
      </c>
      <c r="B388" s="2">
        <v>45916</v>
      </c>
      <c r="C388" t="s">
        <v>790</v>
      </c>
      <c r="D388" t="s">
        <v>66</v>
      </c>
      <c r="E388" t="s">
        <v>43</v>
      </c>
      <c r="F388">
        <v>37</v>
      </c>
      <c r="G388" t="s">
        <v>44</v>
      </c>
      <c r="H388" t="s">
        <v>31</v>
      </c>
      <c r="I388" t="s">
        <v>44</v>
      </c>
      <c r="J388" t="s">
        <v>32</v>
      </c>
      <c r="K388">
        <v>4</v>
      </c>
      <c r="L388">
        <v>47651</v>
      </c>
      <c r="M388">
        <v>5</v>
      </c>
      <c r="N388">
        <v>9530.2000000000007</v>
      </c>
      <c r="O388">
        <v>32593.279999999999</v>
      </c>
      <c r="P388">
        <v>270</v>
      </c>
      <c r="Q388">
        <v>213937.08</v>
      </c>
      <c r="R388" t="s">
        <v>33</v>
      </c>
      <c r="S388" t="s">
        <v>34</v>
      </c>
      <c r="T388" t="s">
        <v>84</v>
      </c>
      <c r="U388" t="s">
        <v>85</v>
      </c>
      <c r="V388" t="s">
        <v>86</v>
      </c>
      <c r="W388">
        <v>10</v>
      </c>
      <c r="X388" t="s">
        <v>47</v>
      </c>
      <c r="Y388">
        <v>2</v>
      </c>
      <c r="Z388" t="s">
        <v>58</v>
      </c>
    </row>
    <row r="389" spans="1:26" x14ac:dyDescent="0.3">
      <c r="A389" t="s">
        <v>791</v>
      </c>
      <c r="B389" s="2">
        <v>45799</v>
      </c>
      <c r="C389" t="s">
        <v>792</v>
      </c>
      <c r="D389" t="s">
        <v>50</v>
      </c>
      <c r="E389" t="s">
        <v>29</v>
      </c>
      <c r="F389">
        <v>51</v>
      </c>
      <c r="G389" t="s">
        <v>67</v>
      </c>
      <c r="H389" t="s">
        <v>68</v>
      </c>
      <c r="I389" t="s">
        <v>67</v>
      </c>
      <c r="J389" t="s">
        <v>102</v>
      </c>
      <c r="K389">
        <v>1</v>
      </c>
      <c r="L389">
        <v>35776</v>
      </c>
      <c r="M389">
        <v>15</v>
      </c>
      <c r="N389">
        <v>5366.4</v>
      </c>
      <c r="O389">
        <v>5473.73</v>
      </c>
      <c r="P389">
        <v>211</v>
      </c>
      <c r="Q389">
        <v>36094.33</v>
      </c>
      <c r="R389" t="s">
        <v>54</v>
      </c>
      <c r="S389" t="s">
        <v>34</v>
      </c>
      <c r="T389" t="s">
        <v>35</v>
      </c>
      <c r="U389" t="s">
        <v>36</v>
      </c>
      <c r="V389" t="s">
        <v>37</v>
      </c>
      <c r="W389">
        <v>1</v>
      </c>
      <c r="X389" t="s">
        <v>47</v>
      </c>
      <c r="Y389">
        <v>2</v>
      </c>
      <c r="Z389" t="s">
        <v>39</v>
      </c>
    </row>
    <row r="390" spans="1:26" x14ac:dyDescent="0.3">
      <c r="A390" t="s">
        <v>793</v>
      </c>
      <c r="B390" s="2">
        <v>45792</v>
      </c>
      <c r="C390" t="s">
        <v>794</v>
      </c>
      <c r="D390" t="s">
        <v>89</v>
      </c>
      <c r="E390" t="s">
        <v>43</v>
      </c>
      <c r="F390">
        <v>48</v>
      </c>
      <c r="G390" t="s">
        <v>139</v>
      </c>
      <c r="H390" t="s">
        <v>31</v>
      </c>
      <c r="I390" t="s">
        <v>139</v>
      </c>
      <c r="J390" t="s">
        <v>53</v>
      </c>
      <c r="K390">
        <v>5</v>
      </c>
      <c r="L390">
        <v>38786</v>
      </c>
      <c r="M390">
        <v>20</v>
      </c>
      <c r="N390">
        <v>38786</v>
      </c>
      <c r="O390">
        <v>27925.919999999998</v>
      </c>
      <c r="P390">
        <v>346</v>
      </c>
      <c r="Q390">
        <v>183415.92</v>
      </c>
      <c r="R390" t="s">
        <v>33</v>
      </c>
      <c r="S390" t="s">
        <v>34</v>
      </c>
      <c r="T390" t="s">
        <v>84</v>
      </c>
      <c r="U390" t="s">
        <v>85</v>
      </c>
      <c r="V390" t="s">
        <v>86</v>
      </c>
      <c r="W390">
        <v>10</v>
      </c>
      <c r="X390" t="s">
        <v>38</v>
      </c>
      <c r="Y390">
        <v>2</v>
      </c>
      <c r="Z390" t="s">
        <v>39</v>
      </c>
    </row>
    <row r="391" spans="1:26" x14ac:dyDescent="0.3">
      <c r="A391" t="s">
        <v>795</v>
      </c>
      <c r="B391" s="2">
        <v>46088</v>
      </c>
      <c r="C391" t="s">
        <v>193</v>
      </c>
      <c r="D391" t="s">
        <v>50</v>
      </c>
      <c r="E391" t="s">
        <v>43</v>
      </c>
      <c r="F391">
        <v>39</v>
      </c>
      <c r="G391" t="s">
        <v>30</v>
      </c>
      <c r="H391" t="s">
        <v>31</v>
      </c>
      <c r="I391" t="s">
        <v>30</v>
      </c>
      <c r="J391" t="s">
        <v>32</v>
      </c>
      <c r="K391">
        <v>4</v>
      </c>
      <c r="L391">
        <v>44570</v>
      </c>
      <c r="M391">
        <v>15</v>
      </c>
      <c r="N391">
        <v>26742</v>
      </c>
      <c r="O391">
        <v>27276.84</v>
      </c>
      <c r="P391">
        <v>441</v>
      </c>
      <c r="Q391">
        <v>179255.84</v>
      </c>
      <c r="R391" t="s">
        <v>33</v>
      </c>
      <c r="S391" t="s">
        <v>34</v>
      </c>
      <c r="T391" t="s">
        <v>95</v>
      </c>
      <c r="U391" t="s">
        <v>96</v>
      </c>
      <c r="V391" t="s">
        <v>57</v>
      </c>
      <c r="W391">
        <v>5</v>
      </c>
      <c r="X391" t="s">
        <v>47</v>
      </c>
      <c r="Y391">
        <v>5</v>
      </c>
      <c r="Z391" t="s">
        <v>47</v>
      </c>
    </row>
    <row r="392" spans="1:26" x14ac:dyDescent="0.3">
      <c r="A392" t="s">
        <v>796</v>
      </c>
      <c r="B392" s="2">
        <v>45852</v>
      </c>
      <c r="C392" t="s">
        <v>65</v>
      </c>
      <c r="D392" t="s">
        <v>108</v>
      </c>
      <c r="E392" t="s">
        <v>43</v>
      </c>
      <c r="F392">
        <v>27</v>
      </c>
      <c r="G392" t="s">
        <v>99</v>
      </c>
      <c r="H392" t="s">
        <v>52</v>
      </c>
      <c r="I392" t="s">
        <v>99</v>
      </c>
      <c r="J392" t="s">
        <v>62</v>
      </c>
      <c r="K392">
        <v>2</v>
      </c>
      <c r="L392">
        <v>17897</v>
      </c>
      <c r="M392">
        <v>15</v>
      </c>
      <c r="N392">
        <v>5369.1</v>
      </c>
      <c r="O392">
        <v>5476.48</v>
      </c>
      <c r="P392">
        <v>381</v>
      </c>
      <c r="Q392">
        <v>36282.379999999997</v>
      </c>
      <c r="R392" t="s">
        <v>54</v>
      </c>
      <c r="S392" t="s">
        <v>34</v>
      </c>
      <c r="T392" t="s">
        <v>76</v>
      </c>
      <c r="U392" t="s">
        <v>77</v>
      </c>
      <c r="V392" t="s">
        <v>57</v>
      </c>
      <c r="W392">
        <v>2</v>
      </c>
      <c r="X392" t="s">
        <v>38</v>
      </c>
      <c r="Y392">
        <v>3</v>
      </c>
      <c r="Z392" t="s">
        <v>39</v>
      </c>
    </row>
    <row r="393" spans="1:26" x14ac:dyDescent="0.3">
      <c r="A393" t="s">
        <v>797</v>
      </c>
      <c r="B393" s="2">
        <v>46082</v>
      </c>
      <c r="C393" t="s">
        <v>798</v>
      </c>
      <c r="D393" t="s">
        <v>111</v>
      </c>
      <c r="E393" t="s">
        <v>43</v>
      </c>
      <c r="F393">
        <v>29</v>
      </c>
      <c r="G393" t="s">
        <v>99</v>
      </c>
      <c r="H393" t="s">
        <v>52</v>
      </c>
      <c r="I393" t="s">
        <v>99</v>
      </c>
      <c r="J393" t="s">
        <v>201</v>
      </c>
      <c r="K393">
        <v>2</v>
      </c>
      <c r="L393">
        <v>19659</v>
      </c>
      <c r="M393">
        <v>5</v>
      </c>
      <c r="N393">
        <v>1965.9</v>
      </c>
      <c r="O393">
        <v>6723.38</v>
      </c>
      <c r="P393">
        <v>60</v>
      </c>
      <c r="Q393">
        <v>44135.48</v>
      </c>
      <c r="R393" t="s">
        <v>54</v>
      </c>
      <c r="S393" t="s">
        <v>63</v>
      </c>
      <c r="T393" t="s">
        <v>55</v>
      </c>
      <c r="U393" t="s">
        <v>56</v>
      </c>
      <c r="V393" t="s">
        <v>57</v>
      </c>
      <c r="W393">
        <v>8</v>
      </c>
      <c r="X393" t="s">
        <v>47</v>
      </c>
      <c r="Y393">
        <v>2</v>
      </c>
      <c r="Z393" t="s">
        <v>39</v>
      </c>
    </row>
    <row r="394" spans="1:26" x14ac:dyDescent="0.3">
      <c r="A394" t="s">
        <v>799</v>
      </c>
      <c r="B394" s="2">
        <v>45937</v>
      </c>
      <c r="C394" t="s">
        <v>800</v>
      </c>
      <c r="D394" t="s">
        <v>42</v>
      </c>
      <c r="E394" t="s">
        <v>29</v>
      </c>
      <c r="F394">
        <v>19</v>
      </c>
      <c r="G394" t="s">
        <v>44</v>
      </c>
      <c r="H394" t="s">
        <v>31</v>
      </c>
      <c r="I394" t="s">
        <v>44</v>
      </c>
      <c r="J394" t="s">
        <v>201</v>
      </c>
      <c r="K394">
        <v>2</v>
      </c>
      <c r="L394">
        <v>5458</v>
      </c>
      <c r="M394">
        <v>10</v>
      </c>
      <c r="N394">
        <v>1091.5999999999999</v>
      </c>
      <c r="O394">
        <v>1768.39</v>
      </c>
      <c r="P394">
        <v>260</v>
      </c>
      <c r="Q394">
        <v>11852.79</v>
      </c>
      <c r="R394" t="s">
        <v>54</v>
      </c>
      <c r="S394" t="s">
        <v>63</v>
      </c>
      <c r="T394" t="s">
        <v>95</v>
      </c>
      <c r="U394" t="s">
        <v>96</v>
      </c>
      <c r="V394" t="s">
        <v>57</v>
      </c>
      <c r="W394">
        <v>6</v>
      </c>
      <c r="X394" t="s">
        <v>47</v>
      </c>
      <c r="Y394">
        <v>1</v>
      </c>
      <c r="Z394" t="s">
        <v>58</v>
      </c>
    </row>
    <row r="395" spans="1:26" x14ac:dyDescent="0.3">
      <c r="A395" t="s">
        <v>801</v>
      </c>
      <c r="B395" s="2">
        <v>45893</v>
      </c>
      <c r="C395" t="s">
        <v>802</v>
      </c>
      <c r="D395" t="s">
        <v>80</v>
      </c>
      <c r="E395" t="s">
        <v>43</v>
      </c>
      <c r="F395">
        <v>39</v>
      </c>
      <c r="G395" t="s">
        <v>51</v>
      </c>
      <c r="H395" t="s">
        <v>52</v>
      </c>
      <c r="I395" t="s">
        <v>51</v>
      </c>
      <c r="J395" t="s">
        <v>53</v>
      </c>
      <c r="K395">
        <v>5</v>
      </c>
      <c r="L395">
        <v>11477</v>
      </c>
      <c r="M395">
        <v>20</v>
      </c>
      <c r="N395">
        <v>11477</v>
      </c>
      <c r="O395">
        <v>8263.44</v>
      </c>
      <c r="P395">
        <v>383</v>
      </c>
      <c r="Q395">
        <v>54554.44</v>
      </c>
      <c r="R395" t="s">
        <v>83</v>
      </c>
      <c r="S395" t="s">
        <v>34</v>
      </c>
      <c r="T395" t="s">
        <v>103</v>
      </c>
      <c r="U395" t="s">
        <v>103</v>
      </c>
      <c r="V395" t="s">
        <v>57</v>
      </c>
      <c r="W395">
        <v>8</v>
      </c>
      <c r="X395" t="s">
        <v>38</v>
      </c>
      <c r="Y395">
        <v>1</v>
      </c>
      <c r="Z395" t="s">
        <v>58</v>
      </c>
    </row>
    <row r="396" spans="1:26" x14ac:dyDescent="0.3">
      <c r="A396" t="s">
        <v>803</v>
      </c>
      <c r="B396" s="2">
        <v>46071</v>
      </c>
      <c r="C396" t="s">
        <v>706</v>
      </c>
      <c r="D396" t="s">
        <v>73</v>
      </c>
      <c r="E396" t="s">
        <v>43</v>
      </c>
      <c r="F396">
        <v>56</v>
      </c>
      <c r="G396" t="s">
        <v>134</v>
      </c>
      <c r="H396" t="s">
        <v>31</v>
      </c>
      <c r="I396" t="s">
        <v>134</v>
      </c>
      <c r="J396" t="s">
        <v>150</v>
      </c>
      <c r="K396">
        <v>5</v>
      </c>
      <c r="L396">
        <v>8130</v>
      </c>
      <c r="M396">
        <v>0</v>
      </c>
      <c r="N396">
        <v>0</v>
      </c>
      <c r="O396">
        <v>7317</v>
      </c>
      <c r="P396">
        <v>365</v>
      </c>
      <c r="Q396">
        <v>48332</v>
      </c>
      <c r="R396" t="s">
        <v>54</v>
      </c>
      <c r="S396" t="s">
        <v>34</v>
      </c>
      <c r="T396" t="s">
        <v>76</v>
      </c>
      <c r="U396" t="s">
        <v>77</v>
      </c>
      <c r="V396" t="s">
        <v>57</v>
      </c>
      <c r="W396">
        <v>5</v>
      </c>
      <c r="X396" t="s">
        <v>47</v>
      </c>
      <c r="Y396">
        <v>2</v>
      </c>
      <c r="Z396" t="s">
        <v>58</v>
      </c>
    </row>
    <row r="397" spans="1:26" x14ac:dyDescent="0.3">
      <c r="A397" t="s">
        <v>804</v>
      </c>
      <c r="B397" s="2">
        <v>45917</v>
      </c>
      <c r="C397" t="s">
        <v>598</v>
      </c>
      <c r="D397" t="s">
        <v>89</v>
      </c>
      <c r="E397" t="s">
        <v>43</v>
      </c>
      <c r="F397">
        <v>45</v>
      </c>
      <c r="G397" t="s">
        <v>99</v>
      </c>
      <c r="H397" t="s">
        <v>52</v>
      </c>
      <c r="I397" t="s">
        <v>99</v>
      </c>
      <c r="J397" t="s">
        <v>69</v>
      </c>
      <c r="K397">
        <v>5</v>
      </c>
      <c r="L397">
        <v>49785</v>
      </c>
      <c r="M397">
        <v>10</v>
      </c>
      <c r="N397">
        <v>24892.5</v>
      </c>
      <c r="O397">
        <v>40325.85</v>
      </c>
      <c r="P397">
        <v>307</v>
      </c>
      <c r="Q397">
        <v>264665.34999999998</v>
      </c>
      <c r="R397" t="s">
        <v>45</v>
      </c>
      <c r="S397" t="s">
        <v>34</v>
      </c>
      <c r="T397" t="s">
        <v>76</v>
      </c>
      <c r="U397" t="s">
        <v>77</v>
      </c>
      <c r="V397" t="s">
        <v>57</v>
      </c>
      <c r="W397">
        <v>10</v>
      </c>
      <c r="X397" t="s">
        <v>47</v>
      </c>
      <c r="Y397">
        <v>1</v>
      </c>
      <c r="Z397" t="s">
        <v>47</v>
      </c>
    </row>
    <row r="398" spans="1:26" x14ac:dyDescent="0.3">
      <c r="A398" t="s">
        <v>805</v>
      </c>
      <c r="B398" s="2">
        <v>45999</v>
      </c>
      <c r="C398" t="s">
        <v>806</v>
      </c>
      <c r="D398" t="s">
        <v>61</v>
      </c>
      <c r="E398" t="s">
        <v>43</v>
      </c>
      <c r="F398">
        <v>45</v>
      </c>
      <c r="G398" t="s">
        <v>30</v>
      </c>
      <c r="H398" t="s">
        <v>31</v>
      </c>
      <c r="I398" t="s">
        <v>30</v>
      </c>
      <c r="J398" t="s">
        <v>112</v>
      </c>
      <c r="K398">
        <v>1</v>
      </c>
      <c r="L398">
        <v>45045</v>
      </c>
      <c r="M398">
        <v>10</v>
      </c>
      <c r="N398">
        <v>4504.5</v>
      </c>
      <c r="O398">
        <v>7297.29</v>
      </c>
      <c r="P398">
        <v>227</v>
      </c>
      <c r="Q398">
        <v>48064.79</v>
      </c>
      <c r="R398" t="s">
        <v>33</v>
      </c>
      <c r="S398" t="s">
        <v>63</v>
      </c>
      <c r="T398" t="s">
        <v>70</v>
      </c>
      <c r="U398" t="s">
        <v>56</v>
      </c>
      <c r="V398" t="s">
        <v>57</v>
      </c>
      <c r="W398">
        <v>7</v>
      </c>
      <c r="X398" t="s">
        <v>47</v>
      </c>
      <c r="Y398">
        <v>4</v>
      </c>
      <c r="Z398" t="s">
        <v>91</v>
      </c>
    </row>
    <row r="399" spans="1:26" x14ac:dyDescent="0.3">
      <c r="A399" t="s">
        <v>807</v>
      </c>
      <c r="B399" s="2">
        <v>45914</v>
      </c>
      <c r="C399" t="s">
        <v>808</v>
      </c>
      <c r="D399" t="s">
        <v>61</v>
      </c>
      <c r="E399" t="s">
        <v>29</v>
      </c>
      <c r="F399">
        <v>32</v>
      </c>
      <c r="G399" t="s">
        <v>67</v>
      </c>
      <c r="H399" t="s">
        <v>68</v>
      </c>
      <c r="I399" t="s">
        <v>67</v>
      </c>
      <c r="J399" t="s">
        <v>62</v>
      </c>
      <c r="K399">
        <v>2</v>
      </c>
      <c r="L399">
        <v>37886</v>
      </c>
      <c r="M399">
        <v>20</v>
      </c>
      <c r="N399">
        <v>15154.4</v>
      </c>
      <c r="O399">
        <v>10911.17</v>
      </c>
      <c r="P399">
        <v>333</v>
      </c>
      <c r="Q399">
        <v>71861.77</v>
      </c>
      <c r="R399" t="s">
        <v>54</v>
      </c>
      <c r="S399" t="s">
        <v>63</v>
      </c>
      <c r="T399" t="s">
        <v>103</v>
      </c>
      <c r="U399" t="s">
        <v>103</v>
      </c>
      <c r="V399" t="s">
        <v>57</v>
      </c>
      <c r="W399">
        <v>5</v>
      </c>
      <c r="X399" t="s">
        <v>47</v>
      </c>
      <c r="Y399">
        <v>1</v>
      </c>
      <c r="Z399" t="s">
        <v>39</v>
      </c>
    </row>
    <row r="400" spans="1:26" x14ac:dyDescent="0.3">
      <c r="A400" t="s">
        <v>809</v>
      </c>
      <c r="B400" s="2">
        <v>45798</v>
      </c>
      <c r="C400" t="s">
        <v>810</v>
      </c>
      <c r="D400" t="s">
        <v>61</v>
      </c>
      <c r="E400" t="s">
        <v>29</v>
      </c>
      <c r="F400">
        <v>41</v>
      </c>
      <c r="G400" t="s">
        <v>134</v>
      </c>
      <c r="H400" t="s">
        <v>31</v>
      </c>
      <c r="I400" t="s">
        <v>134</v>
      </c>
      <c r="J400" t="s">
        <v>125</v>
      </c>
      <c r="K400">
        <v>1</v>
      </c>
      <c r="L400">
        <v>10479</v>
      </c>
      <c r="M400">
        <v>20</v>
      </c>
      <c r="N400">
        <v>2095.8000000000002</v>
      </c>
      <c r="O400">
        <v>1508.98</v>
      </c>
      <c r="P400">
        <v>259</v>
      </c>
      <c r="Q400">
        <v>10151.18</v>
      </c>
      <c r="R400" t="s">
        <v>83</v>
      </c>
      <c r="S400" t="s">
        <v>34</v>
      </c>
      <c r="T400" t="s">
        <v>76</v>
      </c>
      <c r="U400" t="s">
        <v>77</v>
      </c>
      <c r="V400" t="s">
        <v>57</v>
      </c>
      <c r="W400">
        <v>9</v>
      </c>
      <c r="X400" t="s">
        <v>38</v>
      </c>
      <c r="Y400">
        <v>3</v>
      </c>
      <c r="Z400" t="s">
        <v>47</v>
      </c>
    </row>
    <row r="401" spans="1:26" x14ac:dyDescent="0.3">
      <c r="A401" t="s">
        <v>811</v>
      </c>
      <c r="B401" s="2">
        <v>45856</v>
      </c>
      <c r="C401" t="s">
        <v>812</v>
      </c>
      <c r="D401" t="s">
        <v>111</v>
      </c>
      <c r="E401" t="s">
        <v>29</v>
      </c>
      <c r="F401">
        <v>39</v>
      </c>
      <c r="G401" t="s">
        <v>67</v>
      </c>
      <c r="H401" t="s">
        <v>68</v>
      </c>
      <c r="I401" t="s">
        <v>67</v>
      </c>
      <c r="J401" t="s">
        <v>62</v>
      </c>
      <c r="K401">
        <v>2</v>
      </c>
      <c r="L401">
        <v>25677</v>
      </c>
      <c r="M401">
        <v>20</v>
      </c>
      <c r="N401">
        <v>10270.799999999999</v>
      </c>
      <c r="O401">
        <v>7394.98</v>
      </c>
      <c r="P401">
        <v>360</v>
      </c>
      <c r="Q401">
        <v>48838.18</v>
      </c>
      <c r="R401" t="s">
        <v>45</v>
      </c>
      <c r="S401" t="s">
        <v>63</v>
      </c>
      <c r="T401" t="s">
        <v>35</v>
      </c>
      <c r="U401" t="s">
        <v>36</v>
      </c>
      <c r="V401" t="s">
        <v>37</v>
      </c>
      <c r="W401">
        <v>4</v>
      </c>
      <c r="X401" t="s">
        <v>47</v>
      </c>
      <c r="Y401">
        <v>4</v>
      </c>
      <c r="Z401" t="s">
        <v>58</v>
      </c>
    </row>
    <row r="402" spans="1:26" x14ac:dyDescent="0.3">
      <c r="A402" t="s">
        <v>813</v>
      </c>
      <c r="B402" s="2">
        <v>45941</v>
      </c>
      <c r="C402" t="s">
        <v>814</v>
      </c>
      <c r="D402" t="s">
        <v>50</v>
      </c>
      <c r="E402" t="s">
        <v>43</v>
      </c>
      <c r="F402">
        <v>45</v>
      </c>
      <c r="G402" t="s">
        <v>99</v>
      </c>
      <c r="H402" t="s">
        <v>52</v>
      </c>
      <c r="I402" t="s">
        <v>99</v>
      </c>
      <c r="J402" t="s">
        <v>201</v>
      </c>
      <c r="K402">
        <v>1</v>
      </c>
      <c r="L402">
        <v>38257</v>
      </c>
      <c r="M402">
        <v>0</v>
      </c>
      <c r="N402">
        <v>0</v>
      </c>
      <c r="O402">
        <v>6886.26</v>
      </c>
      <c r="P402">
        <v>77</v>
      </c>
      <c r="Q402">
        <v>45220.26</v>
      </c>
      <c r="R402" t="s">
        <v>54</v>
      </c>
      <c r="S402" t="s">
        <v>63</v>
      </c>
      <c r="T402" t="s">
        <v>55</v>
      </c>
      <c r="U402" t="s">
        <v>56</v>
      </c>
      <c r="V402" t="s">
        <v>57</v>
      </c>
      <c r="W402">
        <v>5</v>
      </c>
      <c r="X402" t="s">
        <v>38</v>
      </c>
      <c r="Y402">
        <v>1</v>
      </c>
      <c r="Z402" t="s">
        <v>91</v>
      </c>
    </row>
    <row r="403" spans="1:26" x14ac:dyDescent="0.3">
      <c r="A403" t="s">
        <v>815</v>
      </c>
      <c r="B403" s="2">
        <v>45969</v>
      </c>
      <c r="C403" t="s">
        <v>816</v>
      </c>
      <c r="D403" t="s">
        <v>111</v>
      </c>
      <c r="E403" t="s">
        <v>29</v>
      </c>
      <c r="F403">
        <v>18</v>
      </c>
      <c r="G403" t="s">
        <v>67</v>
      </c>
      <c r="H403" t="s">
        <v>68</v>
      </c>
      <c r="I403" t="s">
        <v>67</v>
      </c>
      <c r="J403" t="s">
        <v>75</v>
      </c>
      <c r="K403">
        <v>3</v>
      </c>
      <c r="L403">
        <v>42836</v>
      </c>
      <c r="M403">
        <v>5</v>
      </c>
      <c r="N403">
        <v>6425.4</v>
      </c>
      <c r="O403">
        <v>21974.87</v>
      </c>
      <c r="P403">
        <v>203</v>
      </c>
      <c r="Q403">
        <v>144260.47</v>
      </c>
      <c r="R403" t="s">
        <v>54</v>
      </c>
      <c r="S403" t="s">
        <v>63</v>
      </c>
      <c r="T403" t="s">
        <v>70</v>
      </c>
      <c r="U403" t="s">
        <v>56</v>
      </c>
      <c r="V403" t="s">
        <v>57</v>
      </c>
      <c r="W403">
        <v>8</v>
      </c>
      <c r="X403" t="s">
        <v>38</v>
      </c>
      <c r="Y403">
        <v>1</v>
      </c>
      <c r="Z403" t="s">
        <v>47</v>
      </c>
    </row>
    <row r="404" spans="1:26" x14ac:dyDescent="0.3">
      <c r="A404" t="s">
        <v>817</v>
      </c>
      <c r="B404" s="2">
        <v>45937</v>
      </c>
      <c r="C404" t="s">
        <v>818</v>
      </c>
      <c r="D404" t="s">
        <v>80</v>
      </c>
      <c r="E404" t="s">
        <v>43</v>
      </c>
      <c r="F404">
        <v>33</v>
      </c>
      <c r="G404" t="s">
        <v>139</v>
      </c>
      <c r="H404" t="s">
        <v>31</v>
      </c>
      <c r="I404" t="s">
        <v>139</v>
      </c>
      <c r="J404" t="s">
        <v>62</v>
      </c>
      <c r="K404">
        <v>5</v>
      </c>
      <c r="L404">
        <v>6082</v>
      </c>
      <c r="M404">
        <v>10</v>
      </c>
      <c r="N404">
        <v>3041</v>
      </c>
      <c r="O404">
        <v>4926.42</v>
      </c>
      <c r="P404">
        <v>451</v>
      </c>
      <c r="Q404">
        <v>32746.42</v>
      </c>
      <c r="R404" t="s">
        <v>54</v>
      </c>
      <c r="S404" t="s">
        <v>63</v>
      </c>
      <c r="T404" t="s">
        <v>84</v>
      </c>
      <c r="U404" t="s">
        <v>85</v>
      </c>
      <c r="V404" t="s">
        <v>86</v>
      </c>
      <c r="W404">
        <v>6</v>
      </c>
      <c r="X404" t="s">
        <v>38</v>
      </c>
      <c r="Y404">
        <v>4</v>
      </c>
      <c r="Z404" t="s">
        <v>58</v>
      </c>
    </row>
    <row r="405" spans="1:26" x14ac:dyDescent="0.3">
      <c r="A405" t="s">
        <v>819</v>
      </c>
      <c r="B405" s="2">
        <v>45962</v>
      </c>
      <c r="C405" t="s">
        <v>820</v>
      </c>
      <c r="D405" t="s">
        <v>80</v>
      </c>
      <c r="E405" t="s">
        <v>29</v>
      </c>
      <c r="F405">
        <v>45</v>
      </c>
      <c r="G405" t="s">
        <v>94</v>
      </c>
      <c r="H405" t="s">
        <v>31</v>
      </c>
      <c r="I405" t="s">
        <v>94</v>
      </c>
      <c r="J405" t="s">
        <v>69</v>
      </c>
      <c r="K405">
        <v>1</v>
      </c>
      <c r="L405">
        <v>31058</v>
      </c>
      <c r="M405">
        <v>20</v>
      </c>
      <c r="N405">
        <v>6211.6</v>
      </c>
      <c r="O405">
        <v>4472.3500000000004</v>
      </c>
      <c r="P405">
        <v>107</v>
      </c>
      <c r="Q405">
        <v>29425.75</v>
      </c>
      <c r="R405" t="s">
        <v>33</v>
      </c>
      <c r="S405" t="s">
        <v>34</v>
      </c>
      <c r="T405" t="s">
        <v>46</v>
      </c>
      <c r="U405" t="s">
        <v>36</v>
      </c>
      <c r="V405" t="s">
        <v>37</v>
      </c>
      <c r="W405">
        <v>2</v>
      </c>
      <c r="X405" t="s">
        <v>38</v>
      </c>
      <c r="Y405">
        <v>1</v>
      </c>
      <c r="Z405" t="s">
        <v>39</v>
      </c>
    </row>
    <row r="406" spans="1:26" x14ac:dyDescent="0.3">
      <c r="A406" t="s">
        <v>821</v>
      </c>
      <c r="B406" s="2">
        <v>45936</v>
      </c>
      <c r="C406" t="s">
        <v>822</v>
      </c>
      <c r="D406" t="s">
        <v>50</v>
      </c>
      <c r="E406" t="s">
        <v>29</v>
      </c>
      <c r="F406">
        <v>20</v>
      </c>
      <c r="G406" t="s">
        <v>30</v>
      </c>
      <c r="H406" t="s">
        <v>31</v>
      </c>
      <c r="I406" t="s">
        <v>30</v>
      </c>
      <c r="J406" t="s">
        <v>69</v>
      </c>
      <c r="K406">
        <v>5</v>
      </c>
      <c r="L406">
        <v>23952</v>
      </c>
      <c r="M406">
        <v>15</v>
      </c>
      <c r="N406">
        <v>17964</v>
      </c>
      <c r="O406">
        <v>18323.28</v>
      </c>
      <c r="P406">
        <v>235</v>
      </c>
      <c r="Q406">
        <v>120354.28</v>
      </c>
      <c r="R406" t="s">
        <v>54</v>
      </c>
      <c r="S406" t="s">
        <v>34</v>
      </c>
      <c r="T406" t="s">
        <v>46</v>
      </c>
      <c r="U406" t="s">
        <v>36</v>
      </c>
      <c r="V406" t="s">
        <v>37</v>
      </c>
      <c r="W406">
        <v>8</v>
      </c>
      <c r="X406" t="s">
        <v>38</v>
      </c>
      <c r="Y406">
        <v>3</v>
      </c>
      <c r="Z406" t="s">
        <v>58</v>
      </c>
    </row>
    <row r="407" spans="1:26" x14ac:dyDescent="0.3">
      <c r="A407" t="s">
        <v>823</v>
      </c>
      <c r="B407" s="2">
        <v>45769</v>
      </c>
      <c r="C407" t="s">
        <v>824</v>
      </c>
      <c r="D407" t="s">
        <v>111</v>
      </c>
      <c r="E407" t="s">
        <v>29</v>
      </c>
      <c r="F407">
        <v>48</v>
      </c>
      <c r="G407" t="s">
        <v>44</v>
      </c>
      <c r="H407" t="s">
        <v>31</v>
      </c>
      <c r="I407" t="s">
        <v>44</v>
      </c>
      <c r="J407" t="s">
        <v>125</v>
      </c>
      <c r="K407">
        <v>3</v>
      </c>
      <c r="L407">
        <v>38091</v>
      </c>
      <c r="M407">
        <v>20</v>
      </c>
      <c r="N407">
        <v>22854.6</v>
      </c>
      <c r="O407">
        <v>16455.310000000001</v>
      </c>
      <c r="P407">
        <v>45</v>
      </c>
      <c r="Q407">
        <v>107918.71</v>
      </c>
      <c r="R407" t="s">
        <v>45</v>
      </c>
      <c r="S407" t="s">
        <v>63</v>
      </c>
      <c r="T407" t="s">
        <v>70</v>
      </c>
      <c r="U407" t="s">
        <v>56</v>
      </c>
      <c r="V407" t="s">
        <v>57</v>
      </c>
      <c r="W407">
        <v>4</v>
      </c>
      <c r="X407" t="s">
        <v>38</v>
      </c>
      <c r="Y407">
        <v>2</v>
      </c>
      <c r="Z407" t="s">
        <v>91</v>
      </c>
    </row>
    <row r="408" spans="1:26" x14ac:dyDescent="0.3">
      <c r="A408" t="s">
        <v>825</v>
      </c>
      <c r="B408" s="2">
        <v>45874</v>
      </c>
      <c r="C408" t="s">
        <v>538</v>
      </c>
      <c r="D408" t="s">
        <v>42</v>
      </c>
      <c r="E408" t="s">
        <v>43</v>
      </c>
      <c r="F408">
        <v>52</v>
      </c>
      <c r="G408" t="s">
        <v>90</v>
      </c>
      <c r="H408" t="s">
        <v>31</v>
      </c>
      <c r="I408" t="s">
        <v>90</v>
      </c>
      <c r="J408" t="s">
        <v>125</v>
      </c>
      <c r="K408">
        <v>3</v>
      </c>
      <c r="L408">
        <v>26216</v>
      </c>
      <c r="M408">
        <v>20</v>
      </c>
      <c r="N408">
        <v>15729.6</v>
      </c>
      <c r="O408">
        <v>11325.31</v>
      </c>
      <c r="P408">
        <v>81</v>
      </c>
      <c r="Q408">
        <v>74324.710000000006</v>
      </c>
      <c r="R408" t="s">
        <v>33</v>
      </c>
      <c r="S408" t="s">
        <v>34</v>
      </c>
      <c r="T408" t="s">
        <v>35</v>
      </c>
      <c r="U408" t="s">
        <v>36</v>
      </c>
      <c r="V408" t="s">
        <v>37</v>
      </c>
      <c r="W408">
        <v>10</v>
      </c>
      <c r="X408" t="s">
        <v>47</v>
      </c>
      <c r="Y408">
        <v>2</v>
      </c>
      <c r="Z408" t="s">
        <v>58</v>
      </c>
    </row>
    <row r="409" spans="1:26" x14ac:dyDescent="0.3">
      <c r="A409" t="s">
        <v>826</v>
      </c>
      <c r="B409" s="2">
        <v>46027</v>
      </c>
      <c r="C409" t="s">
        <v>227</v>
      </c>
      <c r="D409" t="s">
        <v>28</v>
      </c>
      <c r="E409" t="s">
        <v>29</v>
      </c>
      <c r="F409">
        <v>27</v>
      </c>
      <c r="G409" t="s">
        <v>139</v>
      </c>
      <c r="H409" t="s">
        <v>31</v>
      </c>
      <c r="I409" t="s">
        <v>139</v>
      </c>
      <c r="J409" t="s">
        <v>201</v>
      </c>
      <c r="K409">
        <v>1</v>
      </c>
      <c r="L409">
        <v>39817</v>
      </c>
      <c r="M409">
        <v>0</v>
      </c>
      <c r="N409">
        <v>0</v>
      </c>
      <c r="O409">
        <v>7167.06</v>
      </c>
      <c r="P409">
        <v>338</v>
      </c>
      <c r="Q409">
        <v>47322.06</v>
      </c>
      <c r="R409" t="s">
        <v>83</v>
      </c>
      <c r="S409" t="s">
        <v>34</v>
      </c>
      <c r="T409" t="s">
        <v>70</v>
      </c>
      <c r="U409" t="s">
        <v>56</v>
      </c>
      <c r="V409" t="s">
        <v>57</v>
      </c>
      <c r="W409">
        <v>5</v>
      </c>
      <c r="X409" t="s">
        <v>38</v>
      </c>
      <c r="Y409">
        <v>2</v>
      </c>
      <c r="Z409" t="s">
        <v>39</v>
      </c>
    </row>
    <row r="410" spans="1:26" x14ac:dyDescent="0.3">
      <c r="A410" t="s">
        <v>827</v>
      </c>
      <c r="B410" s="2">
        <v>45846</v>
      </c>
      <c r="C410" t="s">
        <v>828</v>
      </c>
      <c r="D410" t="s">
        <v>89</v>
      </c>
      <c r="E410" t="s">
        <v>43</v>
      </c>
      <c r="F410">
        <v>21</v>
      </c>
      <c r="G410" t="s">
        <v>134</v>
      </c>
      <c r="H410" t="s">
        <v>31</v>
      </c>
      <c r="I410" t="s">
        <v>134</v>
      </c>
      <c r="J410" t="s">
        <v>201</v>
      </c>
      <c r="K410">
        <v>2</v>
      </c>
      <c r="L410">
        <v>13948</v>
      </c>
      <c r="M410">
        <v>20</v>
      </c>
      <c r="N410">
        <v>5579.2</v>
      </c>
      <c r="O410">
        <v>4017.02</v>
      </c>
      <c r="P410">
        <v>146</v>
      </c>
      <c r="Q410">
        <v>26479.82</v>
      </c>
      <c r="R410" t="s">
        <v>54</v>
      </c>
      <c r="S410" t="s">
        <v>34</v>
      </c>
      <c r="T410" t="s">
        <v>35</v>
      </c>
      <c r="U410" t="s">
        <v>36</v>
      </c>
      <c r="V410" t="s">
        <v>37</v>
      </c>
      <c r="W410">
        <v>2</v>
      </c>
      <c r="X410" t="s">
        <v>47</v>
      </c>
      <c r="Y410">
        <v>1</v>
      </c>
      <c r="Z410" t="s">
        <v>39</v>
      </c>
    </row>
    <row r="411" spans="1:26" x14ac:dyDescent="0.3">
      <c r="A411" t="s">
        <v>829</v>
      </c>
      <c r="B411" s="2">
        <v>45843</v>
      </c>
      <c r="C411" t="s">
        <v>830</v>
      </c>
      <c r="D411" t="s">
        <v>28</v>
      </c>
      <c r="E411" t="s">
        <v>43</v>
      </c>
      <c r="F411">
        <v>26</v>
      </c>
      <c r="G411" t="s">
        <v>67</v>
      </c>
      <c r="H411" t="s">
        <v>68</v>
      </c>
      <c r="I411" t="s">
        <v>67</v>
      </c>
      <c r="J411" t="s">
        <v>201</v>
      </c>
      <c r="K411">
        <v>2</v>
      </c>
      <c r="L411">
        <v>23299</v>
      </c>
      <c r="M411">
        <v>10</v>
      </c>
      <c r="N411">
        <v>4659.8</v>
      </c>
      <c r="O411">
        <v>7548.88</v>
      </c>
      <c r="P411">
        <v>416</v>
      </c>
      <c r="Q411">
        <v>49903.08</v>
      </c>
      <c r="R411" t="s">
        <v>33</v>
      </c>
      <c r="S411" t="s">
        <v>63</v>
      </c>
      <c r="T411" t="s">
        <v>84</v>
      </c>
      <c r="U411" t="s">
        <v>85</v>
      </c>
      <c r="V411" t="s">
        <v>86</v>
      </c>
      <c r="W411">
        <v>1</v>
      </c>
      <c r="X411" t="s">
        <v>47</v>
      </c>
      <c r="Y411">
        <v>2</v>
      </c>
      <c r="Z411" t="s">
        <v>58</v>
      </c>
    </row>
    <row r="412" spans="1:26" x14ac:dyDescent="0.3">
      <c r="A412" t="s">
        <v>831</v>
      </c>
      <c r="B412" s="2">
        <v>45895</v>
      </c>
      <c r="C412" t="s">
        <v>832</v>
      </c>
      <c r="D412" t="s">
        <v>50</v>
      </c>
      <c r="E412" t="s">
        <v>29</v>
      </c>
      <c r="F412">
        <v>32</v>
      </c>
      <c r="G412" t="s">
        <v>90</v>
      </c>
      <c r="H412" t="s">
        <v>31</v>
      </c>
      <c r="I412" t="s">
        <v>90</v>
      </c>
      <c r="J412" t="s">
        <v>53</v>
      </c>
      <c r="K412">
        <v>2</v>
      </c>
      <c r="L412">
        <v>32677</v>
      </c>
      <c r="M412">
        <v>10</v>
      </c>
      <c r="N412">
        <v>6535.4</v>
      </c>
      <c r="O412">
        <v>10587.35</v>
      </c>
      <c r="P412">
        <v>159</v>
      </c>
      <c r="Q412">
        <v>69564.95</v>
      </c>
      <c r="R412" t="s">
        <v>83</v>
      </c>
      <c r="S412" t="s">
        <v>34</v>
      </c>
      <c r="T412" t="s">
        <v>35</v>
      </c>
      <c r="U412" t="s">
        <v>36</v>
      </c>
      <c r="V412" t="s">
        <v>37</v>
      </c>
      <c r="W412">
        <v>3</v>
      </c>
      <c r="X412" t="s">
        <v>47</v>
      </c>
      <c r="Y412">
        <v>4</v>
      </c>
      <c r="Z412" t="s">
        <v>39</v>
      </c>
    </row>
    <row r="413" spans="1:26" x14ac:dyDescent="0.3">
      <c r="A413" t="s">
        <v>833</v>
      </c>
      <c r="B413" s="2">
        <v>45768</v>
      </c>
      <c r="C413" t="s">
        <v>834</v>
      </c>
      <c r="D413" t="s">
        <v>108</v>
      </c>
      <c r="E413" t="s">
        <v>29</v>
      </c>
      <c r="F413">
        <v>21</v>
      </c>
      <c r="G413" t="s">
        <v>51</v>
      </c>
      <c r="H413" t="s">
        <v>52</v>
      </c>
      <c r="I413" t="s">
        <v>51</v>
      </c>
      <c r="J413" t="s">
        <v>69</v>
      </c>
      <c r="K413">
        <v>2</v>
      </c>
      <c r="L413">
        <v>31723</v>
      </c>
      <c r="M413">
        <v>15</v>
      </c>
      <c r="N413">
        <v>9516.9</v>
      </c>
      <c r="O413">
        <v>9707.24</v>
      </c>
      <c r="P413">
        <v>178</v>
      </c>
      <c r="Q413">
        <v>63814.34</v>
      </c>
      <c r="R413" t="s">
        <v>45</v>
      </c>
      <c r="S413" t="s">
        <v>63</v>
      </c>
      <c r="T413" t="s">
        <v>95</v>
      </c>
      <c r="U413" t="s">
        <v>96</v>
      </c>
      <c r="V413" t="s">
        <v>57</v>
      </c>
      <c r="W413">
        <v>2</v>
      </c>
      <c r="X413" t="s">
        <v>38</v>
      </c>
      <c r="Y413">
        <v>2</v>
      </c>
      <c r="Z413" t="s">
        <v>47</v>
      </c>
    </row>
    <row r="414" spans="1:26" x14ac:dyDescent="0.3">
      <c r="A414" t="s">
        <v>835</v>
      </c>
      <c r="B414" s="2">
        <v>45836</v>
      </c>
      <c r="C414" t="s">
        <v>427</v>
      </c>
      <c r="D414" t="s">
        <v>42</v>
      </c>
      <c r="E414" t="s">
        <v>43</v>
      </c>
      <c r="F414">
        <v>18</v>
      </c>
      <c r="G414" t="s">
        <v>90</v>
      </c>
      <c r="H414" t="s">
        <v>31</v>
      </c>
      <c r="I414" t="s">
        <v>90</v>
      </c>
      <c r="J414" t="s">
        <v>102</v>
      </c>
      <c r="K414">
        <v>3</v>
      </c>
      <c r="L414">
        <v>32699</v>
      </c>
      <c r="M414">
        <v>15</v>
      </c>
      <c r="N414">
        <v>14714.55</v>
      </c>
      <c r="O414">
        <v>15008.84</v>
      </c>
      <c r="P414">
        <v>232</v>
      </c>
      <c r="Q414">
        <v>98623.29</v>
      </c>
      <c r="R414" t="s">
        <v>83</v>
      </c>
      <c r="S414" t="s">
        <v>34</v>
      </c>
      <c r="T414" t="s">
        <v>84</v>
      </c>
      <c r="U414" t="s">
        <v>85</v>
      </c>
      <c r="V414" t="s">
        <v>86</v>
      </c>
      <c r="W414">
        <v>4</v>
      </c>
      <c r="X414" t="s">
        <v>38</v>
      </c>
      <c r="Y414">
        <v>1</v>
      </c>
      <c r="Z414" t="s">
        <v>91</v>
      </c>
    </row>
    <row r="415" spans="1:26" x14ac:dyDescent="0.3">
      <c r="A415" t="s">
        <v>836</v>
      </c>
      <c r="B415" s="2">
        <v>45955</v>
      </c>
      <c r="C415" t="s">
        <v>650</v>
      </c>
      <c r="D415" t="s">
        <v>73</v>
      </c>
      <c r="E415" t="s">
        <v>43</v>
      </c>
      <c r="F415">
        <v>40</v>
      </c>
      <c r="G415" t="s">
        <v>67</v>
      </c>
      <c r="H415" t="s">
        <v>68</v>
      </c>
      <c r="I415" t="s">
        <v>67</v>
      </c>
      <c r="J415" t="s">
        <v>125</v>
      </c>
      <c r="K415">
        <v>5</v>
      </c>
      <c r="L415">
        <v>13093</v>
      </c>
      <c r="M415">
        <v>15</v>
      </c>
      <c r="N415">
        <v>9819.75</v>
      </c>
      <c r="O415">
        <v>10016.15</v>
      </c>
      <c r="P415">
        <v>119</v>
      </c>
      <c r="Q415">
        <v>65780.399999999994</v>
      </c>
      <c r="R415" t="s">
        <v>45</v>
      </c>
      <c r="S415" t="s">
        <v>34</v>
      </c>
      <c r="T415" t="s">
        <v>35</v>
      </c>
      <c r="U415" t="s">
        <v>36</v>
      </c>
      <c r="V415" t="s">
        <v>37</v>
      </c>
      <c r="W415">
        <v>9</v>
      </c>
      <c r="X415" t="s">
        <v>47</v>
      </c>
      <c r="Y415">
        <v>2</v>
      </c>
      <c r="Z415" t="s">
        <v>47</v>
      </c>
    </row>
    <row r="416" spans="1:26" x14ac:dyDescent="0.3">
      <c r="A416" t="s">
        <v>837</v>
      </c>
      <c r="B416" s="2">
        <v>45889</v>
      </c>
      <c r="C416" t="s">
        <v>838</v>
      </c>
      <c r="D416" t="s">
        <v>89</v>
      </c>
      <c r="E416" t="s">
        <v>29</v>
      </c>
      <c r="F416">
        <v>44</v>
      </c>
      <c r="G416" t="s">
        <v>139</v>
      </c>
      <c r="H416" t="s">
        <v>31</v>
      </c>
      <c r="I416" t="s">
        <v>139</v>
      </c>
      <c r="J416" t="s">
        <v>69</v>
      </c>
      <c r="K416">
        <v>1</v>
      </c>
      <c r="L416">
        <v>29058</v>
      </c>
      <c r="M416">
        <v>15</v>
      </c>
      <c r="N416">
        <v>4358.7</v>
      </c>
      <c r="O416">
        <v>4445.87</v>
      </c>
      <c r="P416">
        <v>483</v>
      </c>
      <c r="Q416">
        <v>29628.17</v>
      </c>
      <c r="R416" t="s">
        <v>33</v>
      </c>
      <c r="S416" t="s">
        <v>63</v>
      </c>
      <c r="T416" t="s">
        <v>70</v>
      </c>
      <c r="U416" t="s">
        <v>56</v>
      </c>
      <c r="V416" t="s">
        <v>57</v>
      </c>
      <c r="W416">
        <v>4</v>
      </c>
      <c r="X416" t="s">
        <v>47</v>
      </c>
      <c r="Y416">
        <v>2</v>
      </c>
      <c r="Z416" t="s">
        <v>58</v>
      </c>
    </row>
    <row r="417" spans="1:26" x14ac:dyDescent="0.3">
      <c r="A417" t="s">
        <v>839</v>
      </c>
      <c r="B417" s="2">
        <v>46085</v>
      </c>
      <c r="C417" t="s">
        <v>840</v>
      </c>
      <c r="D417" t="s">
        <v>50</v>
      </c>
      <c r="E417" t="s">
        <v>29</v>
      </c>
      <c r="F417">
        <v>34</v>
      </c>
      <c r="G417" t="s">
        <v>90</v>
      </c>
      <c r="H417" t="s">
        <v>31</v>
      </c>
      <c r="I417" t="s">
        <v>90</v>
      </c>
      <c r="J417" t="s">
        <v>112</v>
      </c>
      <c r="K417">
        <v>4</v>
      </c>
      <c r="L417">
        <v>893</v>
      </c>
      <c r="M417">
        <v>15</v>
      </c>
      <c r="N417">
        <v>535.79999999999995</v>
      </c>
      <c r="O417">
        <v>546.52</v>
      </c>
      <c r="P417">
        <v>235</v>
      </c>
      <c r="Q417">
        <v>3817.72</v>
      </c>
      <c r="R417" t="s">
        <v>45</v>
      </c>
      <c r="S417" t="s">
        <v>63</v>
      </c>
      <c r="T417" t="s">
        <v>95</v>
      </c>
      <c r="U417" t="s">
        <v>96</v>
      </c>
      <c r="V417" t="s">
        <v>57</v>
      </c>
      <c r="W417">
        <v>3</v>
      </c>
      <c r="X417" t="s">
        <v>38</v>
      </c>
      <c r="Y417">
        <v>5</v>
      </c>
      <c r="Z417" t="s">
        <v>58</v>
      </c>
    </row>
    <row r="418" spans="1:26" x14ac:dyDescent="0.3">
      <c r="A418" t="s">
        <v>841</v>
      </c>
      <c r="B418" s="2">
        <v>46012</v>
      </c>
      <c r="C418" t="s">
        <v>553</v>
      </c>
      <c r="D418" t="s">
        <v>89</v>
      </c>
      <c r="E418" t="s">
        <v>29</v>
      </c>
      <c r="F418">
        <v>43</v>
      </c>
      <c r="G418" t="s">
        <v>51</v>
      </c>
      <c r="H418" t="s">
        <v>52</v>
      </c>
      <c r="I418" t="s">
        <v>51</v>
      </c>
      <c r="J418" t="s">
        <v>62</v>
      </c>
      <c r="K418">
        <v>2</v>
      </c>
      <c r="L418">
        <v>30884</v>
      </c>
      <c r="M418">
        <v>15</v>
      </c>
      <c r="N418">
        <v>9265.2000000000007</v>
      </c>
      <c r="O418">
        <v>9450.5</v>
      </c>
      <c r="P418">
        <v>377</v>
      </c>
      <c r="Q418">
        <v>62330.3</v>
      </c>
      <c r="R418" t="s">
        <v>54</v>
      </c>
      <c r="S418" t="s">
        <v>34</v>
      </c>
      <c r="T418" t="s">
        <v>55</v>
      </c>
      <c r="U418" t="s">
        <v>56</v>
      </c>
      <c r="V418" t="s">
        <v>57</v>
      </c>
      <c r="W418">
        <v>4</v>
      </c>
      <c r="X418" t="s">
        <v>38</v>
      </c>
      <c r="Y418">
        <v>5</v>
      </c>
      <c r="Z418" t="s">
        <v>58</v>
      </c>
    </row>
    <row r="419" spans="1:26" x14ac:dyDescent="0.3">
      <c r="A419" t="s">
        <v>842</v>
      </c>
      <c r="B419" s="2">
        <v>46053</v>
      </c>
      <c r="C419" t="s">
        <v>120</v>
      </c>
      <c r="D419" t="s">
        <v>61</v>
      </c>
      <c r="E419" t="s">
        <v>29</v>
      </c>
      <c r="F419">
        <v>32</v>
      </c>
      <c r="G419" t="s">
        <v>94</v>
      </c>
      <c r="H419" t="s">
        <v>31</v>
      </c>
      <c r="I419" t="s">
        <v>94</v>
      </c>
      <c r="J419" t="s">
        <v>102</v>
      </c>
      <c r="K419">
        <v>1</v>
      </c>
      <c r="L419">
        <v>18649</v>
      </c>
      <c r="M419">
        <v>10</v>
      </c>
      <c r="N419">
        <v>1864.9</v>
      </c>
      <c r="O419">
        <v>3021.14</v>
      </c>
      <c r="P419">
        <v>223</v>
      </c>
      <c r="Q419">
        <v>20028.240000000002</v>
      </c>
      <c r="R419" t="s">
        <v>33</v>
      </c>
      <c r="S419" t="s">
        <v>63</v>
      </c>
      <c r="T419" t="s">
        <v>103</v>
      </c>
      <c r="U419" t="s">
        <v>103</v>
      </c>
      <c r="V419" t="s">
        <v>57</v>
      </c>
      <c r="W419">
        <v>2</v>
      </c>
      <c r="X419" t="s">
        <v>47</v>
      </c>
      <c r="Y419">
        <v>2</v>
      </c>
      <c r="Z419" t="s">
        <v>58</v>
      </c>
    </row>
    <row r="420" spans="1:26" x14ac:dyDescent="0.3">
      <c r="A420" t="s">
        <v>843</v>
      </c>
      <c r="B420" s="2">
        <v>45758</v>
      </c>
      <c r="C420" t="s">
        <v>844</v>
      </c>
      <c r="D420" t="s">
        <v>28</v>
      </c>
      <c r="E420" t="s">
        <v>43</v>
      </c>
      <c r="F420">
        <v>57</v>
      </c>
      <c r="G420" t="s">
        <v>30</v>
      </c>
      <c r="H420" t="s">
        <v>31</v>
      </c>
      <c r="I420" t="s">
        <v>30</v>
      </c>
      <c r="J420" t="s">
        <v>75</v>
      </c>
      <c r="K420">
        <v>4</v>
      </c>
      <c r="L420">
        <v>25831</v>
      </c>
      <c r="M420">
        <v>0</v>
      </c>
      <c r="N420">
        <v>0</v>
      </c>
      <c r="O420">
        <v>18598.32</v>
      </c>
      <c r="P420">
        <v>290</v>
      </c>
      <c r="Q420">
        <v>122212.32</v>
      </c>
      <c r="R420" t="s">
        <v>54</v>
      </c>
      <c r="S420" t="s">
        <v>63</v>
      </c>
      <c r="T420" t="s">
        <v>46</v>
      </c>
      <c r="U420" t="s">
        <v>36</v>
      </c>
      <c r="V420" t="s">
        <v>37</v>
      </c>
      <c r="W420">
        <v>9</v>
      </c>
      <c r="X420" t="s">
        <v>38</v>
      </c>
      <c r="Y420">
        <v>5</v>
      </c>
      <c r="Z420" t="s">
        <v>58</v>
      </c>
    </row>
    <row r="421" spans="1:26" x14ac:dyDescent="0.3">
      <c r="A421" t="s">
        <v>845</v>
      </c>
      <c r="B421" s="2">
        <v>45876</v>
      </c>
      <c r="C421" t="s">
        <v>846</v>
      </c>
      <c r="D421" t="s">
        <v>111</v>
      </c>
      <c r="E421" t="s">
        <v>43</v>
      </c>
      <c r="F421">
        <v>22</v>
      </c>
      <c r="G421" t="s">
        <v>99</v>
      </c>
      <c r="H421" t="s">
        <v>52</v>
      </c>
      <c r="I421" t="s">
        <v>99</v>
      </c>
      <c r="J421" t="s">
        <v>62</v>
      </c>
      <c r="K421">
        <v>3</v>
      </c>
      <c r="L421">
        <v>5184</v>
      </c>
      <c r="M421">
        <v>10</v>
      </c>
      <c r="N421">
        <v>1555.2</v>
      </c>
      <c r="O421">
        <v>2519.42</v>
      </c>
      <c r="P421">
        <v>384</v>
      </c>
      <c r="Q421">
        <v>16900.22</v>
      </c>
      <c r="R421" t="s">
        <v>33</v>
      </c>
      <c r="S421" t="s">
        <v>63</v>
      </c>
      <c r="T421" t="s">
        <v>70</v>
      </c>
      <c r="U421" t="s">
        <v>56</v>
      </c>
      <c r="V421" t="s">
        <v>57</v>
      </c>
      <c r="W421">
        <v>10</v>
      </c>
      <c r="X421" t="s">
        <v>47</v>
      </c>
      <c r="Y421">
        <v>3</v>
      </c>
      <c r="Z421" t="s">
        <v>91</v>
      </c>
    </row>
    <row r="422" spans="1:26" x14ac:dyDescent="0.3">
      <c r="A422" t="s">
        <v>847</v>
      </c>
      <c r="B422" s="2">
        <v>46108</v>
      </c>
      <c r="C422" t="s">
        <v>848</v>
      </c>
      <c r="D422" t="s">
        <v>50</v>
      </c>
      <c r="E422" t="s">
        <v>29</v>
      </c>
      <c r="F422">
        <v>30</v>
      </c>
      <c r="G422" t="s">
        <v>51</v>
      </c>
      <c r="H422" t="s">
        <v>52</v>
      </c>
      <c r="I422" t="s">
        <v>51</v>
      </c>
      <c r="J422" t="s">
        <v>102</v>
      </c>
      <c r="K422">
        <v>2</v>
      </c>
      <c r="L422">
        <v>6464</v>
      </c>
      <c r="M422">
        <v>5</v>
      </c>
      <c r="N422">
        <v>646.4</v>
      </c>
      <c r="O422">
        <v>2210.69</v>
      </c>
      <c r="P422">
        <v>494</v>
      </c>
      <c r="Q422">
        <v>14986.29</v>
      </c>
      <c r="R422" t="s">
        <v>45</v>
      </c>
      <c r="S422" t="s">
        <v>63</v>
      </c>
      <c r="T422" t="s">
        <v>70</v>
      </c>
      <c r="U422" t="s">
        <v>56</v>
      </c>
      <c r="V422" t="s">
        <v>57</v>
      </c>
      <c r="W422">
        <v>2</v>
      </c>
      <c r="X422" t="s">
        <v>38</v>
      </c>
      <c r="Y422">
        <v>1</v>
      </c>
      <c r="Z422" t="s">
        <v>91</v>
      </c>
    </row>
    <row r="423" spans="1:26" x14ac:dyDescent="0.3">
      <c r="A423" t="s">
        <v>849</v>
      </c>
      <c r="B423" s="2">
        <v>45916</v>
      </c>
      <c r="C423" t="s">
        <v>114</v>
      </c>
      <c r="D423" t="s">
        <v>28</v>
      </c>
      <c r="E423" t="s">
        <v>43</v>
      </c>
      <c r="F423">
        <v>19</v>
      </c>
      <c r="G423" t="s">
        <v>74</v>
      </c>
      <c r="H423" t="s">
        <v>31</v>
      </c>
      <c r="I423" t="s">
        <v>74</v>
      </c>
      <c r="J423" t="s">
        <v>125</v>
      </c>
      <c r="K423">
        <v>1</v>
      </c>
      <c r="L423">
        <v>41930</v>
      </c>
      <c r="M423">
        <v>20</v>
      </c>
      <c r="N423">
        <v>8386</v>
      </c>
      <c r="O423">
        <v>6037.92</v>
      </c>
      <c r="P423">
        <v>39</v>
      </c>
      <c r="Q423">
        <v>39620.92</v>
      </c>
      <c r="R423" t="s">
        <v>83</v>
      </c>
      <c r="S423" t="s">
        <v>63</v>
      </c>
      <c r="T423" t="s">
        <v>95</v>
      </c>
      <c r="U423" t="s">
        <v>96</v>
      </c>
      <c r="V423" t="s">
        <v>57</v>
      </c>
      <c r="W423">
        <v>1</v>
      </c>
      <c r="X423" t="s">
        <v>38</v>
      </c>
      <c r="Y423">
        <v>3</v>
      </c>
      <c r="Z423" t="s">
        <v>58</v>
      </c>
    </row>
    <row r="424" spans="1:26" x14ac:dyDescent="0.3">
      <c r="A424" t="s">
        <v>850</v>
      </c>
      <c r="B424" s="2">
        <v>46027</v>
      </c>
      <c r="C424" t="s">
        <v>851</v>
      </c>
      <c r="D424" t="s">
        <v>61</v>
      </c>
      <c r="E424" t="s">
        <v>29</v>
      </c>
      <c r="F424">
        <v>30</v>
      </c>
      <c r="G424" t="s">
        <v>99</v>
      </c>
      <c r="H424" t="s">
        <v>52</v>
      </c>
      <c r="I424" t="s">
        <v>99</v>
      </c>
      <c r="J424" t="s">
        <v>150</v>
      </c>
      <c r="K424">
        <v>2</v>
      </c>
      <c r="L424">
        <v>602</v>
      </c>
      <c r="M424">
        <v>5</v>
      </c>
      <c r="N424">
        <v>60.2</v>
      </c>
      <c r="O424">
        <v>205.88</v>
      </c>
      <c r="P424">
        <v>330</v>
      </c>
      <c r="Q424">
        <v>1679.68</v>
      </c>
      <c r="R424" t="s">
        <v>33</v>
      </c>
      <c r="S424" t="s">
        <v>63</v>
      </c>
      <c r="T424" t="s">
        <v>46</v>
      </c>
      <c r="U424" t="s">
        <v>36</v>
      </c>
      <c r="V424" t="s">
        <v>37</v>
      </c>
      <c r="W424">
        <v>4</v>
      </c>
      <c r="X424" t="s">
        <v>47</v>
      </c>
      <c r="Y424">
        <v>3</v>
      </c>
      <c r="Z424" t="s">
        <v>39</v>
      </c>
    </row>
    <row r="425" spans="1:26" x14ac:dyDescent="0.3">
      <c r="A425" t="s">
        <v>852</v>
      </c>
      <c r="B425" s="2">
        <v>45928</v>
      </c>
      <c r="C425" t="s">
        <v>853</v>
      </c>
      <c r="D425" t="s">
        <v>111</v>
      </c>
      <c r="E425" t="s">
        <v>29</v>
      </c>
      <c r="F425">
        <v>44</v>
      </c>
      <c r="G425" t="s">
        <v>67</v>
      </c>
      <c r="H425" t="s">
        <v>68</v>
      </c>
      <c r="I425" t="s">
        <v>67</v>
      </c>
      <c r="J425" t="s">
        <v>150</v>
      </c>
      <c r="K425">
        <v>4</v>
      </c>
      <c r="L425">
        <v>32958</v>
      </c>
      <c r="M425">
        <v>15</v>
      </c>
      <c r="N425">
        <v>19774.8</v>
      </c>
      <c r="O425">
        <v>20170.3</v>
      </c>
      <c r="P425">
        <v>359</v>
      </c>
      <c r="Q425">
        <v>132586.5</v>
      </c>
      <c r="R425" t="s">
        <v>33</v>
      </c>
      <c r="S425" t="s">
        <v>63</v>
      </c>
      <c r="T425" t="s">
        <v>103</v>
      </c>
      <c r="U425" t="s">
        <v>103</v>
      </c>
      <c r="V425" t="s">
        <v>57</v>
      </c>
      <c r="W425">
        <v>4</v>
      </c>
      <c r="X425" t="s">
        <v>38</v>
      </c>
      <c r="Y425">
        <v>3</v>
      </c>
      <c r="Z425" t="s">
        <v>47</v>
      </c>
    </row>
    <row r="426" spans="1:26" x14ac:dyDescent="0.3">
      <c r="A426" t="s">
        <v>854</v>
      </c>
      <c r="B426" s="2">
        <v>45836</v>
      </c>
      <c r="C426" t="s">
        <v>855</v>
      </c>
      <c r="D426" t="s">
        <v>66</v>
      </c>
      <c r="E426" t="s">
        <v>29</v>
      </c>
      <c r="F426">
        <v>29</v>
      </c>
      <c r="G426" t="s">
        <v>30</v>
      </c>
      <c r="H426" t="s">
        <v>31</v>
      </c>
      <c r="I426" t="s">
        <v>30</v>
      </c>
      <c r="J426" t="s">
        <v>32</v>
      </c>
      <c r="K426">
        <v>1</v>
      </c>
      <c r="L426">
        <v>22795</v>
      </c>
      <c r="M426">
        <v>20</v>
      </c>
      <c r="N426">
        <v>4559</v>
      </c>
      <c r="O426">
        <v>3282.48</v>
      </c>
      <c r="P426">
        <v>408</v>
      </c>
      <c r="Q426">
        <v>21926.48</v>
      </c>
      <c r="R426" t="s">
        <v>45</v>
      </c>
      <c r="S426" t="s">
        <v>63</v>
      </c>
      <c r="T426" t="s">
        <v>84</v>
      </c>
      <c r="U426" t="s">
        <v>85</v>
      </c>
      <c r="V426" t="s">
        <v>86</v>
      </c>
      <c r="W426">
        <v>10</v>
      </c>
      <c r="X426" t="s">
        <v>38</v>
      </c>
      <c r="Y426">
        <v>1</v>
      </c>
      <c r="Z426" t="s">
        <v>39</v>
      </c>
    </row>
    <row r="427" spans="1:26" x14ac:dyDescent="0.3">
      <c r="A427" t="s">
        <v>856</v>
      </c>
      <c r="B427" s="2">
        <v>45988</v>
      </c>
      <c r="C427" t="s">
        <v>410</v>
      </c>
      <c r="D427" t="s">
        <v>50</v>
      </c>
      <c r="E427" t="s">
        <v>43</v>
      </c>
      <c r="F427">
        <v>34</v>
      </c>
      <c r="G427" t="s">
        <v>134</v>
      </c>
      <c r="H427" t="s">
        <v>31</v>
      </c>
      <c r="I427" t="s">
        <v>134</v>
      </c>
      <c r="J427" t="s">
        <v>69</v>
      </c>
      <c r="K427">
        <v>2</v>
      </c>
      <c r="L427">
        <v>44955</v>
      </c>
      <c r="M427">
        <v>15</v>
      </c>
      <c r="N427">
        <v>13486.5</v>
      </c>
      <c r="O427">
        <v>13756.23</v>
      </c>
      <c r="P427">
        <v>122</v>
      </c>
      <c r="Q427">
        <v>90301.73</v>
      </c>
      <c r="R427" t="s">
        <v>33</v>
      </c>
      <c r="S427" t="s">
        <v>34</v>
      </c>
      <c r="T427" t="s">
        <v>55</v>
      </c>
      <c r="U427" t="s">
        <v>56</v>
      </c>
      <c r="V427" t="s">
        <v>57</v>
      </c>
      <c r="W427">
        <v>2</v>
      </c>
      <c r="X427" t="s">
        <v>38</v>
      </c>
      <c r="Y427">
        <v>3</v>
      </c>
      <c r="Z427" t="s">
        <v>39</v>
      </c>
    </row>
    <row r="428" spans="1:26" x14ac:dyDescent="0.3">
      <c r="A428" t="s">
        <v>857</v>
      </c>
      <c r="B428" s="2">
        <v>46067</v>
      </c>
      <c r="C428" t="s">
        <v>858</v>
      </c>
      <c r="D428" t="s">
        <v>73</v>
      </c>
      <c r="E428" t="s">
        <v>29</v>
      </c>
      <c r="F428">
        <v>32</v>
      </c>
      <c r="G428" t="s">
        <v>99</v>
      </c>
      <c r="H428" t="s">
        <v>52</v>
      </c>
      <c r="I428" t="s">
        <v>99</v>
      </c>
      <c r="J428" t="s">
        <v>69</v>
      </c>
      <c r="K428">
        <v>3</v>
      </c>
      <c r="L428">
        <v>29894</v>
      </c>
      <c r="M428">
        <v>5</v>
      </c>
      <c r="N428">
        <v>4484.1000000000004</v>
      </c>
      <c r="O428">
        <v>15335.62</v>
      </c>
      <c r="P428">
        <v>374</v>
      </c>
      <c r="Q428">
        <v>100907.52</v>
      </c>
      <c r="R428" t="s">
        <v>45</v>
      </c>
      <c r="S428" t="s">
        <v>34</v>
      </c>
      <c r="T428" t="s">
        <v>46</v>
      </c>
      <c r="U428" t="s">
        <v>36</v>
      </c>
      <c r="V428" t="s">
        <v>37</v>
      </c>
      <c r="W428">
        <v>2</v>
      </c>
      <c r="X428" t="s">
        <v>38</v>
      </c>
      <c r="Y428">
        <v>4</v>
      </c>
      <c r="Z428" t="s">
        <v>39</v>
      </c>
    </row>
    <row r="429" spans="1:26" x14ac:dyDescent="0.3">
      <c r="A429" t="s">
        <v>859</v>
      </c>
      <c r="B429" s="2">
        <v>46002</v>
      </c>
      <c r="C429" t="s">
        <v>860</v>
      </c>
      <c r="D429" t="s">
        <v>28</v>
      </c>
      <c r="E429" t="s">
        <v>29</v>
      </c>
      <c r="F429">
        <v>53</v>
      </c>
      <c r="G429" t="s">
        <v>139</v>
      </c>
      <c r="H429" t="s">
        <v>31</v>
      </c>
      <c r="I429" t="s">
        <v>139</v>
      </c>
      <c r="J429" t="s">
        <v>75</v>
      </c>
      <c r="K429">
        <v>1</v>
      </c>
      <c r="L429">
        <v>18999</v>
      </c>
      <c r="M429">
        <v>20</v>
      </c>
      <c r="N429">
        <v>3799.8</v>
      </c>
      <c r="O429">
        <v>2735.86</v>
      </c>
      <c r="P429">
        <v>252</v>
      </c>
      <c r="Q429">
        <v>18187.060000000001</v>
      </c>
      <c r="R429" t="s">
        <v>54</v>
      </c>
      <c r="S429" t="s">
        <v>34</v>
      </c>
      <c r="T429" t="s">
        <v>70</v>
      </c>
      <c r="U429" t="s">
        <v>56</v>
      </c>
      <c r="V429" t="s">
        <v>57</v>
      </c>
      <c r="W429">
        <v>1</v>
      </c>
      <c r="X429" t="s">
        <v>47</v>
      </c>
      <c r="Y429">
        <v>5</v>
      </c>
      <c r="Z429" t="s">
        <v>47</v>
      </c>
    </row>
    <row r="430" spans="1:26" x14ac:dyDescent="0.3">
      <c r="A430" t="s">
        <v>861</v>
      </c>
      <c r="B430" s="2">
        <v>45886</v>
      </c>
      <c r="C430" t="s">
        <v>855</v>
      </c>
      <c r="D430" t="s">
        <v>28</v>
      </c>
      <c r="E430" t="s">
        <v>29</v>
      </c>
      <c r="F430">
        <v>20</v>
      </c>
      <c r="G430" t="s">
        <v>51</v>
      </c>
      <c r="H430" t="s">
        <v>52</v>
      </c>
      <c r="I430" t="s">
        <v>51</v>
      </c>
      <c r="J430" t="s">
        <v>53</v>
      </c>
      <c r="K430">
        <v>2</v>
      </c>
      <c r="L430">
        <v>5211</v>
      </c>
      <c r="M430">
        <v>10</v>
      </c>
      <c r="N430">
        <v>1042.2</v>
      </c>
      <c r="O430">
        <v>1688.36</v>
      </c>
      <c r="P430">
        <v>185</v>
      </c>
      <c r="Q430">
        <v>11253.16</v>
      </c>
      <c r="R430" t="s">
        <v>54</v>
      </c>
      <c r="S430" t="s">
        <v>63</v>
      </c>
      <c r="T430" t="s">
        <v>95</v>
      </c>
      <c r="U430" t="s">
        <v>96</v>
      </c>
      <c r="V430" t="s">
        <v>57</v>
      </c>
      <c r="W430">
        <v>2</v>
      </c>
      <c r="X430" t="s">
        <v>38</v>
      </c>
      <c r="Y430">
        <v>3</v>
      </c>
      <c r="Z430" t="s">
        <v>91</v>
      </c>
    </row>
    <row r="431" spans="1:26" x14ac:dyDescent="0.3">
      <c r="A431" t="s">
        <v>862</v>
      </c>
      <c r="B431" s="2">
        <v>45899</v>
      </c>
      <c r="C431" t="s">
        <v>863</v>
      </c>
      <c r="D431" t="s">
        <v>42</v>
      </c>
      <c r="E431" t="s">
        <v>43</v>
      </c>
      <c r="F431">
        <v>26</v>
      </c>
      <c r="G431" t="s">
        <v>134</v>
      </c>
      <c r="H431" t="s">
        <v>31</v>
      </c>
      <c r="I431" t="s">
        <v>134</v>
      </c>
      <c r="J431" t="s">
        <v>62</v>
      </c>
      <c r="K431">
        <v>2</v>
      </c>
      <c r="L431">
        <v>35117</v>
      </c>
      <c r="M431">
        <v>20</v>
      </c>
      <c r="N431">
        <v>14046.8</v>
      </c>
      <c r="O431">
        <v>10113.700000000001</v>
      </c>
      <c r="P431">
        <v>188</v>
      </c>
      <c r="Q431">
        <v>66488.899999999994</v>
      </c>
      <c r="R431" t="s">
        <v>33</v>
      </c>
      <c r="S431" t="s">
        <v>34</v>
      </c>
      <c r="T431" t="s">
        <v>84</v>
      </c>
      <c r="U431" t="s">
        <v>85</v>
      </c>
      <c r="V431" t="s">
        <v>86</v>
      </c>
      <c r="W431">
        <v>8</v>
      </c>
      <c r="X431" t="s">
        <v>38</v>
      </c>
      <c r="Y431">
        <v>5</v>
      </c>
      <c r="Z431" t="s">
        <v>47</v>
      </c>
    </row>
    <row r="432" spans="1:26" x14ac:dyDescent="0.3">
      <c r="A432" t="s">
        <v>864</v>
      </c>
      <c r="B432" s="2">
        <v>46010</v>
      </c>
      <c r="C432" t="s">
        <v>865</v>
      </c>
      <c r="D432" t="s">
        <v>28</v>
      </c>
      <c r="E432" t="s">
        <v>43</v>
      </c>
      <c r="F432">
        <v>22</v>
      </c>
      <c r="G432" t="s">
        <v>30</v>
      </c>
      <c r="H432" t="s">
        <v>31</v>
      </c>
      <c r="I432" t="s">
        <v>30</v>
      </c>
      <c r="J432" t="s">
        <v>102</v>
      </c>
      <c r="K432">
        <v>5</v>
      </c>
      <c r="L432">
        <v>49331</v>
      </c>
      <c r="M432">
        <v>10</v>
      </c>
      <c r="N432">
        <v>24665.5</v>
      </c>
      <c r="O432">
        <v>39958.11</v>
      </c>
      <c r="P432">
        <v>272</v>
      </c>
      <c r="Q432">
        <v>262219.61</v>
      </c>
      <c r="R432" t="s">
        <v>45</v>
      </c>
      <c r="S432" t="s">
        <v>63</v>
      </c>
      <c r="T432" t="s">
        <v>103</v>
      </c>
      <c r="U432" t="s">
        <v>103</v>
      </c>
      <c r="V432" t="s">
        <v>57</v>
      </c>
      <c r="W432">
        <v>6</v>
      </c>
      <c r="X432" t="s">
        <v>38</v>
      </c>
      <c r="Y432">
        <v>2</v>
      </c>
      <c r="Z432" t="s">
        <v>39</v>
      </c>
    </row>
    <row r="433" spans="1:26" x14ac:dyDescent="0.3">
      <c r="A433" t="s">
        <v>866</v>
      </c>
      <c r="B433" s="2">
        <v>46103</v>
      </c>
      <c r="C433" t="s">
        <v>867</v>
      </c>
      <c r="D433" t="s">
        <v>61</v>
      </c>
      <c r="E433" t="s">
        <v>29</v>
      </c>
      <c r="F433">
        <v>22</v>
      </c>
      <c r="G433" t="s">
        <v>139</v>
      </c>
      <c r="H433" t="s">
        <v>31</v>
      </c>
      <c r="I433" t="s">
        <v>139</v>
      </c>
      <c r="J433" t="s">
        <v>112</v>
      </c>
      <c r="K433">
        <v>4</v>
      </c>
      <c r="L433">
        <v>41823</v>
      </c>
      <c r="M433">
        <v>5</v>
      </c>
      <c r="N433">
        <v>8364.6</v>
      </c>
      <c r="O433">
        <v>28606.93</v>
      </c>
      <c r="P433">
        <v>269</v>
      </c>
      <c r="Q433">
        <v>187803.33</v>
      </c>
      <c r="R433" t="s">
        <v>83</v>
      </c>
      <c r="S433" t="s">
        <v>34</v>
      </c>
      <c r="T433" t="s">
        <v>84</v>
      </c>
      <c r="U433" t="s">
        <v>85</v>
      </c>
      <c r="V433" t="s">
        <v>86</v>
      </c>
      <c r="W433">
        <v>3</v>
      </c>
      <c r="X433" t="s">
        <v>47</v>
      </c>
      <c r="Y433">
        <v>5</v>
      </c>
      <c r="Z433" t="s">
        <v>47</v>
      </c>
    </row>
    <row r="434" spans="1:26" x14ac:dyDescent="0.3">
      <c r="A434" t="s">
        <v>868</v>
      </c>
      <c r="B434" s="2">
        <v>46009</v>
      </c>
      <c r="C434" t="s">
        <v>174</v>
      </c>
      <c r="D434" t="s">
        <v>89</v>
      </c>
      <c r="E434" t="s">
        <v>43</v>
      </c>
      <c r="F434">
        <v>60</v>
      </c>
      <c r="G434" t="s">
        <v>74</v>
      </c>
      <c r="H434" t="s">
        <v>31</v>
      </c>
      <c r="I434" t="s">
        <v>74</v>
      </c>
      <c r="J434" t="s">
        <v>125</v>
      </c>
      <c r="K434">
        <v>2</v>
      </c>
      <c r="L434">
        <v>34809</v>
      </c>
      <c r="M434">
        <v>15</v>
      </c>
      <c r="N434">
        <v>10442.700000000001</v>
      </c>
      <c r="O434">
        <v>10651.55</v>
      </c>
      <c r="P434">
        <v>154</v>
      </c>
      <c r="Q434">
        <v>69980.850000000006</v>
      </c>
      <c r="R434" t="s">
        <v>33</v>
      </c>
      <c r="S434" t="s">
        <v>63</v>
      </c>
      <c r="T434" t="s">
        <v>70</v>
      </c>
      <c r="U434" t="s">
        <v>56</v>
      </c>
      <c r="V434" t="s">
        <v>57</v>
      </c>
      <c r="W434">
        <v>8</v>
      </c>
      <c r="X434" t="s">
        <v>38</v>
      </c>
      <c r="Y434">
        <v>5</v>
      </c>
      <c r="Z434" t="s">
        <v>47</v>
      </c>
    </row>
    <row r="435" spans="1:26" x14ac:dyDescent="0.3">
      <c r="A435" t="s">
        <v>869</v>
      </c>
      <c r="B435" s="2">
        <v>45784</v>
      </c>
      <c r="C435" t="s">
        <v>870</v>
      </c>
      <c r="D435" t="s">
        <v>80</v>
      </c>
      <c r="E435" t="s">
        <v>29</v>
      </c>
      <c r="F435">
        <v>50</v>
      </c>
      <c r="G435" t="s">
        <v>74</v>
      </c>
      <c r="H435" t="s">
        <v>31</v>
      </c>
      <c r="I435" t="s">
        <v>74</v>
      </c>
      <c r="J435" t="s">
        <v>102</v>
      </c>
      <c r="K435">
        <v>3</v>
      </c>
      <c r="L435">
        <v>4209</v>
      </c>
      <c r="M435">
        <v>10</v>
      </c>
      <c r="N435">
        <v>1262.7</v>
      </c>
      <c r="O435">
        <v>2045.57</v>
      </c>
      <c r="P435">
        <v>362</v>
      </c>
      <c r="Q435">
        <v>13771.87</v>
      </c>
      <c r="R435" t="s">
        <v>33</v>
      </c>
      <c r="S435" t="s">
        <v>34</v>
      </c>
      <c r="T435" t="s">
        <v>55</v>
      </c>
      <c r="U435" t="s">
        <v>56</v>
      </c>
      <c r="V435" t="s">
        <v>57</v>
      </c>
      <c r="W435">
        <v>9</v>
      </c>
      <c r="X435" t="s">
        <v>47</v>
      </c>
      <c r="Y435">
        <v>4</v>
      </c>
      <c r="Z435" t="s">
        <v>91</v>
      </c>
    </row>
    <row r="436" spans="1:26" x14ac:dyDescent="0.3">
      <c r="A436" t="s">
        <v>871</v>
      </c>
      <c r="B436" s="2">
        <v>46083</v>
      </c>
      <c r="C436" t="s">
        <v>872</v>
      </c>
      <c r="D436" t="s">
        <v>42</v>
      </c>
      <c r="E436" t="s">
        <v>43</v>
      </c>
      <c r="F436">
        <v>44</v>
      </c>
      <c r="G436" t="s">
        <v>44</v>
      </c>
      <c r="H436" t="s">
        <v>31</v>
      </c>
      <c r="I436" t="s">
        <v>44</v>
      </c>
      <c r="J436" t="s">
        <v>75</v>
      </c>
      <c r="K436">
        <v>1</v>
      </c>
      <c r="L436">
        <v>42001</v>
      </c>
      <c r="M436">
        <v>5</v>
      </c>
      <c r="N436">
        <v>2100.0500000000002</v>
      </c>
      <c r="O436">
        <v>7182.17</v>
      </c>
      <c r="P436">
        <v>105</v>
      </c>
      <c r="Q436">
        <v>47188.12</v>
      </c>
      <c r="R436" t="s">
        <v>33</v>
      </c>
      <c r="S436" t="s">
        <v>34</v>
      </c>
      <c r="T436" t="s">
        <v>84</v>
      </c>
      <c r="U436" t="s">
        <v>85</v>
      </c>
      <c r="V436" t="s">
        <v>86</v>
      </c>
      <c r="W436">
        <v>2</v>
      </c>
      <c r="X436" t="s">
        <v>38</v>
      </c>
      <c r="Y436">
        <v>4</v>
      </c>
      <c r="Z436" t="s">
        <v>58</v>
      </c>
    </row>
    <row r="437" spans="1:26" x14ac:dyDescent="0.3">
      <c r="A437" t="s">
        <v>873</v>
      </c>
      <c r="B437" s="2">
        <v>45910</v>
      </c>
      <c r="C437" t="s">
        <v>874</v>
      </c>
      <c r="D437" t="s">
        <v>61</v>
      </c>
      <c r="E437" t="s">
        <v>43</v>
      </c>
      <c r="F437">
        <v>18</v>
      </c>
      <c r="G437" t="s">
        <v>94</v>
      </c>
      <c r="H437" t="s">
        <v>31</v>
      </c>
      <c r="I437" t="s">
        <v>94</v>
      </c>
      <c r="J437" t="s">
        <v>53</v>
      </c>
      <c r="K437">
        <v>3</v>
      </c>
      <c r="L437">
        <v>49226</v>
      </c>
      <c r="M437">
        <v>20</v>
      </c>
      <c r="N437">
        <v>29535.599999999999</v>
      </c>
      <c r="O437">
        <v>21265.63</v>
      </c>
      <c r="P437">
        <v>215</v>
      </c>
      <c r="Q437">
        <v>139623.03</v>
      </c>
      <c r="R437" t="s">
        <v>54</v>
      </c>
      <c r="S437" t="s">
        <v>63</v>
      </c>
      <c r="T437" t="s">
        <v>55</v>
      </c>
      <c r="U437" t="s">
        <v>56</v>
      </c>
      <c r="V437" t="s">
        <v>57</v>
      </c>
      <c r="W437">
        <v>7</v>
      </c>
      <c r="X437" t="s">
        <v>47</v>
      </c>
      <c r="Y437">
        <v>5</v>
      </c>
      <c r="Z437" t="s">
        <v>58</v>
      </c>
    </row>
    <row r="438" spans="1:26" x14ac:dyDescent="0.3">
      <c r="A438" t="s">
        <v>875</v>
      </c>
      <c r="B438" s="2">
        <v>45995</v>
      </c>
      <c r="C438" t="s">
        <v>876</v>
      </c>
      <c r="D438" t="s">
        <v>80</v>
      </c>
      <c r="E438" t="s">
        <v>29</v>
      </c>
      <c r="F438">
        <v>21</v>
      </c>
      <c r="G438" t="s">
        <v>90</v>
      </c>
      <c r="H438" t="s">
        <v>31</v>
      </c>
      <c r="I438" t="s">
        <v>90</v>
      </c>
      <c r="J438" t="s">
        <v>69</v>
      </c>
      <c r="K438">
        <v>1</v>
      </c>
      <c r="L438">
        <v>5104</v>
      </c>
      <c r="M438">
        <v>20</v>
      </c>
      <c r="N438">
        <v>1020.8</v>
      </c>
      <c r="O438">
        <v>734.98</v>
      </c>
      <c r="P438">
        <v>17</v>
      </c>
      <c r="Q438">
        <v>4835.18</v>
      </c>
      <c r="R438" t="s">
        <v>33</v>
      </c>
      <c r="S438" t="s">
        <v>34</v>
      </c>
      <c r="T438" t="s">
        <v>55</v>
      </c>
      <c r="U438" t="s">
        <v>56</v>
      </c>
      <c r="V438" t="s">
        <v>57</v>
      </c>
      <c r="W438">
        <v>2</v>
      </c>
      <c r="X438" t="s">
        <v>47</v>
      </c>
      <c r="Y438">
        <v>5</v>
      </c>
      <c r="Z438" t="s">
        <v>91</v>
      </c>
    </row>
    <row r="439" spans="1:26" x14ac:dyDescent="0.3">
      <c r="A439" t="s">
        <v>877</v>
      </c>
      <c r="B439" s="2">
        <v>45964</v>
      </c>
      <c r="C439" t="s">
        <v>469</v>
      </c>
      <c r="D439" t="s">
        <v>28</v>
      </c>
      <c r="E439" t="s">
        <v>29</v>
      </c>
      <c r="F439">
        <v>38</v>
      </c>
      <c r="G439" t="s">
        <v>139</v>
      </c>
      <c r="H439" t="s">
        <v>31</v>
      </c>
      <c r="I439" t="s">
        <v>139</v>
      </c>
      <c r="J439" t="s">
        <v>62</v>
      </c>
      <c r="K439">
        <v>5</v>
      </c>
      <c r="L439">
        <v>27737</v>
      </c>
      <c r="M439">
        <v>5</v>
      </c>
      <c r="N439">
        <v>6934.25</v>
      </c>
      <c r="O439">
        <v>23715.13</v>
      </c>
      <c r="P439">
        <v>280</v>
      </c>
      <c r="Q439">
        <v>155745.89000000001</v>
      </c>
      <c r="R439" t="s">
        <v>45</v>
      </c>
      <c r="S439" t="s">
        <v>63</v>
      </c>
      <c r="T439" t="s">
        <v>46</v>
      </c>
      <c r="U439" t="s">
        <v>36</v>
      </c>
      <c r="V439" t="s">
        <v>37</v>
      </c>
      <c r="W439">
        <v>1</v>
      </c>
      <c r="X439" t="s">
        <v>47</v>
      </c>
      <c r="Y439">
        <v>3</v>
      </c>
      <c r="Z439" t="s">
        <v>39</v>
      </c>
    </row>
    <row r="440" spans="1:26" x14ac:dyDescent="0.3">
      <c r="A440" t="s">
        <v>878</v>
      </c>
      <c r="B440" s="2">
        <v>45961</v>
      </c>
      <c r="C440" t="s">
        <v>879</v>
      </c>
      <c r="D440" t="s">
        <v>61</v>
      </c>
      <c r="E440" t="s">
        <v>43</v>
      </c>
      <c r="F440">
        <v>31</v>
      </c>
      <c r="G440" t="s">
        <v>30</v>
      </c>
      <c r="H440" t="s">
        <v>31</v>
      </c>
      <c r="I440" t="s">
        <v>30</v>
      </c>
      <c r="J440" t="s">
        <v>69</v>
      </c>
      <c r="K440">
        <v>2</v>
      </c>
      <c r="L440">
        <v>2476</v>
      </c>
      <c r="M440">
        <v>5</v>
      </c>
      <c r="N440">
        <v>247.6</v>
      </c>
      <c r="O440">
        <v>846.79</v>
      </c>
      <c r="P440">
        <v>332</v>
      </c>
      <c r="Q440">
        <v>5883.19</v>
      </c>
      <c r="R440" t="s">
        <v>83</v>
      </c>
      <c r="S440" t="s">
        <v>34</v>
      </c>
      <c r="T440" t="s">
        <v>55</v>
      </c>
      <c r="U440" t="s">
        <v>56</v>
      </c>
      <c r="V440" t="s">
        <v>57</v>
      </c>
      <c r="W440">
        <v>10</v>
      </c>
      <c r="X440" t="s">
        <v>38</v>
      </c>
      <c r="Y440">
        <v>4</v>
      </c>
      <c r="Z440" t="s">
        <v>47</v>
      </c>
    </row>
    <row r="441" spans="1:26" x14ac:dyDescent="0.3">
      <c r="A441" t="s">
        <v>880</v>
      </c>
      <c r="B441" s="2">
        <v>46044</v>
      </c>
      <c r="C441" t="s">
        <v>881</v>
      </c>
      <c r="D441" t="s">
        <v>66</v>
      </c>
      <c r="E441" t="s">
        <v>43</v>
      </c>
      <c r="F441">
        <v>46</v>
      </c>
      <c r="G441" t="s">
        <v>51</v>
      </c>
      <c r="H441" t="s">
        <v>52</v>
      </c>
      <c r="I441" t="s">
        <v>51</v>
      </c>
      <c r="J441" t="s">
        <v>75</v>
      </c>
      <c r="K441">
        <v>5</v>
      </c>
      <c r="L441">
        <v>41823</v>
      </c>
      <c r="M441">
        <v>10</v>
      </c>
      <c r="N441">
        <v>20911.5</v>
      </c>
      <c r="O441">
        <v>33876.629999999997</v>
      </c>
      <c r="P441">
        <v>228</v>
      </c>
      <c r="Q441">
        <v>222308.13</v>
      </c>
      <c r="R441" t="s">
        <v>54</v>
      </c>
      <c r="S441" t="s">
        <v>34</v>
      </c>
      <c r="T441" t="s">
        <v>76</v>
      </c>
      <c r="U441" t="s">
        <v>77</v>
      </c>
      <c r="V441" t="s">
        <v>57</v>
      </c>
      <c r="W441">
        <v>1</v>
      </c>
      <c r="X441" t="s">
        <v>38</v>
      </c>
      <c r="Y441">
        <v>5</v>
      </c>
      <c r="Z441" t="s">
        <v>58</v>
      </c>
    </row>
    <row r="442" spans="1:26" x14ac:dyDescent="0.3">
      <c r="A442" t="s">
        <v>882</v>
      </c>
      <c r="B442" s="2">
        <v>45986</v>
      </c>
      <c r="C442" t="s">
        <v>883</v>
      </c>
      <c r="D442" t="s">
        <v>73</v>
      </c>
      <c r="E442" t="s">
        <v>29</v>
      </c>
      <c r="F442">
        <v>28</v>
      </c>
      <c r="G442" t="s">
        <v>30</v>
      </c>
      <c r="H442" t="s">
        <v>31</v>
      </c>
      <c r="I442" t="s">
        <v>30</v>
      </c>
      <c r="J442" t="s">
        <v>112</v>
      </c>
      <c r="K442">
        <v>4</v>
      </c>
      <c r="L442">
        <v>24006</v>
      </c>
      <c r="M442">
        <v>0</v>
      </c>
      <c r="N442">
        <v>0</v>
      </c>
      <c r="O442">
        <v>17284.32</v>
      </c>
      <c r="P442">
        <v>134</v>
      </c>
      <c r="Q442">
        <v>113442.32</v>
      </c>
      <c r="R442" t="s">
        <v>45</v>
      </c>
      <c r="S442" t="s">
        <v>34</v>
      </c>
      <c r="T442" t="s">
        <v>46</v>
      </c>
      <c r="U442" t="s">
        <v>36</v>
      </c>
      <c r="V442" t="s">
        <v>37</v>
      </c>
      <c r="W442">
        <v>2</v>
      </c>
      <c r="X442" t="s">
        <v>47</v>
      </c>
      <c r="Y442">
        <v>5</v>
      </c>
      <c r="Z442" t="s">
        <v>39</v>
      </c>
    </row>
    <row r="443" spans="1:26" x14ac:dyDescent="0.3">
      <c r="A443" t="s">
        <v>884</v>
      </c>
      <c r="B443" s="2">
        <v>45868</v>
      </c>
      <c r="C443" t="s">
        <v>713</v>
      </c>
      <c r="D443" t="s">
        <v>28</v>
      </c>
      <c r="E443" t="s">
        <v>43</v>
      </c>
      <c r="F443">
        <v>44</v>
      </c>
      <c r="G443" t="s">
        <v>90</v>
      </c>
      <c r="H443" t="s">
        <v>31</v>
      </c>
      <c r="I443" t="s">
        <v>90</v>
      </c>
      <c r="J443" t="s">
        <v>32</v>
      </c>
      <c r="K443">
        <v>5</v>
      </c>
      <c r="L443">
        <v>23260</v>
      </c>
      <c r="M443">
        <v>10</v>
      </c>
      <c r="N443">
        <v>11630</v>
      </c>
      <c r="O443">
        <v>18840.599999999999</v>
      </c>
      <c r="P443">
        <v>403</v>
      </c>
      <c r="Q443">
        <v>123913.60000000001</v>
      </c>
      <c r="R443" t="s">
        <v>83</v>
      </c>
      <c r="S443" t="s">
        <v>34</v>
      </c>
      <c r="T443" t="s">
        <v>70</v>
      </c>
      <c r="U443" t="s">
        <v>56</v>
      </c>
      <c r="V443" t="s">
        <v>57</v>
      </c>
      <c r="W443">
        <v>10</v>
      </c>
      <c r="X443" t="s">
        <v>47</v>
      </c>
      <c r="Y443">
        <v>2</v>
      </c>
      <c r="Z443" t="s">
        <v>58</v>
      </c>
    </row>
    <row r="444" spans="1:26" x14ac:dyDescent="0.3">
      <c r="A444" t="s">
        <v>885</v>
      </c>
      <c r="B444" s="2">
        <v>46020</v>
      </c>
      <c r="C444" t="s">
        <v>886</v>
      </c>
      <c r="D444" t="s">
        <v>42</v>
      </c>
      <c r="E444" t="s">
        <v>43</v>
      </c>
      <c r="F444">
        <v>36</v>
      </c>
      <c r="G444" t="s">
        <v>44</v>
      </c>
      <c r="H444" t="s">
        <v>31</v>
      </c>
      <c r="I444" t="s">
        <v>44</v>
      </c>
      <c r="J444" t="s">
        <v>150</v>
      </c>
      <c r="K444">
        <v>5</v>
      </c>
      <c r="L444">
        <v>3544</v>
      </c>
      <c r="M444">
        <v>0</v>
      </c>
      <c r="N444">
        <v>0</v>
      </c>
      <c r="O444">
        <v>3189.6</v>
      </c>
      <c r="P444">
        <v>294</v>
      </c>
      <c r="Q444">
        <v>21203.599999999999</v>
      </c>
      <c r="R444" t="s">
        <v>33</v>
      </c>
      <c r="S444" t="s">
        <v>63</v>
      </c>
      <c r="T444" t="s">
        <v>84</v>
      </c>
      <c r="U444" t="s">
        <v>85</v>
      </c>
      <c r="V444" t="s">
        <v>86</v>
      </c>
      <c r="W444">
        <v>2</v>
      </c>
      <c r="X444" t="s">
        <v>47</v>
      </c>
      <c r="Y444">
        <v>1</v>
      </c>
      <c r="Z444" t="s">
        <v>91</v>
      </c>
    </row>
    <row r="445" spans="1:26" x14ac:dyDescent="0.3">
      <c r="A445" t="s">
        <v>887</v>
      </c>
      <c r="B445" s="2">
        <v>46023</v>
      </c>
      <c r="C445" t="s">
        <v>888</v>
      </c>
      <c r="D445" t="s">
        <v>89</v>
      </c>
      <c r="E445" t="s">
        <v>43</v>
      </c>
      <c r="F445">
        <v>57</v>
      </c>
      <c r="G445" t="s">
        <v>74</v>
      </c>
      <c r="H445" t="s">
        <v>31</v>
      </c>
      <c r="I445" t="s">
        <v>74</v>
      </c>
      <c r="J445" t="s">
        <v>125</v>
      </c>
      <c r="K445">
        <v>3</v>
      </c>
      <c r="L445">
        <v>45381</v>
      </c>
      <c r="M445">
        <v>15</v>
      </c>
      <c r="N445">
        <v>20421.45</v>
      </c>
      <c r="O445">
        <v>20829.88</v>
      </c>
      <c r="P445">
        <v>110</v>
      </c>
      <c r="Q445">
        <v>136661.43</v>
      </c>
      <c r="R445" t="s">
        <v>54</v>
      </c>
      <c r="S445" t="s">
        <v>34</v>
      </c>
      <c r="T445" t="s">
        <v>95</v>
      </c>
      <c r="U445" t="s">
        <v>96</v>
      </c>
      <c r="V445" t="s">
        <v>57</v>
      </c>
      <c r="W445">
        <v>6</v>
      </c>
      <c r="X445" t="s">
        <v>47</v>
      </c>
      <c r="Y445">
        <v>3</v>
      </c>
      <c r="Z445" t="s">
        <v>47</v>
      </c>
    </row>
    <row r="446" spans="1:26" x14ac:dyDescent="0.3">
      <c r="A446" t="s">
        <v>889</v>
      </c>
      <c r="B446" s="2">
        <v>46010</v>
      </c>
      <c r="C446" t="s">
        <v>890</v>
      </c>
      <c r="D446" t="s">
        <v>28</v>
      </c>
      <c r="E446" t="s">
        <v>29</v>
      </c>
      <c r="F446">
        <v>52</v>
      </c>
      <c r="G446" t="s">
        <v>134</v>
      </c>
      <c r="H446" t="s">
        <v>31</v>
      </c>
      <c r="I446" t="s">
        <v>134</v>
      </c>
      <c r="J446" t="s">
        <v>201</v>
      </c>
      <c r="K446">
        <v>1</v>
      </c>
      <c r="L446">
        <v>12252</v>
      </c>
      <c r="M446">
        <v>5</v>
      </c>
      <c r="N446">
        <v>612.6</v>
      </c>
      <c r="O446">
        <v>2095.09</v>
      </c>
      <c r="P446">
        <v>379</v>
      </c>
      <c r="Q446">
        <v>14113.49</v>
      </c>
      <c r="R446" t="s">
        <v>33</v>
      </c>
      <c r="S446" t="s">
        <v>63</v>
      </c>
      <c r="T446" t="s">
        <v>35</v>
      </c>
      <c r="U446" t="s">
        <v>36</v>
      </c>
      <c r="V446" t="s">
        <v>37</v>
      </c>
      <c r="W446">
        <v>8</v>
      </c>
      <c r="X446" t="s">
        <v>38</v>
      </c>
      <c r="Y446">
        <v>1</v>
      </c>
      <c r="Z446" t="s">
        <v>91</v>
      </c>
    </row>
    <row r="447" spans="1:26" x14ac:dyDescent="0.3">
      <c r="A447" t="s">
        <v>891</v>
      </c>
      <c r="B447" s="2">
        <v>45914</v>
      </c>
      <c r="C447" t="s">
        <v>233</v>
      </c>
      <c r="D447" t="s">
        <v>73</v>
      </c>
      <c r="E447" t="s">
        <v>43</v>
      </c>
      <c r="F447">
        <v>47</v>
      </c>
      <c r="G447" t="s">
        <v>67</v>
      </c>
      <c r="H447" t="s">
        <v>68</v>
      </c>
      <c r="I447" t="s">
        <v>67</v>
      </c>
      <c r="J447" t="s">
        <v>125</v>
      </c>
      <c r="K447">
        <v>4</v>
      </c>
      <c r="L447">
        <v>30619</v>
      </c>
      <c r="M447">
        <v>0</v>
      </c>
      <c r="N447">
        <v>0</v>
      </c>
      <c r="O447">
        <v>22045.68</v>
      </c>
      <c r="P447">
        <v>231</v>
      </c>
      <c r="Q447">
        <v>144752.68</v>
      </c>
      <c r="R447" t="s">
        <v>45</v>
      </c>
      <c r="S447" t="s">
        <v>34</v>
      </c>
      <c r="T447" t="s">
        <v>70</v>
      </c>
      <c r="U447" t="s">
        <v>56</v>
      </c>
      <c r="V447" t="s">
        <v>57</v>
      </c>
      <c r="W447">
        <v>4</v>
      </c>
      <c r="X447" t="s">
        <v>38</v>
      </c>
      <c r="Y447">
        <v>2</v>
      </c>
      <c r="Z447" t="s">
        <v>47</v>
      </c>
    </row>
    <row r="448" spans="1:26" x14ac:dyDescent="0.3">
      <c r="A448" t="s">
        <v>892</v>
      </c>
      <c r="B448" s="2">
        <v>46084</v>
      </c>
      <c r="C448" t="s">
        <v>521</v>
      </c>
      <c r="D448" t="s">
        <v>42</v>
      </c>
      <c r="E448" t="s">
        <v>43</v>
      </c>
      <c r="F448">
        <v>20</v>
      </c>
      <c r="G448" t="s">
        <v>30</v>
      </c>
      <c r="H448" t="s">
        <v>31</v>
      </c>
      <c r="I448" t="s">
        <v>30</v>
      </c>
      <c r="J448" t="s">
        <v>53</v>
      </c>
      <c r="K448">
        <v>1</v>
      </c>
      <c r="L448">
        <v>23553</v>
      </c>
      <c r="M448">
        <v>20</v>
      </c>
      <c r="N448">
        <v>4710.6000000000004</v>
      </c>
      <c r="O448">
        <v>3391.63</v>
      </c>
      <c r="P448">
        <v>243</v>
      </c>
      <c r="Q448">
        <v>22477.03</v>
      </c>
      <c r="R448" t="s">
        <v>45</v>
      </c>
      <c r="S448" t="s">
        <v>34</v>
      </c>
      <c r="T448" t="s">
        <v>35</v>
      </c>
      <c r="U448" t="s">
        <v>36</v>
      </c>
      <c r="V448" t="s">
        <v>37</v>
      </c>
      <c r="W448">
        <v>8</v>
      </c>
      <c r="X448" t="s">
        <v>47</v>
      </c>
      <c r="Y448">
        <v>4</v>
      </c>
      <c r="Z448" t="s">
        <v>91</v>
      </c>
    </row>
    <row r="449" spans="1:26" x14ac:dyDescent="0.3">
      <c r="A449" t="s">
        <v>893</v>
      </c>
      <c r="B449" s="2">
        <v>45863</v>
      </c>
      <c r="C449" t="s">
        <v>894</v>
      </c>
      <c r="D449" t="s">
        <v>89</v>
      </c>
      <c r="E449" t="s">
        <v>43</v>
      </c>
      <c r="F449">
        <v>52</v>
      </c>
      <c r="G449" t="s">
        <v>44</v>
      </c>
      <c r="H449" t="s">
        <v>31</v>
      </c>
      <c r="I449" t="s">
        <v>44</v>
      </c>
      <c r="J449" t="s">
        <v>53</v>
      </c>
      <c r="K449">
        <v>2</v>
      </c>
      <c r="L449">
        <v>6603</v>
      </c>
      <c r="M449">
        <v>5</v>
      </c>
      <c r="N449">
        <v>660.3</v>
      </c>
      <c r="O449">
        <v>2258.23</v>
      </c>
      <c r="P449">
        <v>343</v>
      </c>
      <c r="Q449">
        <v>15146.93</v>
      </c>
      <c r="R449" t="s">
        <v>45</v>
      </c>
      <c r="S449" t="s">
        <v>34</v>
      </c>
      <c r="T449" t="s">
        <v>46</v>
      </c>
      <c r="U449" t="s">
        <v>36</v>
      </c>
      <c r="V449" t="s">
        <v>37</v>
      </c>
      <c r="W449">
        <v>7</v>
      </c>
      <c r="X449" t="s">
        <v>47</v>
      </c>
      <c r="Y449">
        <v>3</v>
      </c>
      <c r="Z449" t="s">
        <v>47</v>
      </c>
    </row>
    <row r="450" spans="1:26" x14ac:dyDescent="0.3">
      <c r="A450" t="s">
        <v>895</v>
      </c>
      <c r="B450" s="2">
        <v>45929</v>
      </c>
      <c r="C450" t="s">
        <v>523</v>
      </c>
      <c r="D450" t="s">
        <v>50</v>
      </c>
      <c r="E450" t="s">
        <v>43</v>
      </c>
      <c r="F450">
        <v>28</v>
      </c>
      <c r="G450" t="s">
        <v>67</v>
      </c>
      <c r="H450" t="s">
        <v>68</v>
      </c>
      <c r="I450" t="s">
        <v>67</v>
      </c>
      <c r="J450" t="s">
        <v>53</v>
      </c>
      <c r="K450">
        <v>4</v>
      </c>
      <c r="L450">
        <v>22851</v>
      </c>
      <c r="M450">
        <v>20</v>
      </c>
      <c r="N450">
        <v>18280.8</v>
      </c>
      <c r="O450">
        <v>13162.18</v>
      </c>
      <c r="P450">
        <v>359</v>
      </c>
      <c r="Q450">
        <v>86644.38</v>
      </c>
      <c r="R450" t="s">
        <v>45</v>
      </c>
      <c r="S450" t="s">
        <v>34</v>
      </c>
      <c r="T450" t="s">
        <v>84</v>
      </c>
      <c r="U450" t="s">
        <v>85</v>
      </c>
      <c r="V450" t="s">
        <v>86</v>
      </c>
      <c r="W450">
        <v>7</v>
      </c>
      <c r="X450" t="s">
        <v>47</v>
      </c>
      <c r="Y450">
        <v>3</v>
      </c>
      <c r="Z450" t="s">
        <v>47</v>
      </c>
    </row>
    <row r="451" spans="1:26" x14ac:dyDescent="0.3">
      <c r="A451" t="s">
        <v>896</v>
      </c>
      <c r="B451" s="2">
        <v>45761</v>
      </c>
      <c r="C451" t="s">
        <v>897</v>
      </c>
      <c r="D451" t="s">
        <v>28</v>
      </c>
      <c r="E451" t="s">
        <v>29</v>
      </c>
      <c r="F451">
        <v>36</v>
      </c>
      <c r="G451" t="s">
        <v>134</v>
      </c>
      <c r="H451" t="s">
        <v>31</v>
      </c>
      <c r="I451" t="s">
        <v>134</v>
      </c>
      <c r="J451" t="s">
        <v>69</v>
      </c>
      <c r="K451">
        <v>1</v>
      </c>
      <c r="L451">
        <v>25609</v>
      </c>
      <c r="M451">
        <v>5</v>
      </c>
      <c r="N451">
        <v>1280.45</v>
      </c>
      <c r="O451">
        <v>4379.1400000000003</v>
      </c>
      <c r="P451">
        <v>97</v>
      </c>
      <c r="Q451">
        <v>28804.69</v>
      </c>
      <c r="R451" t="s">
        <v>54</v>
      </c>
      <c r="S451" t="s">
        <v>34</v>
      </c>
      <c r="T451" t="s">
        <v>70</v>
      </c>
      <c r="U451" t="s">
        <v>56</v>
      </c>
      <c r="V451" t="s">
        <v>57</v>
      </c>
      <c r="W451">
        <v>1</v>
      </c>
      <c r="X451" t="s">
        <v>38</v>
      </c>
      <c r="Y451">
        <v>5</v>
      </c>
      <c r="Z451" t="s">
        <v>47</v>
      </c>
    </row>
    <row r="452" spans="1:26" x14ac:dyDescent="0.3">
      <c r="A452" t="s">
        <v>898</v>
      </c>
      <c r="B452" s="2">
        <v>45938</v>
      </c>
      <c r="C452" t="s">
        <v>899</v>
      </c>
      <c r="D452" t="s">
        <v>28</v>
      </c>
      <c r="E452" t="s">
        <v>43</v>
      </c>
      <c r="F452">
        <v>39</v>
      </c>
      <c r="G452" t="s">
        <v>30</v>
      </c>
      <c r="H452" t="s">
        <v>31</v>
      </c>
      <c r="I452" t="s">
        <v>30</v>
      </c>
      <c r="J452" t="s">
        <v>102</v>
      </c>
      <c r="K452">
        <v>2</v>
      </c>
      <c r="L452">
        <v>14636</v>
      </c>
      <c r="M452">
        <v>5</v>
      </c>
      <c r="N452">
        <v>1463.6</v>
      </c>
      <c r="O452">
        <v>5005.51</v>
      </c>
      <c r="P452">
        <v>189</v>
      </c>
      <c r="Q452">
        <v>33002.910000000003</v>
      </c>
      <c r="R452" t="s">
        <v>83</v>
      </c>
      <c r="S452" t="s">
        <v>63</v>
      </c>
      <c r="T452" t="s">
        <v>35</v>
      </c>
      <c r="U452" t="s">
        <v>36</v>
      </c>
      <c r="V452" t="s">
        <v>37</v>
      </c>
      <c r="W452">
        <v>2</v>
      </c>
      <c r="X452" t="s">
        <v>38</v>
      </c>
      <c r="Y452">
        <v>4</v>
      </c>
      <c r="Z452" t="s">
        <v>47</v>
      </c>
    </row>
    <row r="453" spans="1:26" x14ac:dyDescent="0.3">
      <c r="A453" t="s">
        <v>900</v>
      </c>
      <c r="B453" s="2">
        <v>45938</v>
      </c>
      <c r="C453" t="s">
        <v>901</v>
      </c>
      <c r="D453" t="s">
        <v>66</v>
      </c>
      <c r="E453" t="s">
        <v>43</v>
      </c>
      <c r="F453">
        <v>47</v>
      </c>
      <c r="G453" t="s">
        <v>44</v>
      </c>
      <c r="H453" t="s">
        <v>31</v>
      </c>
      <c r="I453" t="s">
        <v>44</v>
      </c>
      <c r="J453" t="s">
        <v>62</v>
      </c>
      <c r="K453">
        <v>2</v>
      </c>
      <c r="L453">
        <v>38206</v>
      </c>
      <c r="M453">
        <v>0</v>
      </c>
      <c r="N453">
        <v>0</v>
      </c>
      <c r="O453">
        <v>13754.16</v>
      </c>
      <c r="P453">
        <v>460</v>
      </c>
      <c r="Q453">
        <v>90626.16</v>
      </c>
      <c r="R453" t="s">
        <v>33</v>
      </c>
      <c r="S453" t="s">
        <v>34</v>
      </c>
      <c r="T453" t="s">
        <v>103</v>
      </c>
      <c r="U453" t="s">
        <v>103</v>
      </c>
      <c r="V453" t="s">
        <v>57</v>
      </c>
      <c r="W453">
        <v>7</v>
      </c>
      <c r="X453" t="s">
        <v>38</v>
      </c>
      <c r="Y453">
        <v>5</v>
      </c>
      <c r="Z453" t="s">
        <v>47</v>
      </c>
    </row>
    <row r="454" spans="1:26" x14ac:dyDescent="0.3">
      <c r="A454" t="s">
        <v>902</v>
      </c>
      <c r="B454" s="2">
        <v>45831</v>
      </c>
      <c r="C454" t="s">
        <v>235</v>
      </c>
      <c r="D454" t="s">
        <v>50</v>
      </c>
      <c r="E454" t="s">
        <v>43</v>
      </c>
      <c r="F454">
        <v>52</v>
      </c>
      <c r="G454" t="s">
        <v>30</v>
      </c>
      <c r="H454" t="s">
        <v>31</v>
      </c>
      <c r="I454" t="s">
        <v>30</v>
      </c>
      <c r="J454" t="s">
        <v>62</v>
      </c>
      <c r="K454">
        <v>4</v>
      </c>
      <c r="L454">
        <v>16160</v>
      </c>
      <c r="M454">
        <v>20</v>
      </c>
      <c r="N454">
        <v>12928</v>
      </c>
      <c r="O454">
        <v>9308.16</v>
      </c>
      <c r="P454">
        <v>422</v>
      </c>
      <c r="Q454">
        <v>61442.16</v>
      </c>
      <c r="R454" t="s">
        <v>33</v>
      </c>
      <c r="S454" t="s">
        <v>63</v>
      </c>
      <c r="T454" t="s">
        <v>84</v>
      </c>
      <c r="U454" t="s">
        <v>85</v>
      </c>
      <c r="V454" t="s">
        <v>86</v>
      </c>
      <c r="W454">
        <v>5</v>
      </c>
      <c r="X454" t="s">
        <v>38</v>
      </c>
      <c r="Y454">
        <v>1</v>
      </c>
      <c r="Z454" t="s">
        <v>58</v>
      </c>
    </row>
    <row r="455" spans="1:26" x14ac:dyDescent="0.3">
      <c r="A455" t="s">
        <v>903</v>
      </c>
      <c r="B455" s="2">
        <v>45998</v>
      </c>
      <c r="C455" t="s">
        <v>904</v>
      </c>
      <c r="D455" t="s">
        <v>108</v>
      </c>
      <c r="E455" t="s">
        <v>29</v>
      </c>
      <c r="F455">
        <v>32</v>
      </c>
      <c r="G455" t="s">
        <v>139</v>
      </c>
      <c r="H455" t="s">
        <v>31</v>
      </c>
      <c r="I455" t="s">
        <v>139</v>
      </c>
      <c r="J455" t="s">
        <v>125</v>
      </c>
      <c r="K455">
        <v>5</v>
      </c>
      <c r="L455">
        <v>31197</v>
      </c>
      <c r="M455">
        <v>15</v>
      </c>
      <c r="N455">
        <v>23397.75</v>
      </c>
      <c r="O455">
        <v>23865.7</v>
      </c>
      <c r="P455">
        <v>389</v>
      </c>
      <c r="Q455">
        <v>156841.95000000001</v>
      </c>
      <c r="R455" t="s">
        <v>33</v>
      </c>
      <c r="S455" t="s">
        <v>63</v>
      </c>
      <c r="T455" t="s">
        <v>95</v>
      </c>
      <c r="U455" t="s">
        <v>96</v>
      </c>
      <c r="V455" t="s">
        <v>57</v>
      </c>
      <c r="W455">
        <v>6</v>
      </c>
      <c r="X455" t="s">
        <v>38</v>
      </c>
      <c r="Y455">
        <v>2</v>
      </c>
      <c r="Z455" t="s">
        <v>39</v>
      </c>
    </row>
    <row r="456" spans="1:26" x14ac:dyDescent="0.3">
      <c r="A456" t="s">
        <v>905</v>
      </c>
      <c r="B456" s="2">
        <v>45911</v>
      </c>
      <c r="C456" t="s">
        <v>906</v>
      </c>
      <c r="D456" t="s">
        <v>108</v>
      </c>
      <c r="E456" t="s">
        <v>29</v>
      </c>
      <c r="F456">
        <v>29</v>
      </c>
      <c r="G456" t="s">
        <v>30</v>
      </c>
      <c r="H456" t="s">
        <v>31</v>
      </c>
      <c r="I456" t="s">
        <v>30</v>
      </c>
      <c r="J456" t="s">
        <v>62</v>
      </c>
      <c r="K456">
        <v>4</v>
      </c>
      <c r="L456">
        <v>10812</v>
      </c>
      <c r="M456">
        <v>0</v>
      </c>
      <c r="N456">
        <v>0</v>
      </c>
      <c r="O456">
        <v>7784.64</v>
      </c>
      <c r="P456">
        <v>76</v>
      </c>
      <c r="Q456">
        <v>51108.639999999999</v>
      </c>
      <c r="R456" t="s">
        <v>33</v>
      </c>
      <c r="S456" t="s">
        <v>34</v>
      </c>
      <c r="T456" t="s">
        <v>103</v>
      </c>
      <c r="U456" t="s">
        <v>103</v>
      </c>
      <c r="V456" t="s">
        <v>57</v>
      </c>
      <c r="W456">
        <v>6</v>
      </c>
      <c r="X456" t="s">
        <v>47</v>
      </c>
      <c r="Y456">
        <v>3</v>
      </c>
      <c r="Z456" t="s">
        <v>58</v>
      </c>
    </row>
    <row r="457" spans="1:26" x14ac:dyDescent="0.3">
      <c r="A457" t="s">
        <v>907</v>
      </c>
      <c r="B457" s="2">
        <v>46057</v>
      </c>
      <c r="C457" t="s">
        <v>890</v>
      </c>
      <c r="D457" t="s">
        <v>28</v>
      </c>
      <c r="E457" t="s">
        <v>29</v>
      </c>
      <c r="F457">
        <v>40</v>
      </c>
      <c r="G457" t="s">
        <v>139</v>
      </c>
      <c r="H457" t="s">
        <v>31</v>
      </c>
      <c r="I457" t="s">
        <v>139</v>
      </c>
      <c r="J457" t="s">
        <v>201</v>
      </c>
      <c r="K457">
        <v>1</v>
      </c>
      <c r="L457">
        <v>13238</v>
      </c>
      <c r="M457">
        <v>20</v>
      </c>
      <c r="N457">
        <v>2647.6</v>
      </c>
      <c r="O457">
        <v>1906.27</v>
      </c>
      <c r="P457">
        <v>33</v>
      </c>
      <c r="Q457">
        <v>12529.67</v>
      </c>
      <c r="R457" t="s">
        <v>33</v>
      </c>
      <c r="S457" t="s">
        <v>63</v>
      </c>
      <c r="T457" t="s">
        <v>84</v>
      </c>
      <c r="U457" t="s">
        <v>85</v>
      </c>
      <c r="V457" t="s">
        <v>86</v>
      </c>
      <c r="W457">
        <v>7</v>
      </c>
      <c r="X457" t="s">
        <v>47</v>
      </c>
      <c r="Y457">
        <v>1</v>
      </c>
      <c r="Z457" t="s">
        <v>58</v>
      </c>
    </row>
    <row r="458" spans="1:26" x14ac:dyDescent="0.3">
      <c r="A458" t="s">
        <v>908</v>
      </c>
      <c r="B458" s="2">
        <v>46047</v>
      </c>
      <c r="C458" t="s">
        <v>909</v>
      </c>
      <c r="D458" t="s">
        <v>80</v>
      </c>
      <c r="E458" t="s">
        <v>43</v>
      </c>
      <c r="F458">
        <v>44</v>
      </c>
      <c r="G458" t="s">
        <v>94</v>
      </c>
      <c r="H458" t="s">
        <v>31</v>
      </c>
      <c r="I458" t="s">
        <v>94</v>
      </c>
      <c r="J458" t="s">
        <v>69</v>
      </c>
      <c r="K458">
        <v>2</v>
      </c>
      <c r="L458">
        <v>19330</v>
      </c>
      <c r="M458">
        <v>5</v>
      </c>
      <c r="N458">
        <v>1933</v>
      </c>
      <c r="O458">
        <v>6610.86</v>
      </c>
      <c r="P458">
        <v>455</v>
      </c>
      <c r="Q458">
        <v>43792.86</v>
      </c>
      <c r="R458" t="s">
        <v>83</v>
      </c>
      <c r="S458" t="s">
        <v>34</v>
      </c>
      <c r="T458" t="s">
        <v>95</v>
      </c>
      <c r="U458" t="s">
        <v>96</v>
      </c>
      <c r="V458" t="s">
        <v>57</v>
      </c>
      <c r="W458">
        <v>10</v>
      </c>
      <c r="X458" t="s">
        <v>47</v>
      </c>
      <c r="Y458">
        <v>3</v>
      </c>
      <c r="Z458" t="s">
        <v>39</v>
      </c>
    </row>
    <row r="459" spans="1:26" x14ac:dyDescent="0.3">
      <c r="A459" t="s">
        <v>910</v>
      </c>
      <c r="B459" s="2">
        <v>45810</v>
      </c>
      <c r="C459" t="s">
        <v>911</v>
      </c>
      <c r="D459" t="s">
        <v>89</v>
      </c>
      <c r="E459" t="s">
        <v>29</v>
      </c>
      <c r="F459">
        <v>26</v>
      </c>
      <c r="G459" t="s">
        <v>74</v>
      </c>
      <c r="H459" t="s">
        <v>31</v>
      </c>
      <c r="I459" t="s">
        <v>74</v>
      </c>
      <c r="J459" t="s">
        <v>53</v>
      </c>
      <c r="K459">
        <v>5</v>
      </c>
      <c r="L459">
        <v>36209</v>
      </c>
      <c r="M459">
        <v>10</v>
      </c>
      <c r="N459">
        <v>18104.5</v>
      </c>
      <c r="O459">
        <v>29329.29</v>
      </c>
      <c r="P459">
        <v>361</v>
      </c>
      <c r="Q459">
        <v>192630.79</v>
      </c>
      <c r="R459" t="s">
        <v>45</v>
      </c>
      <c r="S459" t="s">
        <v>63</v>
      </c>
      <c r="T459" t="s">
        <v>76</v>
      </c>
      <c r="U459" t="s">
        <v>77</v>
      </c>
      <c r="V459" t="s">
        <v>57</v>
      </c>
      <c r="W459">
        <v>3</v>
      </c>
      <c r="X459" t="s">
        <v>38</v>
      </c>
      <c r="Y459">
        <v>3</v>
      </c>
      <c r="Z459" t="s">
        <v>91</v>
      </c>
    </row>
    <row r="460" spans="1:26" x14ac:dyDescent="0.3">
      <c r="A460" t="s">
        <v>912</v>
      </c>
      <c r="B460" s="2">
        <v>45970</v>
      </c>
      <c r="C460" t="s">
        <v>913</v>
      </c>
      <c r="D460" t="s">
        <v>28</v>
      </c>
      <c r="E460" t="s">
        <v>43</v>
      </c>
      <c r="F460">
        <v>48</v>
      </c>
      <c r="G460" t="s">
        <v>51</v>
      </c>
      <c r="H460" t="s">
        <v>52</v>
      </c>
      <c r="I460" t="s">
        <v>51</v>
      </c>
      <c r="J460" t="s">
        <v>75</v>
      </c>
      <c r="K460">
        <v>1</v>
      </c>
      <c r="L460">
        <v>29971</v>
      </c>
      <c r="M460">
        <v>10</v>
      </c>
      <c r="N460">
        <v>2997.1</v>
      </c>
      <c r="O460">
        <v>4855.3</v>
      </c>
      <c r="P460">
        <v>401</v>
      </c>
      <c r="Q460">
        <v>32230.2</v>
      </c>
      <c r="R460" t="s">
        <v>83</v>
      </c>
      <c r="S460" t="s">
        <v>63</v>
      </c>
      <c r="T460" t="s">
        <v>35</v>
      </c>
      <c r="U460" t="s">
        <v>36</v>
      </c>
      <c r="V460" t="s">
        <v>37</v>
      </c>
      <c r="W460">
        <v>3</v>
      </c>
      <c r="X460" t="s">
        <v>47</v>
      </c>
      <c r="Y460">
        <v>5</v>
      </c>
      <c r="Z460" t="s">
        <v>91</v>
      </c>
    </row>
    <row r="461" spans="1:26" x14ac:dyDescent="0.3">
      <c r="A461" t="s">
        <v>914</v>
      </c>
      <c r="B461" s="2">
        <v>45903</v>
      </c>
      <c r="C461" t="s">
        <v>915</v>
      </c>
      <c r="D461" t="s">
        <v>108</v>
      </c>
      <c r="E461" t="s">
        <v>43</v>
      </c>
      <c r="F461">
        <v>24</v>
      </c>
      <c r="G461" t="s">
        <v>139</v>
      </c>
      <c r="H461" t="s">
        <v>31</v>
      </c>
      <c r="I461" t="s">
        <v>139</v>
      </c>
      <c r="J461" t="s">
        <v>69</v>
      </c>
      <c r="K461">
        <v>2</v>
      </c>
      <c r="L461">
        <v>32711</v>
      </c>
      <c r="M461">
        <v>10</v>
      </c>
      <c r="N461">
        <v>6542.2</v>
      </c>
      <c r="O461">
        <v>10598.36</v>
      </c>
      <c r="P461">
        <v>374</v>
      </c>
      <c r="Q461">
        <v>69852.160000000003</v>
      </c>
      <c r="R461" t="s">
        <v>54</v>
      </c>
      <c r="S461" t="s">
        <v>63</v>
      </c>
      <c r="T461" t="s">
        <v>95</v>
      </c>
      <c r="U461" t="s">
        <v>96</v>
      </c>
      <c r="V461" t="s">
        <v>57</v>
      </c>
      <c r="W461">
        <v>9</v>
      </c>
      <c r="X461" t="s">
        <v>47</v>
      </c>
      <c r="Y461">
        <v>5</v>
      </c>
      <c r="Z461" t="s">
        <v>58</v>
      </c>
    </row>
    <row r="462" spans="1:26" x14ac:dyDescent="0.3">
      <c r="A462" t="s">
        <v>916</v>
      </c>
      <c r="B462" s="2">
        <v>45904</v>
      </c>
      <c r="C462" t="s">
        <v>917</v>
      </c>
      <c r="D462" t="s">
        <v>108</v>
      </c>
      <c r="E462" t="s">
        <v>29</v>
      </c>
      <c r="F462">
        <v>38</v>
      </c>
      <c r="G462" t="s">
        <v>139</v>
      </c>
      <c r="H462" t="s">
        <v>31</v>
      </c>
      <c r="I462" t="s">
        <v>139</v>
      </c>
      <c r="J462" t="s">
        <v>62</v>
      </c>
      <c r="K462">
        <v>2</v>
      </c>
      <c r="L462">
        <v>8328</v>
      </c>
      <c r="M462">
        <v>5</v>
      </c>
      <c r="N462">
        <v>832.8</v>
      </c>
      <c r="O462">
        <v>2848.18</v>
      </c>
      <c r="P462">
        <v>251</v>
      </c>
      <c r="Q462">
        <v>18922.38</v>
      </c>
      <c r="R462" t="s">
        <v>33</v>
      </c>
      <c r="S462" t="s">
        <v>63</v>
      </c>
      <c r="T462" t="s">
        <v>84</v>
      </c>
      <c r="U462" t="s">
        <v>85</v>
      </c>
      <c r="V462" t="s">
        <v>86</v>
      </c>
      <c r="W462">
        <v>3</v>
      </c>
      <c r="X462" t="s">
        <v>47</v>
      </c>
      <c r="Y462">
        <v>3</v>
      </c>
      <c r="Z462" t="s">
        <v>91</v>
      </c>
    </row>
    <row r="463" spans="1:26" x14ac:dyDescent="0.3">
      <c r="A463" t="s">
        <v>918</v>
      </c>
      <c r="B463" s="2">
        <v>46049</v>
      </c>
      <c r="C463" t="s">
        <v>919</v>
      </c>
      <c r="D463" t="s">
        <v>66</v>
      </c>
      <c r="E463" t="s">
        <v>29</v>
      </c>
      <c r="F463">
        <v>31</v>
      </c>
      <c r="G463" t="s">
        <v>94</v>
      </c>
      <c r="H463" t="s">
        <v>31</v>
      </c>
      <c r="I463" t="s">
        <v>94</v>
      </c>
      <c r="J463" t="s">
        <v>201</v>
      </c>
      <c r="K463">
        <v>4</v>
      </c>
      <c r="L463">
        <v>35256</v>
      </c>
      <c r="M463">
        <v>10</v>
      </c>
      <c r="N463">
        <v>14102.4</v>
      </c>
      <c r="O463">
        <v>22845.89</v>
      </c>
      <c r="P463">
        <v>104</v>
      </c>
      <c r="Q463">
        <v>149871.49</v>
      </c>
      <c r="R463" t="s">
        <v>83</v>
      </c>
      <c r="S463" t="s">
        <v>63</v>
      </c>
      <c r="T463" t="s">
        <v>70</v>
      </c>
      <c r="U463" t="s">
        <v>56</v>
      </c>
      <c r="V463" t="s">
        <v>57</v>
      </c>
      <c r="W463">
        <v>9</v>
      </c>
      <c r="X463" t="s">
        <v>47</v>
      </c>
      <c r="Y463">
        <v>5</v>
      </c>
      <c r="Z463" t="s">
        <v>47</v>
      </c>
    </row>
    <row r="464" spans="1:26" x14ac:dyDescent="0.3">
      <c r="A464" t="s">
        <v>920</v>
      </c>
      <c r="B464" s="2">
        <v>45878</v>
      </c>
      <c r="C464" t="s">
        <v>921</v>
      </c>
      <c r="D464" t="s">
        <v>80</v>
      </c>
      <c r="E464" t="s">
        <v>43</v>
      </c>
      <c r="F464">
        <v>28</v>
      </c>
      <c r="G464" t="s">
        <v>30</v>
      </c>
      <c r="H464" t="s">
        <v>31</v>
      </c>
      <c r="I464" t="s">
        <v>30</v>
      </c>
      <c r="J464" t="s">
        <v>69</v>
      </c>
      <c r="K464">
        <v>2</v>
      </c>
      <c r="L464">
        <v>45154</v>
      </c>
      <c r="M464">
        <v>20</v>
      </c>
      <c r="N464">
        <v>18061.599999999999</v>
      </c>
      <c r="O464">
        <v>13004.35</v>
      </c>
      <c r="P464">
        <v>214</v>
      </c>
      <c r="Q464">
        <v>85464.75</v>
      </c>
      <c r="R464" t="s">
        <v>83</v>
      </c>
      <c r="S464" t="s">
        <v>34</v>
      </c>
      <c r="T464" t="s">
        <v>35</v>
      </c>
      <c r="U464" t="s">
        <v>36</v>
      </c>
      <c r="V464" t="s">
        <v>37</v>
      </c>
      <c r="W464">
        <v>6</v>
      </c>
      <c r="X464" t="s">
        <v>38</v>
      </c>
      <c r="Y464">
        <v>3</v>
      </c>
      <c r="Z464" t="s">
        <v>39</v>
      </c>
    </row>
    <row r="465" spans="1:26" x14ac:dyDescent="0.3">
      <c r="A465" t="s">
        <v>922</v>
      </c>
      <c r="B465" s="2">
        <v>45828</v>
      </c>
      <c r="C465" t="s">
        <v>713</v>
      </c>
      <c r="D465" t="s">
        <v>89</v>
      </c>
      <c r="E465" t="s">
        <v>29</v>
      </c>
      <c r="F465">
        <v>41</v>
      </c>
      <c r="G465" t="s">
        <v>30</v>
      </c>
      <c r="H465" t="s">
        <v>31</v>
      </c>
      <c r="I465" t="s">
        <v>30</v>
      </c>
      <c r="J465" t="s">
        <v>53</v>
      </c>
      <c r="K465">
        <v>4</v>
      </c>
      <c r="L465">
        <v>12691</v>
      </c>
      <c r="M465">
        <v>5</v>
      </c>
      <c r="N465">
        <v>2538.1999999999998</v>
      </c>
      <c r="O465">
        <v>8680.64</v>
      </c>
      <c r="P465">
        <v>366</v>
      </c>
      <c r="Q465">
        <v>57272.44</v>
      </c>
      <c r="R465" t="s">
        <v>45</v>
      </c>
      <c r="S465" t="s">
        <v>63</v>
      </c>
      <c r="T465" t="s">
        <v>84</v>
      </c>
      <c r="U465" t="s">
        <v>85</v>
      </c>
      <c r="V465" t="s">
        <v>86</v>
      </c>
      <c r="W465">
        <v>3</v>
      </c>
      <c r="X465" t="s">
        <v>47</v>
      </c>
      <c r="Y465">
        <v>4</v>
      </c>
      <c r="Z465" t="s">
        <v>91</v>
      </c>
    </row>
    <row r="466" spans="1:26" x14ac:dyDescent="0.3">
      <c r="A466" t="s">
        <v>923</v>
      </c>
      <c r="B466" s="2">
        <v>45804</v>
      </c>
      <c r="C466" t="s">
        <v>509</v>
      </c>
      <c r="D466" t="s">
        <v>28</v>
      </c>
      <c r="E466" t="s">
        <v>29</v>
      </c>
      <c r="F466">
        <v>57</v>
      </c>
      <c r="G466" t="s">
        <v>51</v>
      </c>
      <c r="H466" t="s">
        <v>52</v>
      </c>
      <c r="I466" t="s">
        <v>51</v>
      </c>
      <c r="J466" t="s">
        <v>150</v>
      </c>
      <c r="K466">
        <v>1</v>
      </c>
      <c r="L466">
        <v>34542</v>
      </c>
      <c r="M466">
        <v>20</v>
      </c>
      <c r="N466">
        <v>6908.4</v>
      </c>
      <c r="O466">
        <v>4974.05</v>
      </c>
      <c r="P466">
        <v>179</v>
      </c>
      <c r="Q466">
        <v>32786.65</v>
      </c>
      <c r="R466" t="s">
        <v>83</v>
      </c>
      <c r="S466" t="s">
        <v>63</v>
      </c>
      <c r="T466" t="s">
        <v>76</v>
      </c>
      <c r="U466" t="s">
        <v>77</v>
      </c>
      <c r="V466" t="s">
        <v>57</v>
      </c>
      <c r="W466">
        <v>8</v>
      </c>
      <c r="X466" t="s">
        <v>38</v>
      </c>
      <c r="Y466">
        <v>2</v>
      </c>
      <c r="Z466" t="s">
        <v>58</v>
      </c>
    </row>
    <row r="467" spans="1:26" x14ac:dyDescent="0.3">
      <c r="A467" t="s">
        <v>924</v>
      </c>
      <c r="B467" s="2">
        <v>46017</v>
      </c>
      <c r="C467" t="s">
        <v>925</v>
      </c>
      <c r="D467" t="s">
        <v>89</v>
      </c>
      <c r="E467" t="s">
        <v>43</v>
      </c>
      <c r="F467">
        <v>21</v>
      </c>
      <c r="G467" t="s">
        <v>139</v>
      </c>
      <c r="H467" t="s">
        <v>31</v>
      </c>
      <c r="I467" t="s">
        <v>139</v>
      </c>
      <c r="J467" t="s">
        <v>75</v>
      </c>
      <c r="K467">
        <v>2</v>
      </c>
      <c r="L467">
        <v>43091</v>
      </c>
      <c r="M467">
        <v>5</v>
      </c>
      <c r="N467">
        <v>4309.1000000000004</v>
      </c>
      <c r="O467">
        <v>14737.12</v>
      </c>
      <c r="P467">
        <v>410</v>
      </c>
      <c r="Q467">
        <v>97020.02</v>
      </c>
      <c r="R467" t="s">
        <v>45</v>
      </c>
      <c r="S467" t="s">
        <v>63</v>
      </c>
      <c r="T467" t="s">
        <v>46</v>
      </c>
      <c r="U467" t="s">
        <v>36</v>
      </c>
      <c r="V467" t="s">
        <v>37</v>
      </c>
      <c r="W467">
        <v>1</v>
      </c>
      <c r="X467" t="s">
        <v>47</v>
      </c>
      <c r="Y467">
        <v>2</v>
      </c>
      <c r="Z467" t="s">
        <v>91</v>
      </c>
    </row>
    <row r="468" spans="1:26" x14ac:dyDescent="0.3">
      <c r="A468" t="s">
        <v>926</v>
      </c>
      <c r="B468" s="2">
        <v>46018</v>
      </c>
      <c r="C468" t="s">
        <v>746</v>
      </c>
      <c r="D468" t="s">
        <v>28</v>
      </c>
      <c r="E468" t="s">
        <v>29</v>
      </c>
      <c r="F468">
        <v>53</v>
      </c>
      <c r="G468" t="s">
        <v>99</v>
      </c>
      <c r="H468" t="s">
        <v>52</v>
      </c>
      <c r="I468" t="s">
        <v>99</v>
      </c>
      <c r="J468" t="s">
        <v>53</v>
      </c>
      <c r="K468">
        <v>4</v>
      </c>
      <c r="L468">
        <v>8212</v>
      </c>
      <c r="M468">
        <v>5</v>
      </c>
      <c r="N468">
        <v>1642.4</v>
      </c>
      <c r="O468">
        <v>5617.01</v>
      </c>
      <c r="P468">
        <v>456</v>
      </c>
      <c r="Q468">
        <v>37278.61</v>
      </c>
      <c r="R468" t="s">
        <v>83</v>
      </c>
      <c r="S468" t="s">
        <v>34</v>
      </c>
      <c r="T468" t="s">
        <v>70</v>
      </c>
      <c r="U468" t="s">
        <v>56</v>
      </c>
      <c r="V468" t="s">
        <v>57</v>
      </c>
      <c r="W468">
        <v>5</v>
      </c>
      <c r="X468" t="s">
        <v>47</v>
      </c>
      <c r="Y468">
        <v>2</v>
      </c>
      <c r="Z468" t="s">
        <v>39</v>
      </c>
    </row>
    <row r="469" spans="1:26" x14ac:dyDescent="0.3">
      <c r="A469" t="s">
        <v>927</v>
      </c>
      <c r="B469" s="2">
        <v>45900</v>
      </c>
      <c r="C469" t="s">
        <v>928</v>
      </c>
      <c r="D469" t="s">
        <v>61</v>
      </c>
      <c r="E469" t="s">
        <v>29</v>
      </c>
      <c r="F469">
        <v>41</v>
      </c>
      <c r="G469" t="s">
        <v>99</v>
      </c>
      <c r="H469" t="s">
        <v>52</v>
      </c>
      <c r="I469" t="s">
        <v>99</v>
      </c>
      <c r="J469" t="s">
        <v>32</v>
      </c>
      <c r="K469">
        <v>2</v>
      </c>
      <c r="L469">
        <v>20842</v>
      </c>
      <c r="M469">
        <v>5</v>
      </c>
      <c r="N469">
        <v>2084.1999999999998</v>
      </c>
      <c r="O469">
        <v>7127.96</v>
      </c>
      <c r="P469">
        <v>476</v>
      </c>
      <c r="Q469">
        <v>47203.76</v>
      </c>
      <c r="R469" t="s">
        <v>83</v>
      </c>
      <c r="S469" t="s">
        <v>34</v>
      </c>
      <c r="T469" t="s">
        <v>76</v>
      </c>
      <c r="U469" t="s">
        <v>77</v>
      </c>
      <c r="V469" t="s">
        <v>57</v>
      </c>
      <c r="W469">
        <v>6</v>
      </c>
      <c r="X469" t="s">
        <v>38</v>
      </c>
      <c r="Y469">
        <v>5</v>
      </c>
      <c r="Z469" t="s">
        <v>39</v>
      </c>
    </row>
    <row r="470" spans="1:26" x14ac:dyDescent="0.3">
      <c r="A470" t="s">
        <v>929</v>
      </c>
      <c r="B470" s="2">
        <v>46020</v>
      </c>
      <c r="C470" t="s">
        <v>127</v>
      </c>
      <c r="D470" t="s">
        <v>73</v>
      </c>
      <c r="E470" t="s">
        <v>29</v>
      </c>
      <c r="F470">
        <v>24</v>
      </c>
      <c r="G470" t="s">
        <v>44</v>
      </c>
      <c r="H470" t="s">
        <v>31</v>
      </c>
      <c r="I470" t="s">
        <v>44</v>
      </c>
      <c r="J470" t="s">
        <v>53</v>
      </c>
      <c r="K470">
        <v>1</v>
      </c>
      <c r="L470">
        <v>47724</v>
      </c>
      <c r="M470">
        <v>0</v>
      </c>
      <c r="N470">
        <v>0</v>
      </c>
      <c r="O470">
        <v>8590.32</v>
      </c>
      <c r="P470">
        <v>1</v>
      </c>
      <c r="Q470">
        <v>56315.32</v>
      </c>
      <c r="R470" t="s">
        <v>33</v>
      </c>
      <c r="S470" t="s">
        <v>63</v>
      </c>
      <c r="T470" t="s">
        <v>103</v>
      </c>
      <c r="U470" t="s">
        <v>103</v>
      </c>
      <c r="V470" t="s">
        <v>57</v>
      </c>
      <c r="W470">
        <v>9</v>
      </c>
      <c r="X470" t="s">
        <v>47</v>
      </c>
      <c r="Y470">
        <v>5</v>
      </c>
      <c r="Z470" t="s">
        <v>47</v>
      </c>
    </row>
    <row r="471" spans="1:26" x14ac:dyDescent="0.3">
      <c r="A471" t="s">
        <v>930</v>
      </c>
      <c r="B471" s="2">
        <v>45924</v>
      </c>
      <c r="C471" t="s">
        <v>314</v>
      </c>
      <c r="D471" t="s">
        <v>28</v>
      </c>
      <c r="E471" t="s">
        <v>29</v>
      </c>
      <c r="F471">
        <v>40</v>
      </c>
      <c r="G471" t="s">
        <v>90</v>
      </c>
      <c r="H471" t="s">
        <v>31</v>
      </c>
      <c r="I471" t="s">
        <v>90</v>
      </c>
      <c r="J471" t="s">
        <v>125</v>
      </c>
      <c r="K471">
        <v>4</v>
      </c>
      <c r="L471">
        <v>10839</v>
      </c>
      <c r="M471">
        <v>0</v>
      </c>
      <c r="N471">
        <v>0</v>
      </c>
      <c r="O471">
        <v>7804.08</v>
      </c>
      <c r="P471">
        <v>263</v>
      </c>
      <c r="Q471">
        <v>51423.08</v>
      </c>
      <c r="R471" t="s">
        <v>83</v>
      </c>
      <c r="S471" t="s">
        <v>63</v>
      </c>
      <c r="T471" t="s">
        <v>70</v>
      </c>
      <c r="U471" t="s">
        <v>56</v>
      </c>
      <c r="V471" t="s">
        <v>57</v>
      </c>
      <c r="W471">
        <v>10</v>
      </c>
      <c r="X471" t="s">
        <v>47</v>
      </c>
      <c r="Y471">
        <v>2</v>
      </c>
      <c r="Z471" t="s">
        <v>39</v>
      </c>
    </row>
    <row r="472" spans="1:26" x14ac:dyDescent="0.3">
      <c r="A472" t="s">
        <v>931</v>
      </c>
      <c r="B472" s="2">
        <v>45940</v>
      </c>
      <c r="C472" t="s">
        <v>491</v>
      </c>
      <c r="D472" t="s">
        <v>80</v>
      </c>
      <c r="E472" t="s">
        <v>29</v>
      </c>
      <c r="F472">
        <v>59</v>
      </c>
      <c r="G472" t="s">
        <v>30</v>
      </c>
      <c r="H472" t="s">
        <v>31</v>
      </c>
      <c r="I472" t="s">
        <v>30</v>
      </c>
      <c r="J472" t="s">
        <v>69</v>
      </c>
      <c r="K472">
        <v>3</v>
      </c>
      <c r="L472">
        <v>26534</v>
      </c>
      <c r="M472">
        <v>20</v>
      </c>
      <c r="N472">
        <v>15920.4</v>
      </c>
      <c r="O472">
        <v>11462.69</v>
      </c>
      <c r="P472">
        <v>204</v>
      </c>
      <c r="Q472">
        <v>75348.289999999994</v>
      </c>
      <c r="R472" t="s">
        <v>45</v>
      </c>
      <c r="S472" t="s">
        <v>34</v>
      </c>
      <c r="T472" t="s">
        <v>70</v>
      </c>
      <c r="U472" t="s">
        <v>56</v>
      </c>
      <c r="V472" t="s">
        <v>57</v>
      </c>
      <c r="W472">
        <v>1</v>
      </c>
      <c r="X472" t="s">
        <v>38</v>
      </c>
      <c r="Y472">
        <v>3</v>
      </c>
      <c r="Z472" t="s">
        <v>91</v>
      </c>
    </row>
    <row r="473" spans="1:26" x14ac:dyDescent="0.3">
      <c r="A473" t="s">
        <v>932</v>
      </c>
      <c r="B473" s="2">
        <v>45795</v>
      </c>
      <c r="C473" t="s">
        <v>332</v>
      </c>
      <c r="D473" t="s">
        <v>80</v>
      </c>
      <c r="E473" t="s">
        <v>29</v>
      </c>
      <c r="F473">
        <v>30</v>
      </c>
      <c r="G473" t="s">
        <v>134</v>
      </c>
      <c r="H473" t="s">
        <v>31</v>
      </c>
      <c r="I473" t="s">
        <v>134</v>
      </c>
      <c r="J473" t="s">
        <v>62</v>
      </c>
      <c r="K473">
        <v>4</v>
      </c>
      <c r="L473">
        <v>31580</v>
      </c>
      <c r="M473">
        <v>0</v>
      </c>
      <c r="N473">
        <v>0</v>
      </c>
      <c r="O473">
        <v>22737.599999999999</v>
      </c>
      <c r="P473">
        <v>323</v>
      </c>
      <c r="Q473">
        <v>149380.6</v>
      </c>
      <c r="R473" t="s">
        <v>83</v>
      </c>
      <c r="S473" t="s">
        <v>63</v>
      </c>
      <c r="T473" t="s">
        <v>35</v>
      </c>
      <c r="U473" t="s">
        <v>36</v>
      </c>
      <c r="V473" t="s">
        <v>37</v>
      </c>
      <c r="W473">
        <v>9</v>
      </c>
      <c r="X473" t="s">
        <v>47</v>
      </c>
      <c r="Y473">
        <v>4</v>
      </c>
      <c r="Z473" t="s">
        <v>47</v>
      </c>
    </row>
    <row r="474" spans="1:26" x14ac:dyDescent="0.3">
      <c r="A474" t="s">
        <v>933</v>
      </c>
      <c r="B474" s="2">
        <v>45864</v>
      </c>
      <c r="C474" t="s">
        <v>934</v>
      </c>
      <c r="D474" t="s">
        <v>61</v>
      </c>
      <c r="E474" t="s">
        <v>43</v>
      </c>
      <c r="F474">
        <v>42</v>
      </c>
      <c r="G474" t="s">
        <v>44</v>
      </c>
      <c r="H474" t="s">
        <v>31</v>
      </c>
      <c r="I474" t="s">
        <v>44</v>
      </c>
      <c r="J474" t="s">
        <v>125</v>
      </c>
      <c r="K474">
        <v>2</v>
      </c>
      <c r="L474">
        <v>35161</v>
      </c>
      <c r="M474">
        <v>15</v>
      </c>
      <c r="N474">
        <v>10548.3</v>
      </c>
      <c r="O474">
        <v>10759.27</v>
      </c>
      <c r="P474">
        <v>349</v>
      </c>
      <c r="Q474">
        <v>70881.97</v>
      </c>
      <c r="R474" t="s">
        <v>45</v>
      </c>
      <c r="S474" t="s">
        <v>63</v>
      </c>
      <c r="T474" t="s">
        <v>76</v>
      </c>
      <c r="U474" t="s">
        <v>77</v>
      </c>
      <c r="V474" t="s">
        <v>57</v>
      </c>
      <c r="W474">
        <v>3</v>
      </c>
      <c r="X474" t="s">
        <v>38</v>
      </c>
      <c r="Y474">
        <v>2</v>
      </c>
      <c r="Z474" t="s">
        <v>58</v>
      </c>
    </row>
    <row r="475" spans="1:26" x14ac:dyDescent="0.3">
      <c r="A475" t="s">
        <v>935</v>
      </c>
      <c r="B475" s="2">
        <v>46034</v>
      </c>
      <c r="C475" t="s">
        <v>936</v>
      </c>
      <c r="D475" t="s">
        <v>108</v>
      </c>
      <c r="E475" t="s">
        <v>29</v>
      </c>
      <c r="F475">
        <v>46</v>
      </c>
      <c r="G475" t="s">
        <v>134</v>
      </c>
      <c r="H475" t="s">
        <v>31</v>
      </c>
      <c r="I475" t="s">
        <v>134</v>
      </c>
      <c r="J475" t="s">
        <v>75</v>
      </c>
      <c r="K475">
        <v>3</v>
      </c>
      <c r="L475">
        <v>48636</v>
      </c>
      <c r="M475">
        <v>0</v>
      </c>
      <c r="N475">
        <v>0</v>
      </c>
      <c r="O475">
        <v>26263.439999999999</v>
      </c>
      <c r="P475">
        <v>268</v>
      </c>
      <c r="Q475">
        <v>172439.44</v>
      </c>
      <c r="R475" t="s">
        <v>54</v>
      </c>
      <c r="S475" t="s">
        <v>34</v>
      </c>
      <c r="T475" t="s">
        <v>46</v>
      </c>
      <c r="U475" t="s">
        <v>36</v>
      </c>
      <c r="V475" t="s">
        <v>37</v>
      </c>
      <c r="W475">
        <v>6</v>
      </c>
      <c r="X475" t="s">
        <v>38</v>
      </c>
      <c r="Y475">
        <v>3</v>
      </c>
      <c r="Z475" t="s">
        <v>58</v>
      </c>
    </row>
    <row r="476" spans="1:26" x14ac:dyDescent="0.3">
      <c r="A476" t="s">
        <v>937</v>
      </c>
      <c r="B476" s="2">
        <v>46088</v>
      </c>
      <c r="C476" t="s">
        <v>938</v>
      </c>
      <c r="D476" t="s">
        <v>108</v>
      </c>
      <c r="E476" t="s">
        <v>43</v>
      </c>
      <c r="F476">
        <v>31</v>
      </c>
      <c r="G476" t="s">
        <v>67</v>
      </c>
      <c r="H476" t="s">
        <v>68</v>
      </c>
      <c r="I476" t="s">
        <v>67</v>
      </c>
      <c r="J476" t="s">
        <v>75</v>
      </c>
      <c r="K476">
        <v>2</v>
      </c>
      <c r="L476">
        <v>31744</v>
      </c>
      <c r="M476">
        <v>20</v>
      </c>
      <c r="N476">
        <v>12697.6</v>
      </c>
      <c r="O476">
        <v>9142.27</v>
      </c>
      <c r="P476">
        <v>209</v>
      </c>
      <c r="Q476">
        <v>60141.67</v>
      </c>
      <c r="R476" t="s">
        <v>83</v>
      </c>
      <c r="S476" t="s">
        <v>34</v>
      </c>
      <c r="T476" t="s">
        <v>55</v>
      </c>
      <c r="U476" t="s">
        <v>56</v>
      </c>
      <c r="V476" t="s">
        <v>57</v>
      </c>
      <c r="W476">
        <v>7</v>
      </c>
      <c r="X476" t="s">
        <v>38</v>
      </c>
      <c r="Y476">
        <v>5</v>
      </c>
      <c r="Z476" t="s">
        <v>91</v>
      </c>
    </row>
    <row r="477" spans="1:26" x14ac:dyDescent="0.3">
      <c r="A477" t="s">
        <v>939</v>
      </c>
      <c r="B477" s="2">
        <v>46051</v>
      </c>
      <c r="C477" t="s">
        <v>940</v>
      </c>
      <c r="D477" t="s">
        <v>61</v>
      </c>
      <c r="E477" t="s">
        <v>43</v>
      </c>
      <c r="F477">
        <v>32</v>
      </c>
      <c r="G477" t="s">
        <v>30</v>
      </c>
      <c r="H477" t="s">
        <v>31</v>
      </c>
      <c r="I477" t="s">
        <v>30</v>
      </c>
      <c r="J477" t="s">
        <v>102</v>
      </c>
      <c r="K477">
        <v>4</v>
      </c>
      <c r="L477">
        <v>31822</v>
      </c>
      <c r="M477">
        <v>0</v>
      </c>
      <c r="N477">
        <v>0</v>
      </c>
      <c r="O477">
        <v>22911.84</v>
      </c>
      <c r="P477">
        <v>60</v>
      </c>
      <c r="Q477">
        <v>150259.84</v>
      </c>
      <c r="R477" t="s">
        <v>45</v>
      </c>
      <c r="S477" t="s">
        <v>63</v>
      </c>
      <c r="T477" t="s">
        <v>95</v>
      </c>
      <c r="U477" t="s">
        <v>96</v>
      </c>
      <c r="V477" t="s">
        <v>57</v>
      </c>
      <c r="W477">
        <v>1</v>
      </c>
      <c r="X477" t="s">
        <v>38</v>
      </c>
      <c r="Y477">
        <v>3</v>
      </c>
      <c r="Z477" t="s">
        <v>47</v>
      </c>
    </row>
    <row r="478" spans="1:26" x14ac:dyDescent="0.3">
      <c r="A478" t="s">
        <v>941</v>
      </c>
      <c r="B478" s="2">
        <v>45832</v>
      </c>
      <c r="C478" t="s">
        <v>942</v>
      </c>
      <c r="D478" t="s">
        <v>111</v>
      </c>
      <c r="E478" t="s">
        <v>29</v>
      </c>
      <c r="F478">
        <v>33</v>
      </c>
      <c r="G478" t="s">
        <v>99</v>
      </c>
      <c r="H478" t="s">
        <v>52</v>
      </c>
      <c r="I478" t="s">
        <v>99</v>
      </c>
      <c r="J478" t="s">
        <v>53</v>
      </c>
      <c r="K478">
        <v>4</v>
      </c>
      <c r="L478">
        <v>2368</v>
      </c>
      <c r="M478">
        <v>20</v>
      </c>
      <c r="N478">
        <v>1894.4</v>
      </c>
      <c r="O478">
        <v>1363.97</v>
      </c>
      <c r="P478">
        <v>373</v>
      </c>
      <c r="Q478">
        <v>9314.57</v>
      </c>
      <c r="R478" t="s">
        <v>45</v>
      </c>
      <c r="S478" t="s">
        <v>34</v>
      </c>
      <c r="T478" t="s">
        <v>76</v>
      </c>
      <c r="U478" t="s">
        <v>77</v>
      </c>
      <c r="V478" t="s">
        <v>57</v>
      </c>
      <c r="W478">
        <v>6</v>
      </c>
      <c r="X478" t="s">
        <v>47</v>
      </c>
      <c r="Y478">
        <v>1</v>
      </c>
      <c r="Z478" t="s">
        <v>47</v>
      </c>
    </row>
    <row r="479" spans="1:26" x14ac:dyDescent="0.3">
      <c r="A479" t="s">
        <v>943</v>
      </c>
      <c r="B479" s="2">
        <v>46109</v>
      </c>
      <c r="C479" t="s">
        <v>944</v>
      </c>
      <c r="D479" t="s">
        <v>61</v>
      </c>
      <c r="E479" t="s">
        <v>29</v>
      </c>
      <c r="F479">
        <v>20</v>
      </c>
      <c r="G479" t="s">
        <v>99</v>
      </c>
      <c r="H479" t="s">
        <v>52</v>
      </c>
      <c r="I479" t="s">
        <v>99</v>
      </c>
      <c r="J479" t="s">
        <v>32</v>
      </c>
      <c r="K479">
        <v>5</v>
      </c>
      <c r="L479">
        <v>48760</v>
      </c>
      <c r="M479">
        <v>5</v>
      </c>
      <c r="N479">
        <v>12190</v>
      </c>
      <c r="O479">
        <v>41689.800000000003</v>
      </c>
      <c r="P479">
        <v>420</v>
      </c>
      <c r="Q479">
        <v>273719.8</v>
      </c>
      <c r="R479" t="s">
        <v>33</v>
      </c>
      <c r="S479" t="s">
        <v>34</v>
      </c>
      <c r="T479" t="s">
        <v>95</v>
      </c>
      <c r="U479" t="s">
        <v>96</v>
      </c>
      <c r="V479" t="s">
        <v>57</v>
      </c>
      <c r="W479">
        <v>7</v>
      </c>
      <c r="X479" t="s">
        <v>47</v>
      </c>
      <c r="Y479">
        <v>4</v>
      </c>
      <c r="Z479" t="s">
        <v>47</v>
      </c>
    </row>
    <row r="480" spans="1:26" x14ac:dyDescent="0.3">
      <c r="A480" t="s">
        <v>945</v>
      </c>
      <c r="B480" s="2">
        <v>45804</v>
      </c>
      <c r="C480" t="s">
        <v>143</v>
      </c>
      <c r="D480" t="s">
        <v>80</v>
      </c>
      <c r="E480" t="s">
        <v>43</v>
      </c>
      <c r="F480">
        <v>38</v>
      </c>
      <c r="G480" t="s">
        <v>30</v>
      </c>
      <c r="H480" t="s">
        <v>31</v>
      </c>
      <c r="I480" t="s">
        <v>30</v>
      </c>
      <c r="J480" t="s">
        <v>62</v>
      </c>
      <c r="K480">
        <v>5</v>
      </c>
      <c r="L480">
        <v>39991</v>
      </c>
      <c r="M480">
        <v>10</v>
      </c>
      <c r="N480">
        <v>19995.5</v>
      </c>
      <c r="O480">
        <v>32392.71</v>
      </c>
      <c r="P480">
        <v>310</v>
      </c>
      <c r="Q480">
        <v>212662.21</v>
      </c>
      <c r="R480" t="s">
        <v>33</v>
      </c>
      <c r="S480" t="s">
        <v>34</v>
      </c>
      <c r="T480" t="s">
        <v>46</v>
      </c>
      <c r="U480" t="s">
        <v>36</v>
      </c>
      <c r="V480" t="s">
        <v>37</v>
      </c>
      <c r="W480">
        <v>8</v>
      </c>
      <c r="X480" t="s">
        <v>38</v>
      </c>
      <c r="Y480">
        <v>5</v>
      </c>
      <c r="Z480" t="s">
        <v>47</v>
      </c>
    </row>
    <row r="481" spans="1:26" x14ac:dyDescent="0.3">
      <c r="A481" t="s">
        <v>946</v>
      </c>
      <c r="B481" s="2">
        <v>45909</v>
      </c>
      <c r="C481" t="s">
        <v>665</v>
      </c>
      <c r="D481" t="s">
        <v>66</v>
      </c>
      <c r="E481" t="s">
        <v>43</v>
      </c>
      <c r="F481">
        <v>53</v>
      </c>
      <c r="G481" t="s">
        <v>90</v>
      </c>
      <c r="H481" t="s">
        <v>31</v>
      </c>
      <c r="I481" t="s">
        <v>90</v>
      </c>
      <c r="J481" t="s">
        <v>112</v>
      </c>
      <c r="K481">
        <v>1</v>
      </c>
      <c r="L481">
        <v>47402</v>
      </c>
      <c r="M481">
        <v>5</v>
      </c>
      <c r="N481">
        <v>2370.1</v>
      </c>
      <c r="O481">
        <v>8105.74</v>
      </c>
      <c r="P481">
        <v>192</v>
      </c>
      <c r="Q481">
        <v>53329.64</v>
      </c>
      <c r="R481" t="s">
        <v>54</v>
      </c>
      <c r="S481" t="s">
        <v>63</v>
      </c>
      <c r="T481" t="s">
        <v>55</v>
      </c>
      <c r="U481" t="s">
        <v>56</v>
      </c>
      <c r="V481" t="s">
        <v>57</v>
      </c>
      <c r="W481">
        <v>5</v>
      </c>
      <c r="X481" t="s">
        <v>38</v>
      </c>
      <c r="Y481">
        <v>2</v>
      </c>
      <c r="Z481" t="s">
        <v>58</v>
      </c>
    </row>
    <row r="482" spans="1:26" x14ac:dyDescent="0.3">
      <c r="A482" t="s">
        <v>947</v>
      </c>
      <c r="B482" s="2">
        <v>46034</v>
      </c>
      <c r="C482" t="s">
        <v>948</v>
      </c>
      <c r="D482" t="s">
        <v>61</v>
      </c>
      <c r="E482" t="s">
        <v>43</v>
      </c>
      <c r="F482">
        <v>34</v>
      </c>
      <c r="G482" t="s">
        <v>94</v>
      </c>
      <c r="H482" t="s">
        <v>31</v>
      </c>
      <c r="I482" t="s">
        <v>94</v>
      </c>
      <c r="J482" t="s">
        <v>150</v>
      </c>
      <c r="K482">
        <v>3</v>
      </c>
      <c r="L482">
        <v>42924</v>
      </c>
      <c r="M482">
        <v>20</v>
      </c>
      <c r="N482">
        <v>25754.400000000001</v>
      </c>
      <c r="O482">
        <v>18543.169999999998</v>
      </c>
      <c r="P482">
        <v>373</v>
      </c>
      <c r="Q482">
        <v>121933.77</v>
      </c>
      <c r="R482" t="s">
        <v>54</v>
      </c>
      <c r="S482" t="s">
        <v>34</v>
      </c>
      <c r="T482" t="s">
        <v>70</v>
      </c>
      <c r="U482" t="s">
        <v>56</v>
      </c>
      <c r="V482" t="s">
        <v>57</v>
      </c>
      <c r="W482">
        <v>2</v>
      </c>
      <c r="X482" t="s">
        <v>47</v>
      </c>
      <c r="Y482">
        <v>4</v>
      </c>
      <c r="Z482" t="s">
        <v>91</v>
      </c>
    </row>
    <row r="483" spans="1:26" x14ac:dyDescent="0.3">
      <c r="A483" t="s">
        <v>949</v>
      </c>
      <c r="B483" s="2">
        <v>46000</v>
      </c>
      <c r="C483" t="s">
        <v>950</v>
      </c>
      <c r="D483" t="s">
        <v>108</v>
      </c>
      <c r="E483" t="s">
        <v>43</v>
      </c>
      <c r="F483">
        <v>29</v>
      </c>
      <c r="G483" t="s">
        <v>44</v>
      </c>
      <c r="H483" t="s">
        <v>31</v>
      </c>
      <c r="I483" t="s">
        <v>44</v>
      </c>
      <c r="J483" t="s">
        <v>62</v>
      </c>
      <c r="K483">
        <v>2</v>
      </c>
      <c r="L483">
        <v>43493</v>
      </c>
      <c r="M483">
        <v>5</v>
      </c>
      <c r="N483">
        <v>4349.3</v>
      </c>
      <c r="O483">
        <v>14874.61</v>
      </c>
      <c r="P483">
        <v>499</v>
      </c>
      <c r="Q483">
        <v>98010.31</v>
      </c>
      <c r="R483" t="s">
        <v>83</v>
      </c>
      <c r="S483" t="s">
        <v>63</v>
      </c>
      <c r="T483" t="s">
        <v>35</v>
      </c>
      <c r="U483" t="s">
        <v>36</v>
      </c>
      <c r="V483" t="s">
        <v>37</v>
      </c>
      <c r="W483">
        <v>10</v>
      </c>
      <c r="X483" t="s">
        <v>47</v>
      </c>
      <c r="Y483">
        <v>4</v>
      </c>
      <c r="Z483" t="s">
        <v>39</v>
      </c>
    </row>
    <row r="484" spans="1:26" x14ac:dyDescent="0.3">
      <c r="A484" t="s">
        <v>951</v>
      </c>
      <c r="B484" s="2">
        <v>46087</v>
      </c>
      <c r="C484" t="s">
        <v>952</v>
      </c>
      <c r="D484" t="s">
        <v>42</v>
      </c>
      <c r="E484" t="s">
        <v>29</v>
      </c>
      <c r="F484">
        <v>52</v>
      </c>
      <c r="G484" t="s">
        <v>99</v>
      </c>
      <c r="H484" t="s">
        <v>52</v>
      </c>
      <c r="I484" t="s">
        <v>99</v>
      </c>
      <c r="J484" t="s">
        <v>75</v>
      </c>
      <c r="K484">
        <v>1</v>
      </c>
      <c r="L484">
        <v>23370</v>
      </c>
      <c r="M484">
        <v>0</v>
      </c>
      <c r="N484">
        <v>0</v>
      </c>
      <c r="O484">
        <v>4206.6000000000004</v>
      </c>
      <c r="P484">
        <v>413</v>
      </c>
      <c r="Q484">
        <v>27989.599999999999</v>
      </c>
      <c r="R484" t="s">
        <v>83</v>
      </c>
      <c r="S484" t="s">
        <v>63</v>
      </c>
      <c r="T484" t="s">
        <v>84</v>
      </c>
      <c r="U484" t="s">
        <v>85</v>
      </c>
      <c r="V484" t="s">
        <v>86</v>
      </c>
      <c r="W484">
        <v>6</v>
      </c>
      <c r="X484" t="s">
        <v>38</v>
      </c>
      <c r="Y484">
        <v>4</v>
      </c>
      <c r="Z484" t="s">
        <v>47</v>
      </c>
    </row>
    <row r="485" spans="1:26" x14ac:dyDescent="0.3">
      <c r="A485" t="s">
        <v>953</v>
      </c>
      <c r="B485" s="2">
        <v>46070</v>
      </c>
      <c r="C485" t="s">
        <v>954</v>
      </c>
      <c r="D485" t="s">
        <v>42</v>
      </c>
      <c r="E485" t="s">
        <v>43</v>
      </c>
      <c r="F485">
        <v>58</v>
      </c>
      <c r="G485" t="s">
        <v>30</v>
      </c>
      <c r="H485" t="s">
        <v>31</v>
      </c>
      <c r="I485" t="s">
        <v>30</v>
      </c>
      <c r="J485" t="s">
        <v>53</v>
      </c>
      <c r="K485">
        <v>3</v>
      </c>
      <c r="L485">
        <v>47124</v>
      </c>
      <c r="M485">
        <v>10</v>
      </c>
      <c r="N485">
        <v>14137.2</v>
      </c>
      <c r="O485">
        <v>22902.26</v>
      </c>
      <c r="P485">
        <v>40</v>
      </c>
      <c r="Q485">
        <v>150177.06</v>
      </c>
      <c r="R485" t="s">
        <v>54</v>
      </c>
      <c r="S485" t="s">
        <v>63</v>
      </c>
      <c r="T485" t="s">
        <v>103</v>
      </c>
      <c r="U485" t="s">
        <v>103</v>
      </c>
      <c r="V485" t="s">
        <v>57</v>
      </c>
      <c r="W485">
        <v>4</v>
      </c>
      <c r="X485" t="s">
        <v>38</v>
      </c>
      <c r="Y485">
        <v>3</v>
      </c>
      <c r="Z485" t="s">
        <v>91</v>
      </c>
    </row>
    <row r="486" spans="1:26" x14ac:dyDescent="0.3">
      <c r="A486" t="s">
        <v>955</v>
      </c>
      <c r="B486" s="2">
        <v>46062</v>
      </c>
      <c r="C486" t="s">
        <v>956</v>
      </c>
      <c r="D486" t="s">
        <v>89</v>
      </c>
      <c r="E486" t="s">
        <v>29</v>
      </c>
      <c r="F486">
        <v>30</v>
      </c>
      <c r="G486" t="s">
        <v>139</v>
      </c>
      <c r="H486" t="s">
        <v>31</v>
      </c>
      <c r="I486" t="s">
        <v>139</v>
      </c>
      <c r="J486" t="s">
        <v>201</v>
      </c>
      <c r="K486">
        <v>1</v>
      </c>
      <c r="L486">
        <v>27733</v>
      </c>
      <c r="M486">
        <v>5</v>
      </c>
      <c r="N486">
        <v>1386.65</v>
      </c>
      <c r="O486">
        <v>4742.34</v>
      </c>
      <c r="P486">
        <v>481</v>
      </c>
      <c r="Q486">
        <v>31569.69</v>
      </c>
      <c r="R486" t="s">
        <v>83</v>
      </c>
      <c r="S486" t="s">
        <v>34</v>
      </c>
      <c r="T486" t="s">
        <v>46</v>
      </c>
      <c r="U486" t="s">
        <v>36</v>
      </c>
      <c r="V486" t="s">
        <v>37</v>
      </c>
      <c r="W486">
        <v>8</v>
      </c>
      <c r="X486" t="s">
        <v>38</v>
      </c>
      <c r="Y486">
        <v>3</v>
      </c>
      <c r="Z486" t="s">
        <v>39</v>
      </c>
    </row>
    <row r="487" spans="1:26" x14ac:dyDescent="0.3">
      <c r="A487" t="s">
        <v>957</v>
      </c>
      <c r="B487" s="2">
        <v>45913</v>
      </c>
      <c r="C487" t="s">
        <v>742</v>
      </c>
      <c r="D487" t="s">
        <v>42</v>
      </c>
      <c r="E487" t="s">
        <v>29</v>
      </c>
      <c r="F487">
        <v>26</v>
      </c>
      <c r="G487" t="s">
        <v>74</v>
      </c>
      <c r="H487" t="s">
        <v>31</v>
      </c>
      <c r="I487" t="s">
        <v>74</v>
      </c>
      <c r="J487" t="s">
        <v>201</v>
      </c>
      <c r="K487">
        <v>1</v>
      </c>
      <c r="L487">
        <v>16619</v>
      </c>
      <c r="M487">
        <v>5</v>
      </c>
      <c r="N487">
        <v>830.95</v>
      </c>
      <c r="O487">
        <v>2841.85</v>
      </c>
      <c r="P487">
        <v>416</v>
      </c>
      <c r="Q487">
        <v>19045.900000000001</v>
      </c>
      <c r="R487" t="s">
        <v>54</v>
      </c>
      <c r="S487" t="s">
        <v>34</v>
      </c>
      <c r="T487" t="s">
        <v>84</v>
      </c>
      <c r="U487" t="s">
        <v>85</v>
      </c>
      <c r="V487" t="s">
        <v>86</v>
      </c>
      <c r="W487">
        <v>4</v>
      </c>
      <c r="X487" t="s">
        <v>38</v>
      </c>
      <c r="Y487">
        <v>1</v>
      </c>
      <c r="Z487" t="s">
        <v>47</v>
      </c>
    </row>
    <row r="488" spans="1:26" x14ac:dyDescent="0.3">
      <c r="A488" t="s">
        <v>958</v>
      </c>
      <c r="B488" s="2">
        <v>45939</v>
      </c>
      <c r="C488" t="s">
        <v>172</v>
      </c>
      <c r="D488" t="s">
        <v>28</v>
      </c>
      <c r="E488" t="s">
        <v>43</v>
      </c>
      <c r="F488">
        <v>39</v>
      </c>
      <c r="G488" t="s">
        <v>99</v>
      </c>
      <c r="H488" t="s">
        <v>52</v>
      </c>
      <c r="I488" t="s">
        <v>99</v>
      </c>
      <c r="J488" t="s">
        <v>112</v>
      </c>
      <c r="K488">
        <v>3</v>
      </c>
      <c r="L488">
        <v>16882</v>
      </c>
      <c r="M488">
        <v>10</v>
      </c>
      <c r="N488">
        <v>5064.6000000000004</v>
      </c>
      <c r="O488">
        <v>8204.65</v>
      </c>
      <c r="P488">
        <v>146</v>
      </c>
      <c r="Q488">
        <v>53932.05</v>
      </c>
      <c r="R488" t="s">
        <v>33</v>
      </c>
      <c r="S488" t="s">
        <v>63</v>
      </c>
      <c r="T488" t="s">
        <v>103</v>
      </c>
      <c r="U488" t="s">
        <v>103</v>
      </c>
      <c r="V488" t="s">
        <v>57</v>
      </c>
      <c r="W488">
        <v>2</v>
      </c>
      <c r="X488" t="s">
        <v>38</v>
      </c>
      <c r="Y488">
        <v>5</v>
      </c>
      <c r="Z488" t="s">
        <v>91</v>
      </c>
    </row>
    <row r="489" spans="1:26" x14ac:dyDescent="0.3">
      <c r="A489" t="s">
        <v>959</v>
      </c>
      <c r="B489" s="2">
        <v>46009</v>
      </c>
      <c r="C489" t="s">
        <v>960</v>
      </c>
      <c r="D489" t="s">
        <v>80</v>
      </c>
      <c r="E489" t="s">
        <v>29</v>
      </c>
      <c r="F489">
        <v>52</v>
      </c>
      <c r="G489" t="s">
        <v>74</v>
      </c>
      <c r="H489" t="s">
        <v>31</v>
      </c>
      <c r="I489" t="s">
        <v>74</v>
      </c>
      <c r="J489" t="s">
        <v>125</v>
      </c>
      <c r="K489">
        <v>3</v>
      </c>
      <c r="L489">
        <v>42848</v>
      </c>
      <c r="M489">
        <v>15</v>
      </c>
      <c r="N489">
        <v>19281.599999999999</v>
      </c>
      <c r="O489">
        <v>19667.23</v>
      </c>
      <c r="P489">
        <v>22</v>
      </c>
      <c r="Q489">
        <v>128951.63</v>
      </c>
      <c r="R489" t="s">
        <v>54</v>
      </c>
      <c r="S489" t="s">
        <v>34</v>
      </c>
      <c r="T489" t="s">
        <v>70</v>
      </c>
      <c r="U489" t="s">
        <v>56</v>
      </c>
      <c r="V489" t="s">
        <v>57</v>
      </c>
      <c r="W489">
        <v>3</v>
      </c>
      <c r="X489" t="s">
        <v>38</v>
      </c>
      <c r="Y489">
        <v>2</v>
      </c>
      <c r="Z489" t="s">
        <v>47</v>
      </c>
    </row>
    <row r="490" spans="1:26" x14ac:dyDescent="0.3">
      <c r="A490" t="s">
        <v>961</v>
      </c>
      <c r="B490" s="2">
        <v>45860</v>
      </c>
      <c r="C490" t="s">
        <v>962</v>
      </c>
      <c r="D490" t="s">
        <v>73</v>
      </c>
      <c r="E490" t="s">
        <v>43</v>
      </c>
      <c r="F490">
        <v>25</v>
      </c>
      <c r="G490" t="s">
        <v>67</v>
      </c>
      <c r="H490" t="s">
        <v>68</v>
      </c>
      <c r="I490" t="s">
        <v>67</v>
      </c>
      <c r="J490" t="s">
        <v>62</v>
      </c>
      <c r="K490">
        <v>3</v>
      </c>
      <c r="L490">
        <v>17988</v>
      </c>
      <c r="M490">
        <v>10</v>
      </c>
      <c r="N490">
        <v>5396.4</v>
      </c>
      <c r="O490">
        <v>8742.17</v>
      </c>
      <c r="P490">
        <v>462</v>
      </c>
      <c r="Q490">
        <v>57771.77</v>
      </c>
      <c r="R490" t="s">
        <v>83</v>
      </c>
      <c r="S490" t="s">
        <v>34</v>
      </c>
      <c r="T490" t="s">
        <v>76</v>
      </c>
      <c r="U490" t="s">
        <v>77</v>
      </c>
      <c r="V490" t="s">
        <v>57</v>
      </c>
      <c r="W490">
        <v>10</v>
      </c>
      <c r="X490" t="s">
        <v>38</v>
      </c>
      <c r="Y490">
        <v>2</v>
      </c>
      <c r="Z490" t="s">
        <v>91</v>
      </c>
    </row>
    <row r="491" spans="1:26" x14ac:dyDescent="0.3">
      <c r="A491" t="s">
        <v>963</v>
      </c>
      <c r="B491" s="2">
        <v>45807</v>
      </c>
      <c r="C491" t="s">
        <v>203</v>
      </c>
      <c r="D491" t="s">
        <v>66</v>
      </c>
      <c r="E491" t="s">
        <v>43</v>
      </c>
      <c r="F491">
        <v>51</v>
      </c>
      <c r="G491" t="s">
        <v>99</v>
      </c>
      <c r="H491" t="s">
        <v>52</v>
      </c>
      <c r="I491" t="s">
        <v>99</v>
      </c>
      <c r="J491" t="s">
        <v>102</v>
      </c>
      <c r="K491">
        <v>4</v>
      </c>
      <c r="L491">
        <v>20757</v>
      </c>
      <c r="M491">
        <v>0</v>
      </c>
      <c r="N491">
        <v>0</v>
      </c>
      <c r="O491">
        <v>14945.04</v>
      </c>
      <c r="P491">
        <v>65</v>
      </c>
      <c r="Q491">
        <v>98038.04</v>
      </c>
      <c r="R491" t="s">
        <v>54</v>
      </c>
      <c r="S491" t="s">
        <v>34</v>
      </c>
      <c r="T491" t="s">
        <v>70</v>
      </c>
      <c r="U491" t="s">
        <v>56</v>
      </c>
      <c r="V491" t="s">
        <v>57</v>
      </c>
      <c r="W491">
        <v>6</v>
      </c>
      <c r="X491" t="s">
        <v>47</v>
      </c>
      <c r="Y491">
        <v>4</v>
      </c>
      <c r="Z491" t="s">
        <v>58</v>
      </c>
    </row>
    <row r="492" spans="1:26" x14ac:dyDescent="0.3">
      <c r="A492" t="s">
        <v>964</v>
      </c>
      <c r="B492" s="2">
        <v>45868</v>
      </c>
      <c r="C492" t="s">
        <v>965</v>
      </c>
      <c r="D492" t="s">
        <v>50</v>
      </c>
      <c r="E492" t="s">
        <v>43</v>
      </c>
      <c r="F492">
        <v>54</v>
      </c>
      <c r="G492" t="s">
        <v>134</v>
      </c>
      <c r="H492" t="s">
        <v>31</v>
      </c>
      <c r="I492" t="s">
        <v>134</v>
      </c>
      <c r="J492" t="s">
        <v>75</v>
      </c>
      <c r="K492">
        <v>2</v>
      </c>
      <c r="L492">
        <v>36202</v>
      </c>
      <c r="M492">
        <v>10</v>
      </c>
      <c r="N492">
        <v>7240.4</v>
      </c>
      <c r="O492">
        <v>11729.45</v>
      </c>
      <c r="P492">
        <v>49</v>
      </c>
      <c r="Q492">
        <v>76942.05</v>
      </c>
      <c r="R492" t="s">
        <v>54</v>
      </c>
      <c r="S492" t="s">
        <v>63</v>
      </c>
      <c r="T492" t="s">
        <v>103</v>
      </c>
      <c r="U492" t="s">
        <v>103</v>
      </c>
      <c r="V492" t="s">
        <v>57</v>
      </c>
      <c r="W492">
        <v>10</v>
      </c>
      <c r="X492" t="s">
        <v>47</v>
      </c>
      <c r="Y492">
        <v>3</v>
      </c>
      <c r="Z492" t="s">
        <v>58</v>
      </c>
    </row>
    <row r="493" spans="1:26" x14ac:dyDescent="0.3">
      <c r="A493" t="s">
        <v>966</v>
      </c>
      <c r="B493" s="2">
        <v>46089</v>
      </c>
      <c r="C493" t="s">
        <v>777</v>
      </c>
      <c r="D493" t="s">
        <v>80</v>
      </c>
      <c r="E493" t="s">
        <v>43</v>
      </c>
      <c r="F493">
        <v>55</v>
      </c>
      <c r="G493" t="s">
        <v>90</v>
      </c>
      <c r="H493" t="s">
        <v>31</v>
      </c>
      <c r="I493" t="s">
        <v>90</v>
      </c>
      <c r="J493" t="s">
        <v>62</v>
      </c>
      <c r="K493">
        <v>5</v>
      </c>
      <c r="L493">
        <v>8252</v>
      </c>
      <c r="M493">
        <v>20</v>
      </c>
      <c r="N493">
        <v>8252</v>
      </c>
      <c r="O493">
        <v>5941.44</v>
      </c>
      <c r="P493">
        <v>389</v>
      </c>
      <c r="Q493">
        <v>39338.44</v>
      </c>
      <c r="R493" t="s">
        <v>54</v>
      </c>
      <c r="S493" t="s">
        <v>34</v>
      </c>
      <c r="T493" t="s">
        <v>46</v>
      </c>
      <c r="U493" t="s">
        <v>36</v>
      </c>
      <c r="V493" t="s">
        <v>37</v>
      </c>
      <c r="W493">
        <v>5</v>
      </c>
      <c r="X493" t="s">
        <v>47</v>
      </c>
      <c r="Y493">
        <v>3</v>
      </c>
      <c r="Z493" t="s">
        <v>91</v>
      </c>
    </row>
    <row r="494" spans="1:26" x14ac:dyDescent="0.3">
      <c r="A494" t="s">
        <v>967</v>
      </c>
      <c r="B494" s="2">
        <v>45776</v>
      </c>
      <c r="C494" t="s">
        <v>203</v>
      </c>
      <c r="D494" t="s">
        <v>80</v>
      </c>
      <c r="E494" t="s">
        <v>29</v>
      </c>
      <c r="F494">
        <v>50</v>
      </c>
      <c r="G494" t="s">
        <v>67</v>
      </c>
      <c r="H494" t="s">
        <v>68</v>
      </c>
      <c r="I494" t="s">
        <v>67</v>
      </c>
      <c r="J494" t="s">
        <v>62</v>
      </c>
      <c r="K494">
        <v>1</v>
      </c>
      <c r="L494">
        <v>49467</v>
      </c>
      <c r="M494">
        <v>20</v>
      </c>
      <c r="N494">
        <v>9893.4</v>
      </c>
      <c r="O494">
        <v>7123.25</v>
      </c>
      <c r="P494">
        <v>217</v>
      </c>
      <c r="Q494">
        <v>46913.85</v>
      </c>
      <c r="R494" t="s">
        <v>54</v>
      </c>
      <c r="S494" t="s">
        <v>63</v>
      </c>
      <c r="T494" t="s">
        <v>84</v>
      </c>
      <c r="U494" t="s">
        <v>85</v>
      </c>
      <c r="V494" t="s">
        <v>86</v>
      </c>
      <c r="W494">
        <v>5</v>
      </c>
      <c r="X494" t="s">
        <v>38</v>
      </c>
      <c r="Y494">
        <v>3</v>
      </c>
      <c r="Z494" t="s">
        <v>58</v>
      </c>
    </row>
    <row r="495" spans="1:26" x14ac:dyDescent="0.3">
      <c r="A495" t="s">
        <v>968</v>
      </c>
      <c r="B495" s="2">
        <v>45941</v>
      </c>
      <c r="C495" t="s">
        <v>388</v>
      </c>
      <c r="D495" t="s">
        <v>42</v>
      </c>
      <c r="E495" t="s">
        <v>29</v>
      </c>
      <c r="F495">
        <v>55</v>
      </c>
      <c r="G495" t="s">
        <v>51</v>
      </c>
      <c r="H495" t="s">
        <v>52</v>
      </c>
      <c r="I495" t="s">
        <v>51</v>
      </c>
      <c r="J495" t="s">
        <v>102</v>
      </c>
      <c r="K495">
        <v>4</v>
      </c>
      <c r="L495">
        <v>21774</v>
      </c>
      <c r="M495">
        <v>20</v>
      </c>
      <c r="N495">
        <v>17419.2</v>
      </c>
      <c r="O495">
        <v>12541.82</v>
      </c>
      <c r="P495">
        <v>11</v>
      </c>
      <c r="Q495">
        <v>82229.62</v>
      </c>
      <c r="R495" t="s">
        <v>54</v>
      </c>
      <c r="S495" t="s">
        <v>63</v>
      </c>
      <c r="T495" t="s">
        <v>95</v>
      </c>
      <c r="U495" t="s">
        <v>96</v>
      </c>
      <c r="V495" t="s">
        <v>57</v>
      </c>
      <c r="W495">
        <v>5</v>
      </c>
      <c r="X495" t="s">
        <v>47</v>
      </c>
      <c r="Y495">
        <v>1</v>
      </c>
      <c r="Z495" t="s">
        <v>91</v>
      </c>
    </row>
    <row r="496" spans="1:26" x14ac:dyDescent="0.3">
      <c r="A496" t="s">
        <v>969</v>
      </c>
      <c r="B496" s="2">
        <v>45994</v>
      </c>
      <c r="C496" t="s">
        <v>283</v>
      </c>
      <c r="D496" t="s">
        <v>80</v>
      </c>
      <c r="E496" t="s">
        <v>43</v>
      </c>
      <c r="F496">
        <v>54</v>
      </c>
      <c r="G496" t="s">
        <v>74</v>
      </c>
      <c r="H496" t="s">
        <v>31</v>
      </c>
      <c r="I496" t="s">
        <v>74</v>
      </c>
      <c r="J496" t="s">
        <v>112</v>
      </c>
      <c r="K496">
        <v>4</v>
      </c>
      <c r="L496">
        <v>47507</v>
      </c>
      <c r="M496">
        <v>5</v>
      </c>
      <c r="N496">
        <v>9501.4</v>
      </c>
      <c r="O496">
        <v>32494.79</v>
      </c>
      <c r="P496">
        <v>181</v>
      </c>
      <c r="Q496">
        <v>213202.39</v>
      </c>
      <c r="R496" t="s">
        <v>33</v>
      </c>
      <c r="S496" t="s">
        <v>63</v>
      </c>
      <c r="T496" t="s">
        <v>95</v>
      </c>
      <c r="U496" t="s">
        <v>96</v>
      </c>
      <c r="V496" t="s">
        <v>57</v>
      </c>
      <c r="W496">
        <v>7</v>
      </c>
      <c r="X496" t="s">
        <v>47</v>
      </c>
      <c r="Y496">
        <v>2</v>
      </c>
      <c r="Z496" t="s">
        <v>91</v>
      </c>
    </row>
    <row r="497" spans="1:26" x14ac:dyDescent="0.3">
      <c r="A497" t="s">
        <v>970</v>
      </c>
      <c r="B497" s="2">
        <v>45961</v>
      </c>
      <c r="C497" t="s">
        <v>971</v>
      </c>
      <c r="D497" t="s">
        <v>73</v>
      </c>
      <c r="E497" t="s">
        <v>43</v>
      </c>
      <c r="F497">
        <v>29</v>
      </c>
      <c r="G497" t="s">
        <v>139</v>
      </c>
      <c r="H497" t="s">
        <v>31</v>
      </c>
      <c r="I497" t="s">
        <v>139</v>
      </c>
      <c r="J497" t="s">
        <v>112</v>
      </c>
      <c r="K497">
        <v>3</v>
      </c>
      <c r="L497">
        <v>36790</v>
      </c>
      <c r="M497">
        <v>10</v>
      </c>
      <c r="N497">
        <v>11037</v>
      </c>
      <c r="O497">
        <v>17879.939999999999</v>
      </c>
      <c r="P497">
        <v>0</v>
      </c>
      <c r="Q497">
        <v>117212.94</v>
      </c>
      <c r="R497" t="s">
        <v>33</v>
      </c>
      <c r="S497" t="s">
        <v>63</v>
      </c>
      <c r="T497" t="s">
        <v>95</v>
      </c>
      <c r="U497" t="s">
        <v>96</v>
      </c>
      <c r="V497" t="s">
        <v>57</v>
      </c>
      <c r="W497">
        <v>7</v>
      </c>
      <c r="X497" t="s">
        <v>38</v>
      </c>
      <c r="Y497">
        <v>1</v>
      </c>
      <c r="Z497" t="s">
        <v>91</v>
      </c>
    </row>
    <row r="498" spans="1:26" x14ac:dyDescent="0.3">
      <c r="A498" t="s">
        <v>972</v>
      </c>
      <c r="B498" s="2">
        <v>45831</v>
      </c>
      <c r="C498" t="s">
        <v>973</v>
      </c>
      <c r="D498" t="s">
        <v>66</v>
      </c>
      <c r="E498" t="s">
        <v>29</v>
      </c>
      <c r="F498">
        <v>22</v>
      </c>
      <c r="G498" t="s">
        <v>74</v>
      </c>
      <c r="H498" t="s">
        <v>31</v>
      </c>
      <c r="I498" t="s">
        <v>74</v>
      </c>
      <c r="J498" t="s">
        <v>62</v>
      </c>
      <c r="K498">
        <v>1</v>
      </c>
      <c r="L498">
        <v>29785</v>
      </c>
      <c r="M498">
        <v>20</v>
      </c>
      <c r="N498">
        <v>5957</v>
      </c>
      <c r="O498">
        <v>4289.04</v>
      </c>
      <c r="P498">
        <v>223</v>
      </c>
      <c r="Q498">
        <v>28340.04</v>
      </c>
      <c r="R498" t="s">
        <v>33</v>
      </c>
      <c r="S498" t="s">
        <v>63</v>
      </c>
      <c r="T498" t="s">
        <v>46</v>
      </c>
      <c r="U498" t="s">
        <v>36</v>
      </c>
      <c r="V498" t="s">
        <v>37</v>
      </c>
      <c r="W498">
        <v>1</v>
      </c>
      <c r="X498" t="s">
        <v>47</v>
      </c>
      <c r="Y498">
        <v>1</v>
      </c>
      <c r="Z498" t="s">
        <v>91</v>
      </c>
    </row>
    <row r="499" spans="1:26" x14ac:dyDescent="0.3">
      <c r="A499" t="s">
        <v>974</v>
      </c>
      <c r="B499" s="2">
        <v>46019</v>
      </c>
      <c r="C499" t="s">
        <v>975</v>
      </c>
      <c r="D499" t="s">
        <v>73</v>
      </c>
      <c r="E499" t="s">
        <v>29</v>
      </c>
      <c r="F499">
        <v>21</v>
      </c>
      <c r="G499" t="s">
        <v>94</v>
      </c>
      <c r="H499" t="s">
        <v>31</v>
      </c>
      <c r="I499" t="s">
        <v>94</v>
      </c>
      <c r="J499" t="s">
        <v>75</v>
      </c>
      <c r="K499">
        <v>3</v>
      </c>
      <c r="L499">
        <v>44354</v>
      </c>
      <c r="M499">
        <v>0</v>
      </c>
      <c r="N499">
        <v>0</v>
      </c>
      <c r="O499">
        <v>23951.16</v>
      </c>
      <c r="P499">
        <v>395</v>
      </c>
      <c r="Q499">
        <v>157408.16</v>
      </c>
      <c r="R499" t="s">
        <v>54</v>
      </c>
      <c r="S499" t="s">
        <v>34</v>
      </c>
      <c r="T499" t="s">
        <v>70</v>
      </c>
      <c r="U499" t="s">
        <v>56</v>
      </c>
      <c r="V499" t="s">
        <v>57</v>
      </c>
      <c r="W499">
        <v>4</v>
      </c>
      <c r="X499" t="s">
        <v>47</v>
      </c>
      <c r="Y499">
        <v>3</v>
      </c>
      <c r="Z499" t="s">
        <v>47</v>
      </c>
    </row>
    <row r="500" spans="1:26" x14ac:dyDescent="0.3">
      <c r="A500" t="s">
        <v>976</v>
      </c>
      <c r="B500" s="2">
        <v>45921</v>
      </c>
      <c r="C500" t="s">
        <v>977</v>
      </c>
      <c r="D500" t="s">
        <v>80</v>
      </c>
      <c r="E500" t="s">
        <v>29</v>
      </c>
      <c r="F500">
        <v>26</v>
      </c>
      <c r="G500" t="s">
        <v>67</v>
      </c>
      <c r="H500" t="s">
        <v>68</v>
      </c>
      <c r="I500" t="s">
        <v>67</v>
      </c>
      <c r="J500" t="s">
        <v>69</v>
      </c>
      <c r="K500">
        <v>4</v>
      </c>
      <c r="L500">
        <v>42490</v>
      </c>
      <c r="M500">
        <v>10</v>
      </c>
      <c r="N500">
        <v>16996</v>
      </c>
      <c r="O500">
        <v>27533.52</v>
      </c>
      <c r="P500">
        <v>135</v>
      </c>
      <c r="Q500">
        <v>180632.52</v>
      </c>
      <c r="R500" t="s">
        <v>54</v>
      </c>
      <c r="S500" t="s">
        <v>63</v>
      </c>
      <c r="T500" t="s">
        <v>103</v>
      </c>
      <c r="U500" t="s">
        <v>103</v>
      </c>
      <c r="V500" t="s">
        <v>57</v>
      </c>
      <c r="W500">
        <v>3</v>
      </c>
      <c r="X500" t="s">
        <v>38</v>
      </c>
      <c r="Y500">
        <v>3</v>
      </c>
      <c r="Z500" t="s">
        <v>91</v>
      </c>
    </row>
    <row r="501" spans="1:26" x14ac:dyDescent="0.3">
      <c r="A501" t="s">
        <v>978</v>
      </c>
      <c r="B501" s="2">
        <v>46014</v>
      </c>
      <c r="C501" t="s">
        <v>631</v>
      </c>
      <c r="D501" t="s">
        <v>111</v>
      </c>
      <c r="E501" t="s">
        <v>43</v>
      </c>
      <c r="F501">
        <v>28</v>
      </c>
      <c r="G501" t="s">
        <v>94</v>
      </c>
      <c r="H501" t="s">
        <v>31</v>
      </c>
      <c r="I501" t="s">
        <v>94</v>
      </c>
      <c r="J501" t="s">
        <v>150</v>
      </c>
      <c r="K501">
        <v>1</v>
      </c>
      <c r="L501">
        <v>7815</v>
      </c>
      <c r="M501">
        <v>0</v>
      </c>
      <c r="N501">
        <v>0</v>
      </c>
      <c r="O501">
        <v>1406.7</v>
      </c>
      <c r="P501">
        <v>306</v>
      </c>
      <c r="Q501">
        <v>9527.7000000000007</v>
      </c>
      <c r="R501" t="s">
        <v>45</v>
      </c>
      <c r="S501" t="s">
        <v>63</v>
      </c>
      <c r="T501" t="s">
        <v>103</v>
      </c>
      <c r="U501" t="s">
        <v>103</v>
      </c>
      <c r="V501" t="s">
        <v>57</v>
      </c>
      <c r="W501">
        <v>7</v>
      </c>
      <c r="X501" t="s">
        <v>47</v>
      </c>
      <c r="Y501">
        <v>1</v>
      </c>
      <c r="Z501" t="s">
        <v>39</v>
      </c>
    </row>
    <row r="502" spans="1:26" x14ac:dyDescent="0.3">
      <c r="A502" t="s">
        <v>979</v>
      </c>
      <c r="B502" s="2">
        <v>45949</v>
      </c>
      <c r="C502" t="s">
        <v>980</v>
      </c>
      <c r="D502" t="s">
        <v>108</v>
      </c>
      <c r="E502" t="s">
        <v>29</v>
      </c>
      <c r="F502">
        <v>47</v>
      </c>
      <c r="G502" t="s">
        <v>94</v>
      </c>
      <c r="H502" t="s">
        <v>31</v>
      </c>
      <c r="I502" t="s">
        <v>94</v>
      </c>
      <c r="J502" t="s">
        <v>112</v>
      </c>
      <c r="K502">
        <v>1</v>
      </c>
      <c r="L502">
        <v>36934</v>
      </c>
      <c r="M502">
        <v>20</v>
      </c>
      <c r="N502">
        <v>7386.8</v>
      </c>
      <c r="O502">
        <v>5318.5</v>
      </c>
      <c r="P502">
        <v>83</v>
      </c>
      <c r="Q502">
        <v>34948.699999999997</v>
      </c>
      <c r="R502" t="s">
        <v>54</v>
      </c>
      <c r="S502" t="s">
        <v>34</v>
      </c>
      <c r="T502" t="s">
        <v>46</v>
      </c>
      <c r="U502" t="s">
        <v>36</v>
      </c>
      <c r="V502" t="s">
        <v>37</v>
      </c>
      <c r="W502">
        <v>4</v>
      </c>
      <c r="X502" t="s">
        <v>38</v>
      </c>
      <c r="Y502">
        <v>3</v>
      </c>
      <c r="Z502" t="s">
        <v>47</v>
      </c>
    </row>
    <row r="503" spans="1:26" x14ac:dyDescent="0.3">
      <c r="A503" t="s">
        <v>981</v>
      </c>
      <c r="B503" s="2">
        <v>46005</v>
      </c>
      <c r="C503" t="s">
        <v>810</v>
      </c>
      <c r="D503" t="s">
        <v>66</v>
      </c>
      <c r="E503" t="s">
        <v>43</v>
      </c>
      <c r="F503">
        <v>25</v>
      </c>
      <c r="G503" t="s">
        <v>90</v>
      </c>
      <c r="H503" t="s">
        <v>31</v>
      </c>
      <c r="I503" t="s">
        <v>90</v>
      </c>
      <c r="J503" t="s">
        <v>32</v>
      </c>
      <c r="K503">
        <v>4</v>
      </c>
      <c r="L503">
        <v>22888</v>
      </c>
      <c r="M503">
        <v>0</v>
      </c>
      <c r="N503">
        <v>0</v>
      </c>
      <c r="O503">
        <v>16479.36</v>
      </c>
      <c r="P503">
        <v>377</v>
      </c>
      <c r="Q503">
        <v>108408.36</v>
      </c>
      <c r="R503" t="s">
        <v>83</v>
      </c>
      <c r="S503" t="s">
        <v>34</v>
      </c>
      <c r="T503" t="s">
        <v>70</v>
      </c>
      <c r="U503" t="s">
        <v>56</v>
      </c>
      <c r="V503" t="s">
        <v>57</v>
      </c>
      <c r="W503">
        <v>10</v>
      </c>
      <c r="X503" t="s">
        <v>38</v>
      </c>
      <c r="Y503">
        <v>1</v>
      </c>
      <c r="Z503" t="s">
        <v>39</v>
      </c>
    </row>
    <row r="504" spans="1:26" x14ac:dyDescent="0.3">
      <c r="A504" t="s">
        <v>982</v>
      </c>
      <c r="B504" s="2">
        <v>46008</v>
      </c>
      <c r="C504" t="s">
        <v>983</v>
      </c>
      <c r="D504" t="s">
        <v>28</v>
      </c>
      <c r="E504" t="s">
        <v>43</v>
      </c>
      <c r="F504">
        <v>27</v>
      </c>
      <c r="G504" t="s">
        <v>99</v>
      </c>
      <c r="H504" t="s">
        <v>52</v>
      </c>
      <c r="I504" t="s">
        <v>99</v>
      </c>
      <c r="J504" t="s">
        <v>62</v>
      </c>
      <c r="K504">
        <v>4</v>
      </c>
      <c r="L504">
        <v>36131</v>
      </c>
      <c r="M504">
        <v>0</v>
      </c>
      <c r="N504">
        <v>0</v>
      </c>
      <c r="O504">
        <v>26014.32</v>
      </c>
      <c r="P504">
        <v>402</v>
      </c>
      <c r="Q504">
        <v>170940.32</v>
      </c>
      <c r="R504" t="s">
        <v>45</v>
      </c>
      <c r="S504" t="s">
        <v>63</v>
      </c>
      <c r="T504" t="s">
        <v>70</v>
      </c>
      <c r="U504" t="s">
        <v>56</v>
      </c>
      <c r="V504" t="s">
        <v>57</v>
      </c>
      <c r="W504">
        <v>4</v>
      </c>
      <c r="X504" t="s">
        <v>38</v>
      </c>
      <c r="Y504">
        <v>4</v>
      </c>
      <c r="Z504" t="s">
        <v>58</v>
      </c>
    </row>
    <row r="505" spans="1:26" x14ac:dyDescent="0.3">
      <c r="A505" t="s">
        <v>984</v>
      </c>
      <c r="B505" s="2">
        <v>45948</v>
      </c>
      <c r="C505" t="s">
        <v>985</v>
      </c>
      <c r="D505" t="s">
        <v>66</v>
      </c>
      <c r="E505" t="s">
        <v>43</v>
      </c>
      <c r="F505">
        <v>43</v>
      </c>
      <c r="G505" t="s">
        <v>44</v>
      </c>
      <c r="H505" t="s">
        <v>31</v>
      </c>
      <c r="I505" t="s">
        <v>44</v>
      </c>
      <c r="J505" t="s">
        <v>53</v>
      </c>
      <c r="K505">
        <v>2</v>
      </c>
      <c r="L505">
        <v>1030</v>
      </c>
      <c r="M505">
        <v>0</v>
      </c>
      <c r="N505">
        <v>0</v>
      </c>
      <c r="O505">
        <v>370.8</v>
      </c>
      <c r="P505">
        <v>174</v>
      </c>
      <c r="Q505">
        <v>2604.8000000000002</v>
      </c>
      <c r="R505" t="s">
        <v>45</v>
      </c>
      <c r="S505" t="s">
        <v>34</v>
      </c>
      <c r="T505" t="s">
        <v>35</v>
      </c>
      <c r="U505" t="s">
        <v>36</v>
      </c>
      <c r="V505" t="s">
        <v>37</v>
      </c>
      <c r="W505">
        <v>7</v>
      </c>
      <c r="X505" t="s">
        <v>47</v>
      </c>
      <c r="Y505">
        <v>2</v>
      </c>
      <c r="Z505" t="s">
        <v>91</v>
      </c>
    </row>
    <row r="506" spans="1:26" x14ac:dyDescent="0.3">
      <c r="A506" t="s">
        <v>986</v>
      </c>
      <c r="B506" s="2">
        <v>45963</v>
      </c>
      <c r="C506" t="s">
        <v>647</v>
      </c>
      <c r="D506" t="s">
        <v>73</v>
      </c>
      <c r="E506" t="s">
        <v>29</v>
      </c>
      <c r="F506">
        <v>55</v>
      </c>
      <c r="G506" t="s">
        <v>67</v>
      </c>
      <c r="H506" t="s">
        <v>68</v>
      </c>
      <c r="I506" t="s">
        <v>67</v>
      </c>
      <c r="J506" t="s">
        <v>32</v>
      </c>
      <c r="K506">
        <v>3</v>
      </c>
      <c r="L506">
        <v>22483</v>
      </c>
      <c r="M506">
        <v>15</v>
      </c>
      <c r="N506">
        <v>10117.35</v>
      </c>
      <c r="O506">
        <v>10319.700000000001</v>
      </c>
      <c r="P506">
        <v>275</v>
      </c>
      <c r="Q506">
        <v>67926.350000000006</v>
      </c>
      <c r="R506" t="s">
        <v>54</v>
      </c>
      <c r="S506" t="s">
        <v>34</v>
      </c>
      <c r="T506" t="s">
        <v>46</v>
      </c>
      <c r="U506" t="s">
        <v>36</v>
      </c>
      <c r="V506" t="s">
        <v>37</v>
      </c>
      <c r="W506">
        <v>7</v>
      </c>
      <c r="X506" t="s">
        <v>38</v>
      </c>
      <c r="Y506">
        <v>5</v>
      </c>
      <c r="Z506" t="s">
        <v>58</v>
      </c>
    </row>
    <row r="507" spans="1:26" x14ac:dyDescent="0.3">
      <c r="A507" t="s">
        <v>987</v>
      </c>
      <c r="B507" s="2">
        <v>45877</v>
      </c>
      <c r="C507" t="s">
        <v>635</v>
      </c>
      <c r="D507" t="s">
        <v>28</v>
      </c>
      <c r="E507" t="s">
        <v>43</v>
      </c>
      <c r="F507">
        <v>26</v>
      </c>
      <c r="G507" t="s">
        <v>90</v>
      </c>
      <c r="H507" t="s">
        <v>31</v>
      </c>
      <c r="I507" t="s">
        <v>90</v>
      </c>
      <c r="J507" t="s">
        <v>53</v>
      </c>
      <c r="K507">
        <v>4</v>
      </c>
      <c r="L507">
        <v>7865</v>
      </c>
      <c r="M507">
        <v>0</v>
      </c>
      <c r="N507">
        <v>0</v>
      </c>
      <c r="O507">
        <v>5662.8</v>
      </c>
      <c r="P507">
        <v>311</v>
      </c>
      <c r="Q507">
        <v>37433.800000000003</v>
      </c>
      <c r="R507" t="s">
        <v>33</v>
      </c>
      <c r="S507" t="s">
        <v>34</v>
      </c>
      <c r="T507" t="s">
        <v>103</v>
      </c>
      <c r="U507" t="s">
        <v>103</v>
      </c>
      <c r="V507" t="s">
        <v>57</v>
      </c>
      <c r="W507">
        <v>8</v>
      </c>
      <c r="X507" t="s">
        <v>38</v>
      </c>
      <c r="Y507">
        <v>3</v>
      </c>
      <c r="Z507" t="s">
        <v>58</v>
      </c>
    </row>
    <row r="508" spans="1:26" x14ac:dyDescent="0.3">
      <c r="A508" t="s">
        <v>988</v>
      </c>
      <c r="B508" s="2">
        <v>45980</v>
      </c>
      <c r="C508" t="s">
        <v>989</v>
      </c>
      <c r="D508" t="s">
        <v>66</v>
      </c>
      <c r="E508" t="s">
        <v>29</v>
      </c>
      <c r="F508">
        <v>27</v>
      </c>
      <c r="G508" t="s">
        <v>99</v>
      </c>
      <c r="H508" t="s">
        <v>52</v>
      </c>
      <c r="I508" t="s">
        <v>99</v>
      </c>
      <c r="J508" t="s">
        <v>102</v>
      </c>
      <c r="K508">
        <v>5</v>
      </c>
      <c r="L508">
        <v>20520</v>
      </c>
      <c r="M508">
        <v>20</v>
      </c>
      <c r="N508">
        <v>20520</v>
      </c>
      <c r="O508">
        <v>14774.4</v>
      </c>
      <c r="P508">
        <v>70</v>
      </c>
      <c r="Q508">
        <v>96924.4</v>
      </c>
      <c r="R508" t="s">
        <v>33</v>
      </c>
      <c r="S508" t="s">
        <v>63</v>
      </c>
      <c r="T508" t="s">
        <v>95</v>
      </c>
      <c r="U508" t="s">
        <v>96</v>
      </c>
      <c r="V508" t="s">
        <v>57</v>
      </c>
      <c r="W508">
        <v>10</v>
      </c>
      <c r="X508" t="s">
        <v>38</v>
      </c>
      <c r="Y508">
        <v>5</v>
      </c>
      <c r="Z508" t="s">
        <v>91</v>
      </c>
    </row>
    <row r="509" spans="1:26" x14ac:dyDescent="0.3">
      <c r="A509" t="s">
        <v>990</v>
      </c>
      <c r="B509" s="2">
        <v>45770</v>
      </c>
      <c r="C509" t="s">
        <v>293</v>
      </c>
      <c r="D509" t="s">
        <v>42</v>
      </c>
      <c r="E509" t="s">
        <v>43</v>
      </c>
      <c r="F509">
        <v>32</v>
      </c>
      <c r="G509" t="s">
        <v>134</v>
      </c>
      <c r="H509" t="s">
        <v>31</v>
      </c>
      <c r="I509" t="s">
        <v>134</v>
      </c>
      <c r="J509" t="s">
        <v>69</v>
      </c>
      <c r="K509">
        <v>3</v>
      </c>
      <c r="L509">
        <v>31680</v>
      </c>
      <c r="M509">
        <v>0</v>
      </c>
      <c r="N509">
        <v>0</v>
      </c>
      <c r="O509">
        <v>17107.2</v>
      </c>
      <c r="P509">
        <v>218</v>
      </c>
      <c r="Q509">
        <v>112365.2</v>
      </c>
      <c r="R509" t="s">
        <v>83</v>
      </c>
      <c r="S509" t="s">
        <v>63</v>
      </c>
      <c r="T509" t="s">
        <v>55</v>
      </c>
      <c r="U509" t="s">
        <v>56</v>
      </c>
      <c r="V509" t="s">
        <v>57</v>
      </c>
      <c r="W509">
        <v>7</v>
      </c>
      <c r="X509" t="s">
        <v>38</v>
      </c>
      <c r="Y509">
        <v>5</v>
      </c>
      <c r="Z509" t="s">
        <v>47</v>
      </c>
    </row>
    <row r="510" spans="1:26" x14ac:dyDescent="0.3">
      <c r="A510" t="s">
        <v>991</v>
      </c>
      <c r="B510" s="2">
        <v>45876</v>
      </c>
      <c r="C510" t="s">
        <v>992</v>
      </c>
      <c r="D510" t="s">
        <v>61</v>
      </c>
      <c r="E510" t="s">
        <v>29</v>
      </c>
      <c r="F510">
        <v>56</v>
      </c>
      <c r="G510" t="s">
        <v>74</v>
      </c>
      <c r="H510" t="s">
        <v>31</v>
      </c>
      <c r="I510" t="s">
        <v>74</v>
      </c>
      <c r="J510" t="s">
        <v>53</v>
      </c>
      <c r="K510">
        <v>5</v>
      </c>
      <c r="L510">
        <v>9895</v>
      </c>
      <c r="M510">
        <v>20</v>
      </c>
      <c r="N510">
        <v>9895</v>
      </c>
      <c r="O510">
        <v>7124.4</v>
      </c>
      <c r="P510">
        <v>285</v>
      </c>
      <c r="Q510">
        <v>46989.4</v>
      </c>
      <c r="R510" t="s">
        <v>45</v>
      </c>
      <c r="S510" t="s">
        <v>63</v>
      </c>
      <c r="T510" t="s">
        <v>55</v>
      </c>
      <c r="U510" t="s">
        <v>56</v>
      </c>
      <c r="V510" t="s">
        <v>57</v>
      </c>
      <c r="W510">
        <v>10</v>
      </c>
      <c r="X510" t="s">
        <v>38</v>
      </c>
      <c r="Y510">
        <v>3</v>
      </c>
      <c r="Z510" t="s">
        <v>58</v>
      </c>
    </row>
    <row r="511" spans="1:26" x14ac:dyDescent="0.3">
      <c r="A511" t="s">
        <v>993</v>
      </c>
      <c r="B511" s="2">
        <v>46106</v>
      </c>
      <c r="C511" t="s">
        <v>623</v>
      </c>
      <c r="D511" t="s">
        <v>89</v>
      </c>
      <c r="E511" t="s">
        <v>29</v>
      </c>
      <c r="F511">
        <v>48</v>
      </c>
      <c r="G511" t="s">
        <v>30</v>
      </c>
      <c r="H511" t="s">
        <v>31</v>
      </c>
      <c r="I511" t="s">
        <v>30</v>
      </c>
      <c r="J511" t="s">
        <v>201</v>
      </c>
      <c r="K511">
        <v>4</v>
      </c>
      <c r="L511">
        <v>11370</v>
      </c>
      <c r="M511">
        <v>10</v>
      </c>
      <c r="N511">
        <v>4548</v>
      </c>
      <c r="O511">
        <v>7367.76</v>
      </c>
      <c r="P511">
        <v>129</v>
      </c>
      <c r="Q511">
        <v>48428.76</v>
      </c>
      <c r="R511" t="s">
        <v>83</v>
      </c>
      <c r="S511" t="s">
        <v>63</v>
      </c>
      <c r="T511" t="s">
        <v>46</v>
      </c>
      <c r="U511" t="s">
        <v>36</v>
      </c>
      <c r="V511" t="s">
        <v>37</v>
      </c>
      <c r="W511">
        <v>4</v>
      </c>
      <c r="X511" t="s">
        <v>47</v>
      </c>
      <c r="Y511">
        <v>4</v>
      </c>
      <c r="Z511" t="s">
        <v>39</v>
      </c>
    </row>
    <row r="512" spans="1:26" x14ac:dyDescent="0.3">
      <c r="A512" t="s">
        <v>994</v>
      </c>
      <c r="B512" s="2">
        <v>46025</v>
      </c>
      <c r="C512" t="s">
        <v>995</v>
      </c>
      <c r="D512" t="s">
        <v>42</v>
      </c>
      <c r="E512" t="s">
        <v>43</v>
      </c>
      <c r="F512">
        <v>51</v>
      </c>
      <c r="G512" t="s">
        <v>99</v>
      </c>
      <c r="H512" t="s">
        <v>52</v>
      </c>
      <c r="I512" t="s">
        <v>99</v>
      </c>
      <c r="J512" t="s">
        <v>150</v>
      </c>
      <c r="K512">
        <v>1</v>
      </c>
      <c r="L512">
        <v>47284</v>
      </c>
      <c r="M512">
        <v>15</v>
      </c>
      <c r="N512">
        <v>7092.6</v>
      </c>
      <c r="O512">
        <v>7234.45</v>
      </c>
      <c r="P512">
        <v>432</v>
      </c>
      <c r="Q512">
        <v>47857.85</v>
      </c>
      <c r="R512" t="s">
        <v>33</v>
      </c>
      <c r="S512" t="s">
        <v>34</v>
      </c>
      <c r="T512" t="s">
        <v>76</v>
      </c>
      <c r="U512" t="s">
        <v>77</v>
      </c>
      <c r="V512" t="s">
        <v>57</v>
      </c>
      <c r="W512">
        <v>9</v>
      </c>
      <c r="X512" t="s">
        <v>38</v>
      </c>
      <c r="Y512">
        <v>4</v>
      </c>
      <c r="Z512" t="s">
        <v>91</v>
      </c>
    </row>
    <row r="513" spans="1:26" x14ac:dyDescent="0.3">
      <c r="A513" t="s">
        <v>996</v>
      </c>
      <c r="B513" s="2">
        <v>45941</v>
      </c>
      <c r="C513" t="s">
        <v>997</v>
      </c>
      <c r="D513" t="s">
        <v>111</v>
      </c>
      <c r="E513" t="s">
        <v>29</v>
      </c>
      <c r="F513">
        <v>49</v>
      </c>
      <c r="G513" t="s">
        <v>94</v>
      </c>
      <c r="H513" t="s">
        <v>31</v>
      </c>
      <c r="I513" t="s">
        <v>94</v>
      </c>
      <c r="J513" t="s">
        <v>62</v>
      </c>
      <c r="K513">
        <v>5</v>
      </c>
      <c r="L513">
        <v>15893</v>
      </c>
      <c r="M513">
        <v>15</v>
      </c>
      <c r="N513">
        <v>11919.75</v>
      </c>
      <c r="O513">
        <v>12158.15</v>
      </c>
      <c r="P513">
        <v>282</v>
      </c>
      <c r="Q513">
        <v>79985.399999999994</v>
      </c>
      <c r="R513" t="s">
        <v>33</v>
      </c>
      <c r="S513" t="s">
        <v>34</v>
      </c>
      <c r="T513" t="s">
        <v>84</v>
      </c>
      <c r="U513" t="s">
        <v>85</v>
      </c>
      <c r="V513" t="s">
        <v>86</v>
      </c>
      <c r="W513">
        <v>9</v>
      </c>
      <c r="X513" t="s">
        <v>47</v>
      </c>
      <c r="Y513">
        <v>4</v>
      </c>
      <c r="Z513" t="s">
        <v>91</v>
      </c>
    </row>
    <row r="514" spans="1:26" x14ac:dyDescent="0.3">
      <c r="A514" t="s">
        <v>998</v>
      </c>
      <c r="B514" s="2">
        <v>45939</v>
      </c>
      <c r="C514" t="s">
        <v>999</v>
      </c>
      <c r="D514" t="s">
        <v>28</v>
      </c>
      <c r="E514" t="s">
        <v>43</v>
      </c>
      <c r="F514">
        <v>24</v>
      </c>
      <c r="G514" t="s">
        <v>74</v>
      </c>
      <c r="H514" t="s">
        <v>31</v>
      </c>
      <c r="I514" t="s">
        <v>74</v>
      </c>
      <c r="J514" t="s">
        <v>112</v>
      </c>
      <c r="K514">
        <v>5</v>
      </c>
      <c r="L514">
        <v>27748</v>
      </c>
      <c r="M514">
        <v>10</v>
      </c>
      <c r="N514">
        <v>13874</v>
      </c>
      <c r="O514">
        <v>22475.88</v>
      </c>
      <c r="P514">
        <v>237</v>
      </c>
      <c r="Q514">
        <v>147578.88</v>
      </c>
      <c r="R514" t="s">
        <v>33</v>
      </c>
      <c r="S514" t="s">
        <v>34</v>
      </c>
      <c r="T514" t="s">
        <v>76</v>
      </c>
      <c r="U514" t="s">
        <v>77</v>
      </c>
      <c r="V514" t="s">
        <v>57</v>
      </c>
      <c r="W514">
        <v>9</v>
      </c>
      <c r="X514" t="s">
        <v>47</v>
      </c>
      <c r="Y514">
        <v>2</v>
      </c>
      <c r="Z514" t="s">
        <v>91</v>
      </c>
    </row>
    <row r="515" spans="1:26" x14ac:dyDescent="0.3">
      <c r="A515" t="s">
        <v>1000</v>
      </c>
      <c r="B515" s="2">
        <v>46082</v>
      </c>
      <c r="C515" t="s">
        <v>1001</v>
      </c>
      <c r="D515" t="s">
        <v>89</v>
      </c>
      <c r="E515" t="s">
        <v>43</v>
      </c>
      <c r="F515">
        <v>30</v>
      </c>
      <c r="G515" t="s">
        <v>67</v>
      </c>
      <c r="H515" t="s">
        <v>68</v>
      </c>
      <c r="I515" t="s">
        <v>67</v>
      </c>
      <c r="J515" t="s">
        <v>112</v>
      </c>
      <c r="K515">
        <v>1</v>
      </c>
      <c r="L515">
        <v>48180</v>
      </c>
      <c r="M515">
        <v>0</v>
      </c>
      <c r="N515">
        <v>0</v>
      </c>
      <c r="O515">
        <v>8672.4</v>
      </c>
      <c r="P515">
        <v>48</v>
      </c>
      <c r="Q515">
        <v>56900.4</v>
      </c>
      <c r="R515" t="s">
        <v>33</v>
      </c>
      <c r="S515" t="s">
        <v>63</v>
      </c>
      <c r="T515" t="s">
        <v>46</v>
      </c>
      <c r="U515" t="s">
        <v>36</v>
      </c>
      <c r="V515" t="s">
        <v>37</v>
      </c>
      <c r="W515">
        <v>7</v>
      </c>
      <c r="X515" t="s">
        <v>38</v>
      </c>
      <c r="Y515">
        <v>3</v>
      </c>
      <c r="Z515" t="s">
        <v>39</v>
      </c>
    </row>
    <row r="516" spans="1:26" x14ac:dyDescent="0.3">
      <c r="A516" t="s">
        <v>1002</v>
      </c>
      <c r="B516" s="2">
        <v>46016</v>
      </c>
      <c r="C516" t="s">
        <v>1003</v>
      </c>
      <c r="D516" t="s">
        <v>73</v>
      </c>
      <c r="E516" t="s">
        <v>29</v>
      </c>
      <c r="F516">
        <v>49</v>
      </c>
      <c r="G516" t="s">
        <v>99</v>
      </c>
      <c r="H516" t="s">
        <v>52</v>
      </c>
      <c r="I516" t="s">
        <v>99</v>
      </c>
      <c r="J516" t="s">
        <v>201</v>
      </c>
      <c r="K516">
        <v>3</v>
      </c>
      <c r="L516">
        <v>13292</v>
      </c>
      <c r="M516">
        <v>15</v>
      </c>
      <c r="N516">
        <v>5981.4</v>
      </c>
      <c r="O516">
        <v>6101.03</v>
      </c>
      <c r="P516">
        <v>233</v>
      </c>
      <c r="Q516">
        <v>40228.629999999997</v>
      </c>
      <c r="R516" t="s">
        <v>83</v>
      </c>
      <c r="S516" t="s">
        <v>34</v>
      </c>
      <c r="T516" t="s">
        <v>70</v>
      </c>
      <c r="U516" t="s">
        <v>56</v>
      </c>
      <c r="V516" t="s">
        <v>57</v>
      </c>
      <c r="W516">
        <v>1</v>
      </c>
      <c r="X516" t="s">
        <v>38</v>
      </c>
      <c r="Y516">
        <v>4</v>
      </c>
      <c r="Z516" t="s">
        <v>58</v>
      </c>
    </row>
    <row r="517" spans="1:26" x14ac:dyDescent="0.3">
      <c r="A517" t="s">
        <v>1004</v>
      </c>
      <c r="B517" s="2">
        <v>46120</v>
      </c>
      <c r="C517" t="s">
        <v>1005</v>
      </c>
      <c r="D517" t="s">
        <v>66</v>
      </c>
      <c r="E517" t="s">
        <v>29</v>
      </c>
      <c r="F517">
        <v>19</v>
      </c>
      <c r="G517" t="s">
        <v>134</v>
      </c>
      <c r="H517" t="s">
        <v>31</v>
      </c>
      <c r="I517" t="s">
        <v>134</v>
      </c>
      <c r="J517" t="s">
        <v>201</v>
      </c>
      <c r="K517">
        <v>4</v>
      </c>
      <c r="L517">
        <v>48469</v>
      </c>
      <c r="M517">
        <v>20</v>
      </c>
      <c r="N517">
        <v>38775.199999999997</v>
      </c>
      <c r="O517">
        <v>27918.14</v>
      </c>
      <c r="P517">
        <v>368</v>
      </c>
      <c r="Q517">
        <v>183386.94</v>
      </c>
      <c r="R517" t="s">
        <v>45</v>
      </c>
      <c r="S517" t="s">
        <v>63</v>
      </c>
      <c r="T517" t="s">
        <v>35</v>
      </c>
      <c r="U517" t="s">
        <v>36</v>
      </c>
      <c r="V517" t="s">
        <v>37</v>
      </c>
      <c r="W517">
        <v>6</v>
      </c>
      <c r="X517" t="s">
        <v>38</v>
      </c>
      <c r="Y517">
        <v>2</v>
      </c>
      <c r="Z517" t="s">
        <v>91</v>
      </c>
    </row>
    <row r="518" spans="1:26" x14ac:dyDescent="0.3">
      <c r="A518" t="s">
        <v>1006</v>
      </c>
      <c r="B518" s="2">
        <v>45990</v>
      </c>
      <c r="C518" t="s">
        <v>1007</v>
      </c>
      <c r="D518" t="s">
        <v>111</v>
      </c>
      <c r="E518" t="s">
        <v>43</v>
      </c>
      <c r="F518">
        <v>53</v>
      </c>
      <c r="G518" t="s">
        <v>139</v>
      </c>
      <c r="H518" t="s">
        <v>31</v>
      </c>
      <c r="I518" t="s">
        <v>139</v>
      </c>
      <c r="J518" t="s">
        <v>75</v>
      </c>
      <c r="K518">
        <v>5</v>
      </c>
      <c r="L518">
        <v>31571</v>
      </c>
      <c r="M518">
        <v>5</v>
      </c>
      <c r="N518">
        <v>7892.75</v>
      </c>
      <c r="O518">
        <v>26993.200000000001</v>
      </c>
      <c r="P518">
        <v>388</v>
      </c>
      <c r="Q518">
        <v>177343.45</v>
      </c>
      <c r="R518" t="s">
        <v>54</v>
      </c>
      <c r="S518" t="s">
        <v>63</v>
      </c>
      <c r="T518" t="s">
        <v>103</v>
      </c>
      <c r="U518" t="s">
        <v>103</v>
      </c>
      <c r="V518" t="s">
        <v>57</v>
      </c>
      <c r="W518">
        <v>2</v>
      </c>
      <c r="X518" t="s">
        <v>38</v>
      </c>
      <c r="Y518">
        <v>2</v>
      </c>
      <c r="Z518" t="s">
        <v>47</v>
      </c>
    </row>
    <row r="519" spans="1:26" x14ac:dyDescent="0.3">
      <c r="A519" t="s">
        <v>1008</v>
      </c>
      <c r="B519" s="2">
        <v>46044</v>
      </c>
      <c r="C519" t="s">
        <v>1009</v>
      </c>
      <c r="D519" t="s">
        <v>111</v>
      </c>
      <c r="E519" t="s">
        <v>43</v>
      </c>
      <c r="F519">
        <v>23</v>
      </c>
      <c r="G519" t="s">
        <v>51</v>
      </c>
      <c r="H519" t="s">
        <v>52</v>
      </c>
      <c r="I519" t="s">
        <v>51</v>
      </c>
      <c r="J519" t="s">
        <v>62</v>
      </c>
      <c r="K519">
        <v>3</v>
      </c>
      <c r="L519">
        <v>48754</v>
      </c>
      <c r="M519">
        <v>10</v>
      </c>
      <c r="N519">
        <v>14626.2</v>
      </c>
      <c r="O519">
        <v>23694.44</v>
      </c>
      <c r="P519">
        <v>56</v>
      </c>
      <c r="Q519">
        <v>155386.23999999999</v>
      </c>
      <c r="R519" t="s">
        <v>83</v>
      </c>
      <c r="S519" t="s">
        <v>63</v>
      </c>
      <c r="T519" t="s">
        <v>103</v>
      </c>
      <c r="U519" t="s">
        <v>103</v>
      </c>
      <c r="V519" t="s">
        <v>57</v>
      </c>
      <c r="W519">
        <v>4</v>
      </c>
      <c r="X519" t="s">
        <v>47</v>
      </c>
      <c r="Y519">
        <v>2</v>
      </c>
      <c r="Z519" t="s">
        <v>39</v>
      </c>
    </row>
    <row r="520" spans="1:26" x14ac:dyDescent="0.3">
      <c r="A520" t="s">
        <v>1010</v>
      </c>
      <c r="B520" s="2">
        <v>45761</v>
      </c>
      <c r="C520" t="s">
        <v>515</v>
      </c>
      <c r="D520" t="s">
        <v>50</v>
      </c>
      <c r="E520" t="s">
        <v>43</v>
      </c>
      <c r="F520">
        <v>59</v>
      </c>
      <c r="G520" t="s">
        <v>99</v>
      </c>
      <c r="H520" t="s">
        <v>52</v>
      </c>
      <c r="I520" t="s">
        <v>99</v>
      </c>
      <c r="J520" t="s">
        <v>125</v>
      </c>
      <c r="K520">
        <v>5</v>
      </c>
      <c r="L520">
        <v>49241</v>
      </c>
      <c r="M520">
        <v>20</v>
      </c>
      <c r="N520">
        <v>49241</v>
      </c>
      <c r="O520">
        <v>35453.519999999997</v>
      </c>
      <c r="P520">
        <v>323</v>
      </c>
      <c r="Q520">
        <v>232740.52</v>
      </c>
      <c r="R520" t="s">
        <v>45</v>
      </c>
      <c r="S520" t="s">
        <v>63</v>
      </c>
      <c r="T520" t="s">
        <v>35</v>
      </c>
      <c r="U520" t="s">
        <v>36</v>
      </c>
      <c r="V520" t="s">
        <v>37</v>
      </c>
      <c r="W520">
        <v>9</v>
      </c>
      <c r="X520" t="s">
        <v>47</v>
      </c>
      <c r="Y520">
        <v>3</v>
      </c>
      <c r="Z520" t="s">
        <v>58</v>
      </c>
    </row>
    <row r="521" spans="1:26" x14ac:dyDescent="0.3">
      <c r="A521" t="s">
        <v>1011</v>
      </c>
      <c r="B521" s="2">
        <v>45802</v>
      </c>
      <c r="C521" t="s">
        <v>359</v>
      </c>
      <c r="D521" t="s">
        <v>80</v>
      </c>
      <c r="E521" t="s">
        <v>43</v>
      </c>
      <c r="F521">
        <v>52</v>
      </c>
      <c r="G521" t="s">
        <v>134</v>
      </c>
      <c r="H521" t="s">
        <v>31</v>
      </c>
      <c r="I521" t="s">
        <v>134</v>
      </c>
      <c r="J521" t="s">
        <v>75</v>
      </c>
      <c r="K521">
        <v>2</v>
      </c>
      <c r="L521">
        <v>17576</v>
      </c>
      <c r="M521">
        <v>10</v>
      </c>
      <c r="N521">
        <v>3515.2</v>
      </c>
      <c r="O521">
        <v>5694.62</v>
      </c>
      <c r="P521">
        <v>234</v>
      </c>
      <c r="Q521">
        <v>37565.42</v>
      </c>
      <c r="R521" t="s">
        <v>54</v>
      </c>
      <c r="S521" t="s">
        <v>34</v>
      </c>
      <c r="T521" t="s">
        <v>55</v>
      </c>
      <c r="U521" t="s">
        <v>56</v>
      </c>
      <c r="V521" t="s">
        <v>57</v>
      </c>
      <c r="W521">
        <v>8</v>
      </c>
      <c r="X521" t="s">
        <v>47</v>
      </c>
      <c r="Y521">
        <v>4</v>
      </c>
      <c r="Z521" t="s">
        <v>91</v>
      </c>
    </row>
    <row r="522" spans="1:26" x14ac:dyDescent="0.3">
      <c r="A522" t="s">
        <v>1012</v>
      </c>
      <c r="B522" s="2">
        <v>46034</v>
      </c>
      <c r="C522" t="s">
        <v>459</v>
      </c>
      <c r="D522" t="s">
        <v>73</v>
      </c>
      <c r="E522" t="s">
        <v>43</v>
      </c>
      <c r="F522">
        <v>48</v>
      </c>
      <c r="G522" t="s">
        <v>99</v>
      </c>
      <c r="H522" t="s">
        <v>52</v>
      </c>
      <c r="I522" t="s">
        <v>99</v>
      </c>
      <c r="J522" t="s">
        <v>201</v>
      </c>
      <c r="K522">
        <v>4</v>
      </c>
      <c r="L522">
        <v>14213</v>
      </c>
      <c r="M522">
        <v>5</v>
      </c>
      <c r="N522">
        <v>2842.6</v>
      </c>
      <c r="O522">
        <v>9721.69</v>
      </c>
      <c r="P522">
        <v>74</v>
      </c>
      <c r="Q522">
        <v>63805.09</v>
      </c>
      <c r="R522" t="s">
        <v>45</v>
      </c>
      <c r="S522" t="s">
        <v>34</v>
      </c>
      <c r="T522" t="s">
        <v>35</v>
      </c>
      <c r="U522" t="s">
        <v>36</v>
      </c>
      <c r="V522" t="s">
        <v>37</v>
      </c>
      <c r="W522">
        <v>8</v>
      </c>
      <c r="X522" t="s">
        <v>47</v>
      </c>
      <c r="Y522">
        <v>5</v>
      </c>
      <c r="Z522" t="s">
        <v>91</v>
      </c>
    </row>
    <row r="523" spans="1:26" x14ac:dyDescent="0.3">
      <c r="A523" t="s">
        <v>1013</v>
      </c>
      <c r="B523" s="2">
        <v>45953</v>
      </c>
      <c r="C523" t="s">
        <v>764</v>
      </c>
      <c r="D523" t="s">
        <v>111</v>
      </c>
      <c r="E523" t="s">
        <v>43</v>
      </c>
      <c r="F523">
        <v>35</v>
      </c>
      <c r="G523" t="s">
        <v>67</v>
      </c>
      <c r="H523" t="s">
        <v>68</v>
      </c>
      <c r="I523" t="s">
        <v>67</v>
      </c>
      <c r="J523" t="s">
        <v>201</v>
      </c>
      <c r="K523">
        <v>1</v>
      </c>
      <c r="L523">
        <v>43439</v>
      </c>
      <c r="M523">
        <v>0</v>
      </c>
      <c r="N523">
        <v>0</v>
      </c>
      <c r="O523">
        <v>7819.02</v>
      </c>
      <c r="P523">
        <v>403</v>
      </c>
      <c r="Q523">
        <v>51661.02</v>
      </c>
      <c r="R523" t="s">
        <v>45</v>
      </c>
      <c r="S523" t="s">
        <v>63</v>
      </c>
      <c r="T523" t="s">
        <v>35</v>
      </c>
      <c r="U523" t="s">
        <v>36</v>
      </c>
      <c r="V523" t="s">
        <v>37</v>
      </c>
      <c r="W523">
        <v>3</v>
      </c>
      <c r="X523" t="s">
        <v>38</v>
      </c>
      <c r="Y523">
        <v>1</v>
      </c>
      <c r="Z523" t="s">
        <v>58</v>
      </c>
    </row>
    <row r="524" spans="1:26" x14ac:dyDescent="0.3">
      <c r="A524" t="s">
        <v>1014</v>
      </c>
      <c r="B524" s="2">
        <v>45966</v>
      </c>
      <c r="C524" t="s">
        <v>1015</v>
      </c>
      <c r="D524" t="s">
        <v>73</v>
      </c>
      <c r="E524" t="s">
        <v>43</v>
      </c>
      <c r="F524">
        <v>42</v>
      </c>
      <c r="G524" t="s">
        <v>51</v>
      </c>
      <c r="H524" t="s">
        <v>52</v>
      </c>
      <c r="I524" t="s">
        <v>51</v>
      </c>
      <c r="J524" t="s">
        <v>112</v>
      </c>
      <c r="K524">
        <v>1</v>
      </c>
      <c r="L524">
        <v>35941</v>
      </c>
      <c r="M524">
        <v>5</v>
      </c>
      <c r="N524">
        <v>1797.05</v>
      </c>
      <c r="O524">
        <v>6145.91</v>
      </c>
      <c r="P524">
        <v>20</v>
      </c>
      <c r="Q524">
        <v>40309.86</v>
      </c>
      <c r="R524" t="s">
        <v>45</v>
      </c>
      <c r="S524" t="s">
        <v>63</v>
      </c>
      <c r="T524" t="s">
        <v>46</v>
      </c>
      <c r="U524" t="s">
        <v>36</v>
      </c>
      <c r="V524" t="s">
        <v>37</v>
      </c>
      <c r="W524">
        <v>2</v>
      </c>
      <c r="X524" t="s">
        <v>38</v>
      </c>
      <c r="Y524">
        <v>2</v>
      </c>
      <c r="Z524" t="s">
        <v>58</v>
      </c>
    </row>
    <row r="525" spans="1:26" x14ac:dyDescent="0.3">
      <c r="A525" t="s">
        <v>1016</v>
      </c>
      <c r="B525" s="2">
        <v>45937</v>
      </c>
      <c r="C525" t="s">
        <v>1017</v>
      </c>
      <c r="D525" t="s">
        <v>28</v>
      </c>
      <c r="E525" t="s">
        <v>43</v>
      </c>
      <c r="F525">
        <v>56</v>
      </c>
      <c r="G525" t="s">
        <v>30</v>
      </c>
      <c r="H525" t="s">
        <v>31</v>
      </c>
      <c r="I525" t="s">
        <v>30</v>
      </c>
      <c r="J525" t="s">
        <v>53</v>
      </c>
      <c r="K525">
        <v>2</v>
      </c>
      <c r="L525">
        <v>6043</v>
      </c>
      <c r="M525">
        <v>15</v>
      </c>
      <c r="N525">
        <v>1812.9</v>
      </c>
      <c r="O525">
        <v>1849.16</v>
      </c>
      <c r="P525">
        <v>480</v>
      </c>
      <c r="Q525">
        <v>12602.26</v>
      </c>
      <c r="R525" t="s">
        <v>33</v>
      </c>
      <c r="S525" t="s">
        <v>34</v>
      </c>
      <c r="T525" t="s">
        <v>76</v>
      </c>
      <c r="U525" t="s">
        <v>77</v>
      </c>
      <c r="V525" t="s">
        <v>57</v>
      </c>
      <c r="W525">
        <v>7</v>
      </c>
      <c r="X525" t="s">
        <v>47</v>
      </c>
      <c r="Y525">
        <v>5</v>
      </c>
      <c r="Z525" t="s">
        <v>47</v>
      </c>
    </row>
    <row r="526" spans="1:26" x14ac:dyDescent="0.3">
      <c r="A526" t="s">
        <v>1018</v>
      </c>
      <c r="B526" s="2">
        <v>46011</v>
      </c>
      <c r="C526" t="s">
        <v>338</v>
      </c>
      <c r="D526" t="s">
        <v>61</v>
      </c>
      <c r="E526" t="s">
        <v>43</v>
      </c>
      <c r="F526">
        <v>58</v>
      </c>
      <c r="G526" t="s">
        <v>90</v>
      </c>
      <c r="H526" t="s">
        <v>31</v>
      </c>
      <c r="I526" t="s">
        <v>90</v>
      </c>
      <c r="J526" t="s">
        <v>102</v>
      </c>
      <c r="K526">
        <v>3</v>
      </c>
      <c r="L526">
        <v>26460</v>
      </c>
      <c r="M526">
        <v>5</v>
      </c>
      <c r="N526">
        <v>3969</v>
      </c>
      <c r="O526">
        <v>13573.98</v>
      </c>
      <c r="P526">
        <v>340</v>
      </c>
      <c r="Q526">
        <v>89324.98</v>
      </c>
      <c r="R526" t="s">
        <v>54</v>
      </c>
      <c r="S526" t="s">
        <v>63</v>
      </c>
      <c r="T526" t="s">
        <v>55</v>
      </c>
      <c r="U526" t="s">
        <v>56</v>
      </c>
      <c r="V526" t="s">
        <v>57</v>
      </c>
      <c r="W526">
        <v>2</v>
      </c>
      <c r="X526" t="s">
        <v>38</v>
      </c>
      <c r="Y526">
        <v>4</v>
      </c>
      <c r="Z526" t="s">
        <v>91</v>
      </c>
    </row>
    <row r="527" spans="1:26" x14ac:dyDescent="0.3">
      <c r="A527" t="s">
        <v>1019</v>
      </c>
      <c r="B527" s="2">
        <v>45927</v>
      </c>
      <c r="C527" t="s">
        <v>1020</v>
      </c>
      <c r="D527" t="s">
        <v>28</v>
      </c>
      <c r="E527" t="s">
        <v>29</v>
      </c>
      <c r="F527">
        <v>51</v>
      </c>
      <c r="G527" t="s">
        <v>30</v>
      </c>
      <c r="H527" t="s">
        <v>31</v>
      </c>
      <c r="I527" t="s">
        <v>30</v>
      </c>
      <c r="J527" t="s">
        <v>150</v>
      </c>
      <c r="K527">
        <v>5</v>
      </c>
      <c r="L527">
        <v>37592</v>
      </c>
      <c r="M527">
        <v>10</v>
      </c>
      <c r="N527">
        <v>18796</v>
      </c>
      <c r="O527">
        <v>30449.52</v>
      </c>
      <c r="P527">
        <v>380</v>
      </c>
      <c r="Q527">
        <v>199993.52</v>
      </c>
      <c r="R527" t="s">
        <v>54</v>
      </c>
      <c r="S527" t="s">
        <v>63</v>
      </c>
      <c r="T527" t="s">
        <v>76</v>
      </c>
      <c r="U527" t="s">
        <v>77</v>
      </c>
      <c r="V527" t="s">
        <v>57</v>
      </c>
      <c r="W527">
        <v>4</v>
      </c>
      <c r="X527" t="s">
        <v>47</v>
      </c>
      <c r="Y527">
        <v>1</v>
      </c>
      <c r="Z527" t="s">
        <v>91</v>
      </c>
    </row>
    <row r="528" spans="1:26" x14ac:dyDescent="0.3">
      <c r="A528" t="s">
        <v>1021</v>
      </c>
      <c r="B528" s="2">
        <v>45925</v>
      </c>
      <c r="C528" t="s">
        <v>1022</v>
      </c>
      <c r="D528" t="s">
        <v>89</v>
      </c>
      <c r="E528" t="s">
        <v>29</v>
      </c>
      <c r="F528">
        <v>57</v>
      </c>
      <c r="G528" t="s">
        <v>74</v>
      </c>
      <c r="H528" t="s">
        <v>31</v>
      </c>
      <c r="I528" t="s">
        <v>74</v>
      </c>
      <c r="J528" t="s">
        <v>32</v>
      </c>
      <c r="K528">
        <v>1</v>
      </c>
      <c r="L528">
        <v>21149</v>
      </c>
      <c r="M528">
        <v>20</v>
      </c>
      <c r="N528">
        <v>4229.8</v>
      </c>
      <c r="O528">
        <v>3045.46</v>
      </c>
      <c r="P528">
        <v>298</v>
      </c>
      <c r="Q528">
        <v>20262.66</v>
      </c>
      <c r="R528" t="s">
        <v>83</v>
      </c>
      <c r="S528" t="s">
        <v>63</v>
      </c>
      <c r="T528" t="s">
        <v>55</v>
      </c>
      <c r="U528" t="s">
        <v>56</v>
      </c>
      <c r="V528" t="s">
        <v>57</v>
      </c>
      <c r="W528">
        <v>1</v>
      </c>
      <c r="X528" t="s">
        <v>47</v>
      </c>
      <c r="Y528">
        <v>5</v>
      </c>
      <c r="Z528" t="s">
        <v>39</v>
      </c>
    </row>
    <row r="529" spans="1:26" x14ac:dyDescent="0.3">
      <c r="A529" t="s">
        <v>1023</v>
      </c>
      <c r="B529" s="2">
        <v>46116</v>
      </c>
      <c r="C529" t="s">
        <v>980</v>
      </c>
      <c r="D529" t="s">
        <v>42</v>
      </c>
      <c r="E529" t="s">
        <v>29</v>
      </c>
      <c r="F529">
        <v>29</v>
      </c>
      <c r="G529" t="s">
        <v>139</v>
      </c>
      <c r="H529" t="s">
        <v>31</v>
      </c>
      <c r="I529" t="s">
        <v>139</v>
      </c>
      <c r="J529" t="s">
        <v>125</v>
      </c>
      <c r="K529">
        <v>2</v>
      </c>
      <c r="L529">
        <v>7542</v>
      </c>
      <c r="M529">
        <v>0</v>
      </c>
      <c r="N529">
        <v>0</v>
      </c>
      <c r="O529">
        <v>2715.12</v>
      </c>
      <c r="P529">
        <v>336</v>
      </c>
      <c r="Q529">
        <v>18135.12</v>
      </c>
      <c r="R529" t="s">
        <v>83</v>
      </c>
      <c r="S529" t="s">
        <v>34</v>
      </c>
      <c r="T529" t="s">
        <v>55</v>
      </c>
      <c r="U529" t="s">
        <v>56</v>
      </c>
      <c r="V529" t="s">
        <v>57</v>
      </c>
      <c r="W529">
        <v>4</v>
      </c>
      <c r="X529" t="s">
        <v>38</v>
      </c>
      <c r="Y529">
        <v>2</v>
      </c>
      <c r="Z529" t="s">
        <v>39</v>
      </c>
    </row>
    <row r="530" spans="1:26" x14ac:dyDescent="0.3">
      <c r="A530" t="s">
        <v>1024</v>
      </c>
      <c r="B530" s="2">
        <v>45796</v>
      </c>
      <c r="C530" t="s">
        <v>909</v>
      </c>
      <c r="D530" t="s">
        <v>42</v>
      </c>
      <c r="E530" t="s">
        <v>43</v>
      </c>
      <c r="F530">
        <v>44</v>
      </c>
      <c r="G530" t="s">
        <v>74</v>
      </c>
      <c r="H530" t="s">
        <v>31</v>
      </c>
      <c r="I530" t="s">
        <v>74</v>
      </c>
      <c r="J530" t="s">
        <v>112</v>
      </c>
      <c r="K530">
        <v>1</v>
      </c>
      <c r="L530">
        <v>13196</v>
      </c>
      <c r="M530">
        <v>15</v>
      </c>
      <c r="N530">
        <v>1979.4</v>
      </c>
      <c r="O530">
        <v>2018.99</v>
      </c>
      <c r="P530">
        <v>439</v>
      </c>
      <c r="Q530">
        <v>13674.59</v>
      </c>
      <c r="R530" t="s">
        <v>45</v>
      </c>
      <c r="S530" t="s">
        <v>63</v>
      </c>
      <c r="T530" t="s">
        <v>55</v>
      </c>
      <c r="U530" t="s">
        <v>56</v>
      </c>
      <c r="V530" t="s">
        <v>57</v>
      </c>
      <c r="W530">
        <v>8</v>
      </c>
      <c r="X530" t="s">
        <v>47</v>
      </c>
      <c r="Y530">
        <v>2</v>
      </c>
      <c r="Z530" t="s">
        <v>39</v>
      </c>
    </row>
    <row r="531" spans="1:26" x14ac:dyDescent="0.3">
      <c r="A531" t="s">
        <v>1025</v>
      </c>
      <c r="B531" s="2">
        <v>45843</v>
      </c>
      <c r="C531" t="s">
        <v>1026</v>
      </c>
      <c r="D531" t="s">
        <v>108</v>
      </c>
      <c r="E531" t="s">
        <v>29</v>
      </c>
      <c r="F531">
        <v>18</v>
      </c>
      <c r="G531" t="s">
        <v>74</v>
      </c>
      <c r="H531" t="s">
        <v>31</v>
      </c>
      <c r="I531" t="s">
        <v>74</v>
      </c>
      <c r="J531" t="s">
        <v>32</v>
      </c>
      <c r="K531">
        <v>4</v>
      </c>
      <c r="L531">
        <v>14222</v>
      </c>
      <c r="M531">
        <v>0</v>
      </c>
      <c r="N531">
        <v>0</v>
      </c>
      <c r="O531">
        <v>10239.84</v>
      </c>
      <c r="P531">
        <v>498</v>
      </c>
      <c r="Q531">
        <v>67625.84</v>
      </c>
      <c r="R531" t="s">
        <v>83</v>
      </c>
      <c r="S531" t="s">
        <v>34</v>
      </c>
      <c r="T531" t="s">
        <v>95</v>
      </c>
      <c r="U531" t="s">
        <v>96</v>
      </c>
      <c r="V531" t="s">
        <v>57</v>
      </c>
      <c r="W531">
        <v>8</v>
      </c>
      <c r="X531" t="s">
        <v>47</v>
      </c>
      <c r="Y531">
        <v>4</v>
      </c>
      <c r="Z531" t="s">
        <v>58</v>
      </c>
    </row>
    <row r="532" spans="1:26" x14ac:dyDescent="0.3">
      <c r="A532" t="s">
        <v>1027</v>
      </c>
      <c r="B532" s="2">
        <v>45799</v>
      </c>
      <c r="C532" t="s">
        <v>1028</v>
      </c>
      <c r="D532" t="s">
        <v>66</v>
      </c>
      <c r="E532" t="s">
        <v>43</v>
      </c>
      <c r="F532">
        <v>33</v>
      </c>
      <c r="G532" t="s">
        <v>44</v>
      </c>
      <c r="H532" t="s">
        <v>31</v>
      </c>
      <c r="I532" t="s">
        <v>44</v>
      </c>
      <c r="J532" t="s">
        <v>125</v>
      </c>
      <c r="K532">
        <v>4</v>
      </c>
      <c r="L532">
        <v>19887</v>
      </c>
      <c r="M532">
        <v>10</v>
      </c>
      <c r="N532">
        <v>7954.8</v>
      </c>
      <c r="O532">
        <v>12886.78</v>
      </c>
      <c r="P532">
        <v>318</v>
      </c>
      <c r="Q532">
        <v>84797.98</v>
      </c>
      <c r="R532" t="s">
        <v>33</v>
      </c>
      <c r="S532" t="s">
        <v>63</v>
      </c>
      <c r="T532" t="s">
        <v>35</v>
      </c>
      <c r="U532" t="s">
        <v>36</v>
      </c>
      <c r="V532" t="s">
        <v>37</v>
      </c>
      <c r="W532">
        <v>2</v>
      </c>
      <c r="X532" t="s">
        <v>47</v>
      </c>
      <c r="Y532">
        <v>4</v>
      </c>
      <c r="Z532" t="s">
        <v>91</v>
      </c>
    </row>
    <row r="533" spans="1:26" x14ac:dyDescent="0.3">
      <c r="A533" t="s">
        <v>1029</v>
      </c>
      <c r="B533" s="2">
        <v>45808</v>
      </c>
      <c r="C533" t="s">
        <v>643</v>
      </c>
      <c r="D533" t="s">
        <v>50</v>
      </c>
      <c r="E533" t="s">
        <v>29</v>
      </c>
      <c r="F533">
        <v>51</v>
      </c>
      <c r="G533" t="s">
        <v>139</v>
      </c>
      <c r="H533" t="s">
        <v>31</v>
      </c>
      <c r="I533" t="s">
        <v>139</v>
      </c>
      <c r="J533" t="s">
        <v>32</v>
      </c>
      <c r="K533">
        <v>2</v>
      </c>
      <c r="L533">
        <v>7873</v>
      </c>
      <c r="M533">
        <v>5</v>
      </c>
      <c r="N533">
        <v>787.3</v>
      </c>
      <c r="O533">
        <v>2692.57</v>
      </c>
      <c r="P533">
        <v>155</v>
      </c>
      <c r="Q533">
        <v>17806.27</v>
      </c>
      <c r="R533" t="s">
        <v>33</v>
      </c>
      <c r="S533" t="s">
        <v>34</v>
      </c>
      <c r="T533" t="s">
        <v>95</v>
      </c>
      <c r="U533" t="s">
        <v>96</v>
      </c>
      <c r="V533" t="s">
        <v>57</v>
      </c>
      <c r="W533">
        <v>7</v>
      </c>
      <c r="X533" t="s">
        <v>47</v>
      </c>
      <c r="Y533">
        <v>5</v>
      </c>
      <c r="Z533" t="s">
        <v>91</v>
      </c>
    </row>
    <row r="534" spans="1:26" x14ac:dyDescent="0.3">
      <c r="A534" t="s">
        <v>1030</v>
      </c>
      <c r="B534" s="2">
        <v>45832</v>
      </c>
      <c r="C534" t="s">
        <v>338</v>
      </c>
      <c r="D534" t="s">
        <v>28</v>
      </c>
      <c r="E534" t="s">
        <v>29</v>
      </c>
      <c r="F534">
        <v>46</v>
      </c>
      <c r="G534" t="s">
        <v>44</v>
      </c>
      <c r="H534" t="s">
        <v>31</v>
      </c>
      <c r="I534" t="s">
        <v>44</v>
      </c>
      <c r="J534" t="s">
        <v>32</v>
      </c>
      <c r="K534">
        <v>1</v>
      </c>
      <c r="L534">
        <v>42929</v>
      </c>
      <c r="M534">
        <v>20</v>
      </c>
      <c r="N534">
        <v>8585.7999999999993</v>
      </c>
      <c r="O534">
        <v>6181.78</v>
      </c>
      <c r="P534">
        <v>228</v>
      </c>
      <c r="Q534">
        <v>40752.980000000003</v>
      </c>
      <c r="R534" t="s">
        <v>83</v>
      </c>
      <c r="S534" t="s">
        <v>34</v>
      </c>
      <c r="T534" t="s">
        <v>103</v>
      </c>
      <c r="U534" t="s">
        <v>103</v>
      </c>
      <c r="V534" t="s">
        <v>57</v>
      </c>
      <c r="W534">
        <v>10</v>
      </c>
      <c r="X534" t="s">
        <v>38</v>
      </c>
      <c r="Y534">
        <v>3</v>
      </c>
      <c r="Z534" t="s">
        <v>91</v>
      </c>
    </row>
    <row r="535" spans="1:26" x14ac:dyDescent="0.3">
      <c r="A535" t="s">
        <v>1031</v>
      </c>
      <c r="B535" s="2">
        <v>45874</v>
      </c>
      <c r="C535" t="s">
        <v>1032</v>
      </c>
      <c r="D535" t="s">
        <v>89</v>
      </c>
      <c r="E535" t="s">
        <v>29</v>
      </c>
      <c r="F535">
        <v>43</v>
      </c>
      <c r="G535" t="s">
        <v>90</v>
      </c>
      <c r="H535" t="s">
        <v>31</v>
      </c>
      <c r="I535" t="s">
        <v>90</v>
      </c>
      <c r="J535" t="s">
        <v>75</v>
      </c>
      <c r="K535">
        <v>1</v>
      </c>
      <c r="L535">
        <v>41961</v>
      </c>
      <c r="M535">
        <v>10</v>
      </c>
      <c r="N535">
        <v>4196.1000000000004</v>
      </c>
      <c r="O535">
        <v>6797.68</v>
      </c>
      <c r="P535">
        <v>63</v>
      </c>
      <c r="Q535">
        <v>44625.58</v>
      </c>
      <c r="R535" t="s">
        <v>54</v>
      </c>
      <c r="S535" t="s">
        <v>63</v>
      </c>
      <c r="T535" t="s">
        <v>76</v>
      </c>
      <c r="U535" t="s">
        <v>77</v>
      </c>
      <c r="V535" t="s">
        <v>57</v>
      </c>
      <c r="W535">
        <v>8</v>
      </c>
      <c r="X535" t="s">
        <v>47</v>
      </c>
      <c r="Y535">
        <v>5</v>
      </c>
      <c r="Z535" t="s">
        <v>91</v>
      </c>
    </row>
    <row r="536" spans="1:26" x14ac:dyDescent="0.3">
      <c r="A536" t="s">
        <v>1033</v>
      </c>
      <c r="B536" s="2">
        <v>45879</v>
      </c>
      <c r="C536" t="s">
        <v>1034</v>
      </c>
      <c r="D536" t="s">
        <v>80</v>
      </c>
      <c r="E536" t="s">
        <v>29</v>
      </c>
      <c r="F536">
        <v>60</v>
      </c>
      <c r="G536" t="s">
        <v>134</v>
      </c>
      <c r="H536" t="s">
        <v>31</v>
      </c>
      <c r="I536" t="s">
        <v>134</v>
      </c>
      <c r="J536" t="s">
        <v>112</v>
      </c>
      <c r="K536">
        <v>5</v>
      </c>
      <c r="L536">
        <v>6154</v>
      </c>
      <c r="M536">
        <v>15</v>
      </c>
      <c r="N536">
        <v>4615.5</v>
      </c>
      <c r="O536">
        <v>4707.8100000000004</v>
      </c>
      <c r="P536">
        <v>460</v>
      </c>
      <c r="Q536">
        <v>31322.31</v>
      </c>
      <c r="R536" t="s">
        <v>54</v>
      </c>
      <c r="S536" t="s">
        <v>63</v>
      </c>
      <c r="T536" t="s">
        <v>55</v>
      </c>
      <c r="U536" t="s">
        <v>56</v>
      </c>
      <c r="V536" t="s">
        <v>57</v>
      </c>
      <c r="W536">
        <v>10</v>
      </c>
      <c r="X536" t="s">
        <v>47</v>
      </c>
      <c r="Y536">
        <v>1</v>
      </c>
      <c r="Z536" t="s">
        <v>39</v>
      </c>
    </row>
    <row r="537" spans="1:26" x14ac:dyDescent="0.3">
      <c r="A537" t="s">
        <v>1035</v>
      </c>
      <c r="B537" s="2">
        <v>46074</v>
      </c>
      <c r="C537" t="s">
        <v>936</v>
      </c>
      <c r="D537" t="s">
        <v>80</v>
      </c>
      <c r="E537" t="s">
        <v>43</v>
      </c>
      <c r="F537">
        <v>44</v>
      </c>
      <c r="G537" t="s">
        <v>67</v>
      </c>
      <c r="H537" t="s">
        <v>68</v>
      </c>
      <c r="I537" t="s">
        <v>67</v>
      </c>
      <c r="J537" t="s">
        <v>150</v>
      </c>
      <c r="K537">
        <v>2</v>
      </c>
      <c r="L537">
        <v>43139</v>
      </c>
      <c r="M537">
        <v>20</v>
      </c>
      <c r="N537">
        <v>17255.599999999999</v>
      </c>
      <c r="O537">
        <v>12424.03</v>
      </c>
      <c r="P537">
        <v>165</v>
      </c>
      <c r="Q537">
        <v>81611.429999999993</v>
      </c>
      <c r="R537" t="s">
        <v>54</v>
      </c>
      <c r="S537" t="s">
        <v>34</v>
      </c>
      <c r="T537" t="s">
        <v>55</v>
      </c>
      <c r="U537" t="s">
        <v>56</v>
      </c>
      <c r="V537" t="s">
        <v>57</v>
      </c>
      <c r="W537">
        <v>1</v>
      </c>
      <c r="X537" t="s">
        <v>38</v>
      </c>
      <c r="Y537">
        <v>5</v>
      </c>
      <c r="Z537" t="s">
        <v>47</v>
      </c>
    </row>
    <row r="538" spans="1:26" x14ac:dyDescent="0.3">
      <c r="A538" t="s">
        <v>1036</v>
      </c>
      <c r="B538" s="2">
        <v>45867</v>
      </c>
      <c r="C538" t="s">
        <v>1037</v>
      </c>
      <c r="D538" t="s">
        <v>80</v>
      </c>
      <c r="E538" t="s">
        <v>43</v>
      </c>
      <c r="F538">
        <v>26</v>
      </c>
      <c r="G538" t="s">
        <v>51</v>
      </c>
      <c r="H538" t="s">
        <v>52</v>
      </c>
      <c r="I538" t="s">
        <v>51</v>
      </c>
      <c r="J538" t="s">
        <v>62</v>
      </c>
      <c r="K538">
        <v>4</v>
      </c>
      <c r="L538">
        <v>39551</v>
      </c>
      <c r="M538">
        <v>0</v>
      </c>
      <c r="N538">
        <v>0</v>
      </c>
      <c r="O538">
        <v>28476.720000000001</v>
      </c>
      <c r="P538">
        <v>416</v>
      </c>
      <c r="Q538">
        <v>187096.72</v>
      </c>
      <c r="R538" t="s">
        <v>33</v>
      </c>
      <c r="S538" t="s">
        <v>63</v>
      </c>
      <c r="T538" t="s">
        <v>84</v>
      </c>
      <c r="U538" t="s">
        <v>85</v>
      </c>
      <c r="V538" t="s">
        <v>86</v>
      </c>
      <c r="W538">
        <v>5</v>
      </c>
      <c r="X538" t="s">
        <v>47</v>
      </c>
      <c r="Y538">
        <v>4</v>
      </c>
      <c r="Z538" t="s">
        <v>47</v>
      </c>
    </row>
    <row r="539" spans="1:26" x14ac:dyDescent="0.3">
      <c r="A539" t="s">
        <v>1038</v>
      </c>
      <c r="B539" s="2">
        <v>46022</v>
      </c>
      <c r="C539" t="s">
        <v>1039</v>
      </c>
      <c r="D539" t="s">
        <v>89</v>
      </c>
      <c r="E539" t="s">
        <v>29</v>
      </c>
      <c r="F539">
        <v>27</v>
      </c>
      <c r="G539" t="s">
        <v>134</v>
      </c>
      <c r="H539" t="s">
        <v>31</v>
      </c>
      <c r="I539" t="s">
        <v>134</v>
      </c>
      <c r="J539" t="s">
        <v>32</v>
      </c>
      <c r="K539">
        <v>4</v>
      </c>
      <c r="L539">
        <v>48917</v>
      </c>
      <c r="M539">
        <v>0</v>
      </c>
      <c r="N539">
        <v>0</v>
      </c>
      <c r="O539">
        <v>35220.239999999998</v>
      </c>
      <c r="P539">
        <v>296</v>
      </c>
      <c r="Q539">
        <v>231184.24</v>
      </c>
      <c r="R539" t="s">
        <v>83</v>
      </c>
      <c r="S539" t="s">
        <v>63</v>
      </c>
      <c r="T539" t="s">
        <v>70</v>
      </c>
      <c r="U539" t="s">
        <v>56</v>
      </c>
      <c r="V539" t="s">
        <v>57</v>
      </c>
      <c r="W539">
        <v>6</v>
      </c>
      <c r="X539" t="s">
        <v>47</v>
      </c>
      <c r="Y539">
        <v>4</v>
      </c>
      <c r="Z539" t="s">
        <v>39</v>
      </c>
    </row>
    <row r="540" spans="1:26" x14ac:dyDescent="0.3">
      <c r="A540" t="s">
        <v>1040</v>
      </c>
      <c r="B540" s="2">
        <v>45952</v>
      </c>
      <c r="C540" t="s">
        <v>316</v>
      </c>
      <c r="D540" t="s">
        <v>28</v>
      </c>
      <c r="E540" t="s">
        <v>43</v>
      </c>
      <c r="F540">
        <v>47</v>
      </c>
      <c r="G540" t="s">
        <v>74</v>
      </c>
      <c r="H540" t="s">
        <v>31</v>
      </c>
      <c r="I540" t="s">
        <v>74</v>
      </c>
      <c r="J540" t="s">
        <v>150</v>
      </c>
      <c r="K540">
        <v>3</v>
      </c>
      <c r="L540">
        <v>40702</v>
      </c>
      <c r="M540">
        <v>20</v>
      </c>
      <c r="N540">
        <v>24421.200000000001</v>
      </c>
      <c r="O540">
        <v>17583.259999999998</v>
      </c>
      <c r="P540">
        <v>193</v>
      </c>
      <c r="Q540">
        <v>115461.06</v>
      </c>
      <c r="R540" t="s">
        <v>83</v>
      </c>
      <c r="S540" t="s">
        <v>63</v>
      </c>
      <c r="T540" t="s">
        <v>84</v>
      </c>
      <c r="U540" t="s">
        <v>85</v>
      </c>
      <c r="V540" t="s">
        <v>86</v>
      </c>
      <c r="W540">
        <v>5</v>
      </c>
      <c r="X540" t="s">
        <v>38</v>
      </c>
      <c r="Y540">
        <v>2</v>
      </c>
      <c r="Z540" t="s">
        <v>39</v>
      </c>
    </row>
    <row r="541" spans="1:26" x14ac:dyDescent="0.3">
      <c r="A541" t="s">
        <v>1041</v>
      </c>
      <c r="B541" s="2">
        <v>45908</v>
      </c>
      <c r="C541" t="s">
        <v>49</v>
      </c>
      <c r="D541" t="s">
        <v>80</v>
      </c>
      <c r="E541" t="s">
        <v>29</v>
      </c>
      <c r="F541">
        <v>58</v>
      </c>
      <c r="G541" t="s">
        <v>134</v>
      </c>
      <c r="H541" t="s">
        <v>31</v>
      </c>
      <c r="I541" t="s">
        <v>134</v>
      </c>
      <c r="J541" t="s">
        <v>150</v>
      </c>
      <c r="K541">
        <v>2</v>
      </c>
      <c r="L541">
        <v>4559</v>
      </c>
      <c r="M541">
        <v>0</v>
      </c>
      <c r="N541">
        <v>0</v>
      </c>
      <c r="O541">
        <v>1641.24</v>
      </c>
      <c r="P541">
        <v>387</v>
      </c>
      <c r="Q541">
        <v>11146.24</v>
      </c>
      <c r="R541" t="s">
        <v>33</v>
      </c>
      <c r="S541" t="s">
        <v>63</v>
      </c>
      <c r="T541" t="s">
        <v>70</v>
      </c>
      <c r="U541" t="s">
        <v>56</v>
      </c>
      <c r="V541" t="s">
        <v>57</v>
      </c>
      <c r="W541">
        <v>6</v>
      </c>
      <c r="X541" t="s">
        <v>47</v>
      </c>
      <c r="Y541">
        <v>1</v>
      </c>
      <c r="Z541" t="s">
        <v>47</v>
      </c>
    </row>
    <row r="542" spans="1:26" x14ac:dyDescent="0.3">
      <c r="A542" t="s">
        <v>1042</v>
      </c>
      <c r="B542" s="2">
        <v>46101</v>
      </c>
      <c r="C542" t="s">
        <v>1043</v>
      </c>
      <c r="D542" t="s">
        <v>28</v>
      </c>
      <c r="E542" t="s">
        <v>43</v>
      </c>
      <c r="F542">
        <v>34</v>
      </c>
      <c r="G542" t="s">
        <v>74</v>
      </c>
      <c r="H542" t="s">
        <v>31</v>
      </c>
      <c r="I542" t="s">
        <v>74</v>
      </c>
      <c r="J542" t="s">
        <v>32</v>
      </c>
      <c r="K542">
        <v>5</v>
      </c>
      <c r="L542">
        <v>2350</v>
      </c>
      <c r="M542">
        <v>10</v>
      </c>
      <c r="N542">
        <v>1175</v>
      </c>
      <c r="O542">
        <v>1903.5</v>
      </c>
      <c r="P542">
        <v>454</v>
      </c>
      <c r="Q542">
        <v>12932.5</v>
      </c>
      <c r="R542" t="s">
        <v>33</v>
      </c>
      <c r="S542" t="s">
        <v>63</v>
      </c>
      <c r="T542" t="s">
        <v>55</v>
      </c>
      <c r="U542" t="s">
        <v>56</v>
      </c>
      <c r="V542" t="s">
        <v>57</v>
      </c>
      <c r="W542">
        <v>2</v>
      </c>
      <c r="X542" t="s">
        <v>38</v>
      </c>
      <c r="Y542">
        <v>3</v>
      </c>
      <c r="Z542" t="s">
        <v>58</v>
      </c>
    </row>
    <row r="543" spans="1:26" x14ac:dyDescent="0.3">
      <c r="A543" t="s">
        <v>1044</v>
      </c>
      <c r="B543" s="2">
        <v>45985</v>
      </c>
      <c r="C543" t="s">
        <v>1022</v>
      </c>
      <c r="D543" t="s">
        <v>111</v>
      </c>
      <c r="E543" t="s">
        <v>29</v>
      </c>
      <c r="F543">
        <v>19</v>
      </c>
      <c r="G543" t="s">
        <v>74</v>
      </c>
      <c r="H543" t="s">
        <v>31</v>
      </c>
      <c r="I543" t="s">
        <v>74</v>
      </c>
      <c r="J543" t="s">
        <v>69</v>
      </c>
      <c r="K543">
        <v>2</v>
      </c>
      <c r="L543">
        <v>25923</v>
      </c>
      <c r="M543">
        <v>0</v>
      </c>
      <c r="N543">
        <v>0</v>
      </c>
      <c r="O543">
        <v>9332.2800000000007</v>
      </c>
      <c r="P543">
        <v>274</v>
      </c>
      <c r="Q543">
        <v>61452.28</v>
      </c>
      <c r="R543" t="s">
        <v>33</v>
      </c>
      <c r="S543" t="s">
        <v>34</v>
      </c>
      <c r="T543" t="s">
        <v>46</v>
      </c>
      <c r="U543" t="s">
        <v>36</v>
      </c>
      <c r="V543" t="s">
        <v>37</v>
      </c>
      <c r="W543">
        <v>6</v>
      </c>
      <c r="X543" t="s">
        <v>47</v>
      </c>
      <c r="Y543">
        <v>3</v>
      </c>
      <c r="Z543" t="s">
        <v>39</v>
      </c>
    </row>
    <row r="544" spans="1:26" x14ac:dyDescent="0.3">
      <c r="A544" t="s">
        <v>1045</v>
      </c>
      <c r="B544" s="2">
        <v>45863</v>
      </c>
      <c r="C544" t="s">
        <v>1046</v>
      </c>
      <c r="D544" t="s">
        <v>73</v>
      </c>
      <c r="E544" t="s">
        <v>29</v>
      </c>
      <c r="F544">
        <v>41</v>
      </c>
      <c r="G544" t="s">
        <v>51</v>
      </c>
      <c r="H544" t="s">
        <v>52</v>
      </c>
      <c r="I544" t="s">
        <v>51</v>
      </c>
      <c r="J544" t="s">
        <v>201</v>
      </c>
      <c r="K544">
        <v>5</v>
      </c>
      <c r="L544">
        <v>27464</v>
      </c>
      <c r="M544">
        <v>20</v>
      </c>
      <c r="N544">
        <v>27464</v>
      </c>
      <c r="O544">
        <v>19774.080000000002</v>
      </c>
      <c r="P544">
        <v>74</v>
      </c>
      <c r="Q544">
        <v>129704.08</v>
      </c>
      <c r="R544" t="s">
        <v>45</v>
      </c>
      <c r="S544" t="s">
        <v>63</v>
      </c>
      <c r="T544" t="s">
        <v>35</v>
      </c>
      <c r="U544" t="s">
        <v>36</v>
      </c>
      <c r="V544" t="s">
        <v>37</v>
      </c>
      <c r="W544">
        <v>8</v>
      </c>
      <c r="X544" t="s">
        <v>47</v>
      </c>
      <c r="Y544">
        <v>5</v>
      </c>
      <c r="Z544" t="s">
        <v>47</v>
      </c>
    </row>
    <row r="545" spans="1:26" x14ac:dyDescent="0.3">
      <c r="A545" t="s">
        <v>1047</v>
      </c>
      <c r="B545" s="2">
        <v>45882</v>
      </c>
      <c r="C545" t="s">
        <v>1048</v>
      </c>
      <c r="D545" t="s">
        <v>66</v>
      </c>
      <c r="E545" t="s">
        <v>29</v>
      </c>
      <c r="F545">
        <v>39</v>
      </c>
      <c r="G545" t="s">
        <v>51</v>
      </c>
      <c r="H545" t="s">
        <v>52</v>
      </c>
      <c r="I545" t="s">
        <v>51</v>
      </c>
      <c r="J545" t="s">
        <v>150</v>
      </c>
      <c r="K545">
        <v>3</v>
      </c>
      <c r="L545">
        <v>17597</v>
      </c>
      <c r="M545">
        <v>5</v>
      </c>
      <c r="N545">
        <v>2639.55</v>
      </c>
      <c r="O545">
        <v>9027.26</v>
      </c>
      <c r="P545">
        <v>297</v>
      </c>
      <c r="Q545">
        <v>59475.71</v>
      </c>
      <c r="R545" t="s">
        <v>83</v>
      </c>
      <c r="S545" t="s">
        <v>63</v>
      </c>
      <c r="T545" t="s">
        <v>84</v>
      </c>
      <c r="U545" t="s">
        <v>85</v>
      </c>
      <c r="V545" t="s">
        <v>86</v>
      </c>
      <c r="W545">
        <v>5</v>
      </c>
      <c r="X545" t="s">
        <v>47</v>
      </c>
      <c r="Y545">
        <v>1</v>
      </c>
      <c r="Z545" t="s">
        <v>58</v>
      </c>
    </row>
    <row r="546" spans="1:26" x14ac:dyDescent="0.3">
      <c r="A546" t="s">
        <v>1049</v>
      </c>
      <c r="B546" s="2">
        <v>46096</v>
      </c>
      <c r="C546" t="s">
        <v>1007</v>
      </c>
      <c r="D546" t="s">
        <v>42</v>
      </c>
      <c r="E546" t="s">
        <v>43</v>
      </c>
      <c r="F546">
        <v>44</v>
      </c>
      <c r="G546" t="s">
        <v>30</v>
      </c>
      <c r="H546" t="s">
        <v>31</v>
      </c>
      <c r="I546" t="s">
        <v>30</v>
      </c>
      <c r="J546" t="s">
        <v>112</v>
      </c>
      <c r="K546">
        <v>5</v>
      </c>
      <c r="L546">
        <v>4399</v>
      </c>
      <c r="M546">
        <v>0</v>
      </c>
      <c r="N546">
        <v>0</v>
      </c>
      <c r="O546">
        <v>3959.1</v>
      </c>
      <c r="P546">
        <v>41</v>
      </c>
      <c r="Q546">
        <v>25995.1</v>
      </c>
      <c r="R546" t="s">
        <v>33</v>
      </c>
      <c r="S546" t="s">
        <v>63</v>
      </c>
      <c r="T546" t="s">
        <v>95</v>
      </c>
      <c r="U546" t="s">
        <v>96</v>
      </c>
      <c r="V546" t="s">
        <v>57</v>
      </c>
      <c r="W546">
        <v>3</v>
      </c>
      <c r="X546" t="s">
        <v>47</v>
      </c>
      <c r="Y546">
        <v>3</v>
      </c>
      <c r="Z546" t="s">
        <v>39</v>
      </c>
    </row>
    <row r="547" spans="1:26" x14ac:dyDescent="0.3">
      <c r="A547" t="s">
        <v>1050</v>
      </c>
      <c r="B547" s="2">
        <v>46043</v>
      </c>
      <c r="C547" t="s">
        <v>467</v>
      </c>
      <c r="D547" t="s">
        <v>80</v>
      </c>
      <c r="E547" t="s">
        <v>29</v>
      </c>
      <c r="F547">
        <v>46</v>
      </c>
      <c r="G547" t="s">
        <v>30</v>
      </c>
      <c r="H547" t="s">
        <v>31</v>
      </c>
      <c r="I547" t="s">
        <v>30</v>
      </c>
      <c r="J547" t="s">
        <v>62</v>
      </c>
      <c r="K547">
        <v>4</v>
      </c>
      <c r="L547">
        <v>16338</v>
      </c>
      <c r="M547">
        <v>5</v>
      </c>
      <c r="N547">
        <v>3267.6</v>
      </c>
      <c r="O547">
        <v>11175.19</v>
      </c>
      <c r="P547">
        <v>104</v>
      </c>
      <c r="Q547">
        <v>73363.59</v>
      </c>
      <c r="R547" t="s">
        <v>33</v>
      </c>
      <c r="S547" t="s">
        <v>34</v>
      </c>
      <c r="T547" t="s">
        <v>84</v>
      </c>
      <c r="U547" t="s">
        <v>85</v>
      </c>
      <c r="V547" t="s">
        <v>86</v>
      </c>
      <c r="W547">
        <v>9</v>
      </c>
      <c r="X547" t="s">
        <v>47</v>
      </c>
      <c r="Y547">
        <v>5</v>
      </c>
      <c r="Z547" t="s">
        <v>58</v>
      </c>
    </row>
    <row r="548" spans="1:26" x14ac:dyDescent="0.3">
      <c r="A548" t="s">
        <v>1051</v>
      </c>
      <c r="B548" s="2">
        <v>45989</v>
      </c>
      <c r="C548" t="s">
        <v>711</v>
      </c>
      <c r="D548" t="s">
        <v>61</v>
      </c>
      <c r="E548" t="s">
        <v>43</v>
      </c>
      <c r="F548">
        <v>23</v>
      </c>
      <c r="G548" t="s">
        <v>139</v>
      </c>
      <c r="H548" t="s">
        <v>31</v>
      </c>
      <c r="I548" t="s">
        <v>139</v>
      </c>
      <c r="J548" t="s">
        <v>62</v>
      </c>
      <c r="K548">
        <v>5</v>
      </c>
      <c r="L548">
        <v>41403</v>
      </c>
      <c r="M548">
        <v>5</v>
      </c>
      <c r="N548">
        <v>10350.75</v>
      </c>
      <c r="O548">
        <v>35399.56</v>
      </c>
      <c r="P548">
        <v>376</v>
      </c>
      <c r="Q548">
        <v>232439.82</v>
      </c>
      <c r="R548" t="s">
        <v>83</v>
      </c>
      <c r="S548" t="s">
        <v>34</v>
      </c>
      <c r="T548" t="s">
        <v>70</v>
      </c>
      <c r="U548" t="s">
        <v>56</v>
      </c>
      <c r="V548" t="s">
        <v>57</v>
      </c>
      <c r="W548">
        <v>4</v>
      </c>
      <c r="X548" t="s">
        <v>47</v>
      </c>
      <c r="Y548">
        <v>5</v>
      </c>
      <c r="Z548" t="s">
        <v>91</v>
      </c>
    </row>
    <row r="549" spans="1:26" x14ac:dyDescent="0.3">
      <c r="A549" t="s">
        <v>1052</v>
      </c>
      <c r="B549" s="2">
        <v>45961</v>
      </c>
      <c r="C549" t="s">
        <v>1053</v>
      </c>
      <c r="D549" t="s">
        <v>42</v>
      </c>
      <c r="E549" t="s">
        <v>29</v>
      </c>
      <c r="F549">
        <v>29</v>
      </c>
      <c r="G549" t="s">
        <v>134</v>
      </c>
      <c r="H549" t="s">
        <v>31</v>
      </c>
      <c r="I549" t="s">
        <v>134</v>
      </c>
      <c r="J549" t="s">
        <v>53</v>
      </c>
      <c r="K549">
        <v>2</v>
      </c>
      <c r="L549">
        <v>19158</v>
      </c>
      <c r="M549">
        <v>5</v>
      </c>
      <c r="N549">
        <v>1915.8</v>
      </c>
      <c r="O549">
        <v>6552.04</v>
      </c>
      <c r="P549">
        <v>419</v>
      </c>
      <c r="Q549">
        <v>43371.24</v>
      </c>
      <c r="R549" t="s">
        <v>45</v>
      </c>
      <c r="S549" t="s">
        <v>63</v>
      </c>
      <c r="T549" t="s">
        <v>76</v>
      </c>
      <c r="U549" t="s">
        <v>77</v>
      </c>
      <c r="V549" t="s">
        <v>57</v>
      </c>
      <c r="W549">
        <v>4</v>
      </c>
      <c r="X549" t="s">
        <v>47</v>
      </c>
      <c r="Y549">
        <v>2</v>
      </c>
      <c r="Z549" t="s">
        <v>58</v>
      </c>
    </row>
    <row r="550" spans="1:26" x14ac:dyDescent="0.3">
      <c r="A550" t="s">
        <v>1054</v>
      </c>
      <c r="B550" s="2">
        <v>45809</v>
      </c>
      <c r="C550" t="s">
        <v>1055</v>
      </c>
      <c r="D550" t="s">
        <v>108</v>
      </c>
      <c r="E550" t="s">
        <v>43</v>
      </c>
      <c r="F550">
        <v>19</v>
      </c>
      <c r="G550" t="s">
        <v>74</v>
      </c>
      <c r="H550" t="s">
        <v>31</v>
      </c>
      <c r="I550" t="s">
        <v>74</v>
      </c>
      <c r="J550" t="s">
        <v>53</v>
      </c>
      <c r="K550">
        <v>4</v>
      </c>
      <c r="L550">
        <v>9541</v>
      </c>
      <c r="M550">
        <v>20</v>
      </c>
      <c r="N550">
        <v>7632.8</v>
      </c>
      <c r="O550">
        <v>5495.62</v>
      </c>
      <c r="P550">
        <v>462</v>
      </c>
      <c r="Q550">
        <v>36488.82</v>
      </c>
      <c r="R550" t="s">
        <v>45</v>
      </c>
      <c r="S550" t="s">
        <v>34</v>
      </c>
      <c r="T550" t="s">
        <v>35</v>
      </c>
      <c r="U550" t="s">
        <v>36</v>
      </c>
      <c r="V550" t="s">
        <v>37</v>
      </c>
      <c r="W550">
        <v>10</v>
      </c>
      <c r="X550" t="s">
        <v>47</v>
      </c>
      <c r="Y550">
        <v>3</v>
      </c>
      <c r="Z550" t="s">
        <v>58</v>
      </c>
    </row>
    <row r="551" spans="1:26" x14ac:dyDescent="0.3">
      <c r="A551" t="s">
        <v>1056</v>
      </c>
      <c r="B551" s="2">
        <v>46113</v>
      </c>
      <c r="C551" t="s">
        <v>241</v>
      </c>
      <c r="D551" t="s">
        <v>28</v>
      </c>
      <c r="E551" t="s">
        <v>43</v>
      </c>
      <c r="F551">
        <v>23</v>
      </c>
      <c r="G551" t="s">
        <v>90</v>
      </c>
      <c r="H551" t="s">
        <v>31</v>
      </c>
      <c r="I551" t="s">
        <v>90</v>
      </c>
      <c r="J551" t="s">
        <v>201</v>
      </c>
      <c r="K551">
        <v>2</v>
      </c>
      <c r="L551">
        <v>37411</v>
      </c>
      <c r="M551">
        <v>15</v>
      </c>
      <c r="N551">
        <v>11223.3</v>
      </c>
      <c r="O551">
        <v>11447.77</v>
      </c>
      <c r="P551">
        <v>407</v>
      </c>
      <c r="Q551">
        <v>75453.47</v>
      </c>
      <c r="R551" t="s">
        <v>33</v>
      </c>
      <c r="S551" t="s">
        <v>34</v>
      </c>
      <c r="T551" t="s">
        <v>103</v>
      </c>
      <c r="U551" t="s">
        <v>103</v>
      </c>
      <c r="V551" t="s">
        <v>57</v>
      </c>
      <c r="W551">
        <v>1</v>
      </c>
      <c r="X551" t="s">
        <v>38</v>
      </c>
      <c r="Y551">
        <v>3</v>
      </c>
      <c r="Z551" t="s">
        <v>39</v>
      </c>
    </row>
    <row r="552" spans="1:26" x14ac:dyDescent="0.3">
      <c r="A552" t="s">
        <v>1057</v>
      </c>
      <c r="B552" s="2">
        <v>45885</v>
      </c>
      <c r="C552" t="s">
        <v>1058</v>
      </c>
      <c r="D552" t="s">
        <v>80</v>
      </c>
      <c r="E552" t="s">
        <v>43</v>
      </c>
      <c r="F552">
        <v>35</v>
      </c>
      <c r="G552" t="s">
        <v>139</v>
      </c>
      <c r="H552" t="s">
        <v>31</v>
      </c>
      <c r="I552" t="s">
        <v>139</v>
      </c>
      <c r="J552" t="s">
        <v>125</v>
      </c>
      <c r="K552">
        <v>3</v>
      </c>
      <c r="L552">
        <v>20654</v>
      </c>
      <c r="M552">
        <v>10</v>
      </c>
      <c r="N552">
        <v>6196.2</v>
      </c>
      <c r="O552">
        <v>10037.84</v>
      </c>
      <c r="P552">
        <v>467</v>
      </c>
      <c r="Q552">
        <v>66270.64</v>
      </c>
      <c r="R552" t="s">
        <v>45</v>
      </c>
      <c r="S552" t="s">
        <v>63</v>
      </c>
      <c r="T552" t="s">
        <v>84</v>
      </c>
      <c r="U552" t="s">
        <v>85</v>
      </c>
      <c r="V552" t="s">
        <v>86</v>
      </c>
      <c r="W552">
        <v>2</v>
      </c>
      <c r="X552" t="s">
        <v>47</v>
      </c>
      <c r="Y552">
        <v>4</v>
      </c>
      <c r="Z552" t="s">
        <v>91</v>
      </c>
    </row>
    <row r="553" spans="1:26" x14ac:dyDescent="0.3">
      <c r="A553" t="s">
        <v>1059</v>
      </c>
      <c r="B553" s="2">
        <v>45804</v>
      </c>
      <c r="C553" t="s">
        <v>1060</v>
      </c>
      <c r="D553" t="s">
        <v>111</v>
      </c>
      <c r="E553" t="s">
        <v>43</v>
      </c>
      <c r="F553">
        <v>55</v>
      </c>
      <c r="G553" t="s">
        <v>74</v>
      </c>
      <c r="H553" t="s">
        <v>31</v>
      </c>
      <c r="I553" t="s">
        <v>74</v>
      </c>
      <c r="J553" t="s">
        <v>75</v>
      </c>
      <c r="K553">
        <v>1</v>
      </c>
      <c r="L553">
        <v>20050</v>
      </c>
      <c r="M553">
        <v>5</v>
      </c>
      <c r="N553">
        <v>1002.5</v>
      </c>
      <c r="O553">
        <v>3428.55</v>
      </c>
      <c r="P553">
        <v>205</v>
      </c>
      <c r="Q553">
        <v>22681.05</v>
      </c>
      <c r="R553" t="s">
        <v>54</v>
      </c>
      <c r="S553" t="s">
        <v>34</v>
      </c>
      <c r="T553" t="s">
        <v>76</v>
      </c>
      <c r="U553" t="s">
        <v>77</v>
      </c>
      <c r="V553" t="s">
        <v>57</v>
      </c>
      <c r="W553">
        <v>5</v>
      </c>
      <c r="X553" t="s">
        <v>47</v>
      </c>
      <c r="Y553">
        <v>2</v>
      </c>
      <c r="Z553" t="s">
        <v>91</v>
      </c>
    </row>
    <row r="554" spans="1:26" x14ac:dyDescent="0.3">
      <c r="A554" t="s">
        <v>1061</v>
      </c>
      <c r="B554" s="2">
        <v>45813</v>
      </c>
      <c r="C554" t="s">
        <v>609</v>
      </c>
      <c r="D554" t="s">
        <v>73</v>
      </c>
      <c r="E554" t="s">
        <v>43</v>
      </c>
      <c r="F554">
        <v>60</v>
      </c>
      <c r="G554" t="s">
        <v>90</v>
      </c>
      <c r="H554" t="s">
        <v>31</v>
      </c>
      <c r="I554" t="s">
        <v>90</v>
      </c>
      <c r="J554" t="s">
        <v>75</v>
      </c>
      <c r="K554">
        <v>5</v>
      </c>
      <c r="L554">
        <v>26702</v>
      </c>
      <c r="M554">
        <v>0</v>
      </c>
      <c r="N554">
        <v>0</v>
      </c>
      <c r="O554">
        <v>24031.8</v>
      </c>
      <c r="P554">
        <v>215</v>
      </c>
      <c r="Q554">
        <v>157756.79999999999</v>
      </c>
      <c r="R554" t="s">
        <v>54</v>
      </c>
      <c r="S554" t="s">
        <v>63</v>
      </c>
      <c r="T554" t="s">
        <v>35</v>
      </c>
      <c r="U554" t="s">
        <v>36</v>
      </c>
      <c r="V554" t="s">
        <v>37</v>
      </c>
      <c r="W554">
        <v>4</v>
      </c>
      <c r="X554" t="s">
        <v>47</v>
      </c>
      <c r="Y554">
        <v>4</v>
      </c>
      <c r="Z554" t="s">
        <v>47</v>
      </c>
    </row>
    <row r="555" spans="1:26" x14ac:dyDescent="0.3">
      <c r="A555" t="s">
        <v>1062</v>
      </c>
      <c r="B555" s="2">
        <v>45829</v>
      </c>
      <c r="C555" t="s">
        <v>1063</v>
      </c>
      <c r="D555" t="s">
        <v>89</v>
      </c>
      <c r="E555" t="s">
        <v>43</v>
      </c>
      <c r="F555">
        <v>38</v>
      </c>
      <c r="G555" t="s">
        <v>90</v>
      </c>
      <c r="H555" t="s">
        <v>31</v>
      </c>
      <c r="I555" t="s">
        <v>90</v>
      </c>
      <c r="J555" t="s">
        <v>53</v>
      </c>
      <c r="K555">
        <v>1</v>
      </c>
      <c r="L555">
        <v>49429</v>
      </c>
      <c r="M555">
        <v>0</v>
      </c>
      <c r="N555">
        <v>0</v>
      </c>
      <c r="O555">
        <v>8897.2199999999993</v>
      </c>
      <c r="P555">
        <v>491</v>
      </c>
      <c r="Q555">
        <v>58817.22</v>
      </c>
      <c r="R555" t="s">
        <v>54</v>
      </c>
      <c r="S555" t="s">
        <v>63</v>
      </c>
      <c r="T555" t="s">
        <v>70</v>
      </c>
      <c r="U555" t="s">
        <v>56</v>
      </c>
      <c r="V555" t="s">
        <v>57</v>
      </c>
      <c r="W555">
        <v>5</v>
      </c>
      <c r="X555" t="s">
        <v>47</v>
      </c>
      <c r="Y555">
        <v>2</v>
      </c>
      <c r="Z555" t="s">
        <v>58</v>
      </c>
    </row>
    <row r="556" spans="1:26" x14ac:dyDescent="0.3">
      <c r="A556" t="s">
        <v>1064</v>
      </c>
      <c r="B556" s="2">
        <v>46106</v>
      </c>
      <c r="C556" t="s">
        <v>1065</v>
      </c>
      <c r="D556" t="s">
        <v>108</v>
      </c>
      <c r="E556" t="s">
        <v>29</v>
      </c>
      <c r="F556">
        <v>20</v>
      </c>
      <c r="G556" t="s">
        <v>44</v>
      </c>
      <c r="H556" t="s">
        <v>31</v>
      </c>
      <c r="I556" t="s">
        <v>44</v>
      </c>
      <c r="J556" t="s">
        <v>125</v>
      </c>
      <c r="K556">
        <v>5</v>
      </c>
      <c r="L556">
        <v>5569</v>
      </c>
      <c r="M556">
        <v>10</v>
      </c>
      <c r="N556">
        <v>2784.5</v>
      </c>
      <c r="O556">
        <v>4510.8900000000003</v>
      </c>
      <c r="P556">
        <v>202</v>
      </c>
      <c r="Q556">
        <v>29773.39</v>
      </c>
      <c r="R556" t="s">
        <v>54</v>
      </c>
      <c r="S556" t="s">
        <v>63</v>
      </c>
      <c r="T556" t="s">
        <v>70</v>
      </c>
      <c r="U556" t="s">
        <v>56</v>
      </c>
      <c r="V556" t="s">
        <v>57</v>
      </c>
      <c r="W556">
        <v>1</v>
      </c>
      <c r="X556" t="s">
        <v>47</v>
      </c>
      <c r="Y556">
        <v>3</v>
      </c>
      <c r="Z556" t="s">
        <v>39</v>
      </c>
    </row>
    <row r="557" spans="1:26" x14ac:dyDescent="0.3">
      <c r="A557" t="s">
        <v>1066</v>
      </c>
      <c r="B557" s="2">
        <v>46009</v>
      </c>
      <c r="C557" t="s">
        <v>1067</v>
      </c>
      <c r="D557" t="s">
        <v>42</v>
      </c>
      <c r="E557" t="s">
        <v>29</v>
      </c>
      <c r="F557">
        <v>19</v>
      </c>
      <c r="G557" t="s">
        <v>44</v>
      </c>
      <c r="H557" t="s">
        <v>31</v>
      </c>
      <c r="I557" t="s">
        <v>44</v>
      </c>
      <c r="J557" t="s">
        <v>112</v>
      </c>
      <c r="K557">
        <v>1</v>
      </c>
      <c r="L557">
        <v>4090</v>
      </c>
      <c r="M557">
        <v>0</v>
      </c>
      <c r="N557">
        <v>0</v>
      </c>
      <c r="O557">
        <v>736.2</v>
      </c>
      <c r="P557">
        <v>158</v>
      </c>
      <c r="Q557">
        <v>4984.2</v>
      </c>
      <c r="R557" t="s">
        <v>45</v>
      </c>
      <c r="S557" t="s">
        <v>34</v>
      </c>
      <c r="T557" t="s">
        <v>76</v>
      </c>
      <c r="U557" t="s">
        <v>77</v>
      </c>
      <c r="V557" t="s">
        <v>57</v>
      </c>
      <c r="W557">
        <v>1</v>
      </c>
      <c r="X557" t="s">
        <v>38</v>
      </c>
      <c r="Y557">
        <v>2</v>
      </c>
      <c r="Z557" t="s">
        <v>91</v>
      </c>
    </row>
    <row r="558" spans="1:26" x14ac:dyDescent="0.3">
      <c r="A558" t="s">
        <v>1068</v>
      </c>
      <c r="B558" s="2">
        <v>46099</v>
      </c>
      <c r="C558" t="s">
        <v>1069</v>
      </c>
      <c r="D558" t="s">
        <v>66</v>
      </c>
      <c r="E558" t="s">
        <v>29</v>
      </c>
      <c r="F558">
        <v>41</v>
      </c>
      <c r="G558" t="s">
        <v>99</v>
      </c>
      <c r="H558" t="s">
        <v>52</v>
      </c>
      <c r="I558" t="s">
        <v>99</v>
      </c>
      <c r="J558" t="s">
        <v>62</v>
      </c>
      <c r="K558">
        <v>2</v>
      </c>
      <c r="L558">
        <v>36676</v>
      </c>
      <c r="M558">
        <v>10</v>
      </c>
      <c r="N558">
        <v>7335.2</v>
      </c>
      <c r="O558">
        <v>11883.02</v>
      </c>
      <c r="P558">
        <v>71</v>
      </c>
      <c r="Q558">
        <v>77970.820000000007</v>
      </c>
      <c r="R558" t="s">
        <v>45</v>
      </c>
      <c r="S558" t="s">
        <v>34</v>
      </c>
      <c r="T558" t="s">
        <v>55</v>
      </c>
      <c r="U558" t="s">
        <v>56</v>
      </c>
      <c r="V558" t="s">
        <v>57</v>
      </c>
      <c r="W558">
        <v>2</v>
      </c>
      <c r="X558" t="s">
        <v>47</v>
      </c>
      <c r="Y558">
        <v>4</v>
      </c>
      <c r="Z558" t="s">
        <v>91</v>
      </c>
    </row>
    <row r="559" spans="1:26" x14ac:dyDescent="0.3">
      <c r="A559" t="s">
        <v>1070</v>
      </c>
      <c r="B559" s="2">
        <v>45901</v>
      </c>
      <c r="C559" t="s">
        <v>913</v>
      </c>
      <c r="D559" t="s">
        <v>66</v>
      </c>
      <c r="E559" t="s">
        <v>29</v>
      </c>
      <c r="F559">
        <v>36</v>
      </c>
      <c r="G559" t="s">
        <v>90</v>
      </c>
      <c r="H559" t="s">
        <v>31</v>
      </c>
      <c r="I559" t="s">
        <v>90</v>
      </c>
      <c r="J559" t="s">
        <v>201</v>
      </c>
      <c r="K559">
        <v>3</v>
      </c>
      <c r="L559">
        <v>7820</v>
      </c>
      <c r="M559">
        <v>5</v>
      </c>
      <c r="N559">
        <v>1173</v>
      </c>
      <c r="O559">
        <v>4011.66</v>
      </c>
      <c r="P559">
        <v>161</v>
      </c>
      <c r="Q559">
        <v>26459.66</v>
      </c>
      <c r="R559" t="s">
        <v>33</v>
      </c>
      <c r="S559" t="s">
        <v>63</v>
      </c>
      <c r="T559" t="s">
        <v>55</v>
      </c>
      <c r="U559" t="s">
        <v>56</v>
      </c>
      <c r="V559" t="s">
        <v>57</v>
      </c>
      <c r="W559">
        <v>7</v>
      </c>
      <c r="X559" t="s">
        <v>38</v>
      </c>
      <c r="Y559">
        <v>5</v>
      </c>
      <c r="Z559" t="s">
        <v>47</v>
      </c>
    </row>
    <row r="560" spans="1:26" x14ac:dyDescent="0.3">
      <c r="A560" t="s">
        <v>1071</v>
      </c>
      <c r="B560" s="2">
        <v>45778</v>
      </c>
      <c r="C560" t="s">
        <v>674</v>
      </c>
      <c r="D560" t="s">
        <v>61</v>
      </c>
      <c r="E560" t="s">
        <v>43</v>
      </c>
      <c r="F560">
        <v>55</v>
      </c>
      <c r="G560" t="s">
        <v>99</v>
      </c>
      <c r="H560" t="s">
        <v>52</v>
      </c>
      <c r="I560" t="s">
        <v>99</v>
      </c>
      <c r="J560" t="s">
        <v>53</v>
      </c>
      <c r="K560">
        <v>2</v>
      </c>
      <c r="L560">
        <v>13342</v>
      </c>
      <c r="M560">
        <v>0</v>
      </c>
      <c r="N560">
        <v>0</v>
      </c>
      <c r="O560">
        <v>4803.12</v>
      </c>
      <c r="P560">
        <v>174</v>
      </c>
      <c r="Q560">
        <v>31661.119999999999</v>
      </c>
      <c r="R560" t="s">
        <v>45</v>
      </c>
      <c r="S560" t="s">
        <v>34</v>
      </c>
      <c r="T560" t="s">
        <v>84</v>
      </c>
      <c r="U560" t="s">
        <v>85</v>
      </c>
      <c r="V560" t="s">
        <v>86</v>
      </c>
      <c r="W560">
        <v>4</v>
      </c>
      <c r="X560" t="s">
        <v>38</v>
      </c>
      <c r="Y560">
        <v>5</v>
      </c>
      <c r="Z560" t="s">
        <v>58</v>
      </c>
    </row>
    <row r="561" spans="1:26" x14ac:dyDescent="0.3">
      <c r="A561" t="s">
        <v>1072</v>
      </c>
      <c r="B561" s="2">
        <v>46075</v>
      </c>
      <c r="C561" t="s">
        <v>631</v>
      </c>
      <c r="D561" t="s">
        <v>28</v>
      </c>
      <c r="E561" t="s">
        <v>43</v>
      </c>
      <c r="F561">
        <v>60</v>
      </c>
      <c r="G561" t="s">
        <v>99</v>
      </c>
      <c r="H561" t="s">
        <v>52</v>
      </c>
      <c r="I561" t="s">
        <v>99</v>
      </c>
      <c r="J561" t="s">
        <v>32</v>
      </c>
      <c r="K561">
        <v>1</v>
      </c>
      <c r="L561">
        <v>22384</v>
      </c>
      <c r="M561">
        <v>0</v>
      </c>
      <c r="N561">
        <v>0</v>
      </c>
      <c r="O561">
        <v>4029.12</v>
      </c>
      <c r="P561">
        <v>175</v>
      </c>
      <c r="Q561">
        <v>26588.12</v>
      </c>
      <c r="R561" t="s">
        <v>33</v>
      </c>
      <c r="S561" t="s">
        <v>63</v>
      </c>
      <c r="T561" t="s">
        <v>103</v>
      </c>
      <c r="U561" t="s">
        <v>103</v>
      </c>
      <c r="V561" t="s">
        <v>57</v>
      </c>
      <c r="W561">
        <v>2</v>
      </c>
      <c r="X561" t="s">
        <v>47</v>
      </c>
      <c r="Y561">
        <v>2</v>
      </c>
      <c r="Z561" t="s">
        <v>47</v>
      </c>
    </row>
    <row r="562" spans="1:26" x14ac:dyDescent="0.3">
      <c r="A562" t="s">
        <v>1073</v>
      </c>
      <c r="B562" s="2">
        <v>45937</v>
      </c>
      <c r="C562" t="s">
        <v>1074</v>
      </c>
      <c r="D562" t="s">
        <v>66</v>
      </c>
      <c r="E562" t="s">
        <v>43</v>
      </c>
      <c r="F562">
        <v>45</v>
      </c>
      <c r="G562" t="s">
        <v>44</v>
      </c>
      <c r="H562" t="s">
        <v>31</v>
      </c>
      <c r="I562" t="s">
        <v>44</v>
      </c>
      <c r="J562" t="s">
        <v>201</v>
      </c>
      <c r="K562">
        <v>2</v>
      </c>
      <c r="L562">
        <v>22350</v>
      </c>
      <c r="M562">
        <v>0</v>
      </c>
      <c r="N562">
        <v>0</v>
      </c>
      <c r="O562">
        <v>8046</v>
      </c>
      <c r="P562">
        <v>119</v>
      </c>
      <c r="Q562">
        <v>52865</v>
      </c>
      <c r="R562" t="s">
        <v>54</v>
      </c>
      <c r="S562" t="s">
        <v>34</v>
      </c>
      <c r="T562" t="s">
        <v>76</v>
      </c>
      <c r="U562" t="s">
        <v>77</v>
      </c>
      <c r="V562" t="s">
        <v>57</v>
      </c>
      <c r="W562">
        <v>9</v>
      </c>
      <c r="X562" t="s">
        <v>47</v>
      </c>
      <c r="Y562">
        <v>3</v>
      </c>
      <c r="Z562" t="s">
        <v>58</v>
      </c>
    </row>
    <row r="563" spans="1:26" x14ac:dyDescent="0.3">
      <c r="A563" t="s">
        <v>1075</v>
      </c>
      <c r="B563" s="2">
        <v>45860</v>
      </c>
      <c r="C563" t="s">
        <v>156</v>
      </c>
      <c r="D563" t="s">
        <v>50</v>
      </c>
      <c r="E563" t="s">
        <v>43</v>
      </c>
      <c r="F563">
        <v>36</v>
      </c>
      <c r="G563" t="s">
        <v>44</v>
      </c>
      <c r="H563" t="s">
        <v>31</v>
      </c>
      <c r="I563" t="s">
        <v>44</v>
      </c>
      <c r="J563" t="s">
        <v>62</v>
      </c>
      <c r="K563">
        <v>1</v>
      </c>
      <c r="L563">
        <v>30336</v>
      </c>
      <c r="M563">
        <v>5</v>
      </c>
      <c r="N563">
        <v>1516.8</v>
      </c>
      <c r="O563">
        <v>5187.46</v>
      </c>
      <c r="P563">
        <v>83</v>
      </c>
      <c r="Q563">
        <v>34089.660000000003</v>
      </c>
      <c r="R563" t="s">
        <v>33</v>
      </c>
      <c r="S563" t="s">
        <v>34</v>
      </c>
      <c r="T563" t="s">
        <v>103</v>
      </c>
      <c r="U563" t="s">
        <v>103</v>
      </c>
      <c r="V563" t="s">
        <v>57</v>
      </c>
      <c r="W563">
        <v>9</v>
      </c>
      <c r="X563" t="s">
        <v>38</v>
      </c>
      <c r="Y563">
        <v>4</v>
      </c>
      <c r="Z563" t="s">
        <v>39</v>
      </c>
    </row>
    <row r="564" spans="1:26" x14ac:dyDescent="0.3">
      <c r="A564" t="s">
        <v>1076</v>
      </c>
      <c r="B564" s="2">
        <v>45872</v>
      </c>
      <c r="C564" t="s">
        <v>1077</v>
      </c>
      <c r="D564" t="s">
        <v>50</v>
      </c>
      <c r="E564" t="s">
        <v>29</v>
      </c>
      <c r="F564">
        <v>47</v>
      </c>
      <c r="G564" t="s">
        <v>94</v>
      </c>
      <c r="H564" t="s">
        <v>31</v>
      </c>
      <c r="I564" t="s">
        <v>94</v>
      </c>
      <c r="J564" t="s">
        <v>75</v>
      </c>
      <c r="K564">
        <v>5</v>
      </c>
      <c r="L564">
        <v>14793</v>
      </c>
      <c r="M564">
        <v>10</v>
      </c>
      <c r="N564">
        <v>7396.5</v>
      </c>
      <c r="O564">
        <v>11982.33</v>
      </c>
      <c r="P564">
        <v>384</v>
      </c>
      <c r="Q564">
        <v>78934.83</v>
      </c>
      <c r="R564" t="s">
        <v>83</v>
      </c>
      <c r="S564" t="s">
        <v>34</v>
      </c>
      <c r="T564" t="s">
        <v>103</v>
      </c>
      <c r="U564" t="s">
        <v>103</v>
      </c>
      <c r="V564" t="s">
        <v>57</v>
      </c>
      <c r="W564">
        <v>10</v>
      </c>
      <c r="X564" t="s">
        <v>47</v>
      </c>
      <c r="Y564">
        <v>3</v>
      </c>
      <c r="Z564" t="s">
        <v>91</v>
      </c>
    </row>
    <row r="565" spans="1:26" x14ac:dyDescent="0.3">
      <c r="A565" t="s">
        <v>1078</v>
      </c>
      <c r="B565" s="2">
        <v>45791</v>
      </c>
      <c r="C565" t="s">
        <v>1079</v>
      </c>
      <c r="D565" t="s">
        <v>42</v>
      </c>
      <c r="E565" t="s">
        <v>29</v>
      </c>
      <c r="F565">
        <v>33</v>
      </c>
      <c r="G565" t="s">
        <v>74</v>
      </c>
      <c r="H565" t="s">
        <v>31</v>
      </c>
      <c r="I565" t="s">
        <v>74</v>
      </c>
      <c r="J565" t="s">
        <v>112</v>
      </c>
      <c r="K565">
        <v>3</v>
      </c>
      <c r="L565">
        <v>38101</v>
      </c>
      <c r="M565">
        <v>10</v>
      </c>
      <c r="N565">
        <v>11430.3</v>
      </c>
      <c r="O565">
        <v>18517.09</v>
      </c>
      <c r="P565">
        <v>123</v>
      </c>
      <c r="Q565">
        <v>121512.79</v>
      </c>
      <c r="R565" t="s">
        <v>83</v>
      </c>
      <c r="S565" t="s">
        <v>63</v>
      </c>
      <c r="T565" t="s">
        <v>95</v>
      </c>
      <c r="U565" t="s">
        <v>96</v>
      </c>
      <c r="V565" t="s">
        <v>57</v>
      </c>
      <c r="W565">
        <v>4</v>
      </c>
      <c r="X565" t="s">
        <v>38</v>
      </c>
      <c r="Y565">
        <v>1</v>
      </c>
      <c r="Z565" t="s">
        <v>91</v>
      </c>
    </row>
    <row r="566" spans="1:26" x14ac:dyDescent="0.3">
      <c r="A566" t="s">
        <v>1080</v>
      </c>
      <c r="B566" s="2">
        <v>45951</v>
      </c>
      <c r="C566" t="s">
        <v>200</v>
      </c>
      <c r="D566" t="s">
        <v>89</v>
      </c>
      <c r="E566" t="s">
        <v>29</v>
      </c>
      <c r="F566">
        <v>27</v>
      </c>
      <c r="G566" t="s">
        <v>67</v>
      </c>
      <c r="H566" t="s">
        <v>68</v>
      </c>
      <c r="I566" t="s">
        <v>67</v>
      </c>
      <c r="J566" t="s">
        <v>62</v>
      </c>
      <c r="K566">
        <v>2</v>
      </c>
      <c r="L566">
        <v>20386</v>
      </c>
      <c r="M566">
        <v>20</v>
      </c>
      <c r="N566">
        <v>8154.4</v>
      </c>
      <c r="O566">
        <v>5871.17</v>
      </c>
      <c r="P566">
        <v>48</v>
      </c>
      <c r="Q566">
        <v>38536.769999999997</v>
      </c>
      <c r="R566" t="s">
        <v>83</v>
      </c>
      <c r="S566" t="s">
        <v>63</v>
      </c>
      <c r="T566" t="s">
        <v>46</v>
      </c>
      <c r="U566" t="s">
        <v>36</v>
      </c>
      <c r="V566" t="s">
        <v>37</v>
      </c>
      <c r="W566">
        <v>10</v>
      </c>
      <c r="X566" t="s">
        <v>38</v>
      </c>
      <c r="Y566">
        <v>1</v>
      </c>
      <c r="Z566" t="s">
        <v>91</v>
      </c>
    </row>
    <row r="567" spans="1:26" x14ac:dyDescent="0.3">
      <c r="A567" t="s">
        <v>1081</v>
      </c>
      <c r="B567" s="2">
        <v>46066</v>
      </c>
      <c r="C567" t="s">
        <v>266</v>
      </c>
      <c r="D567" t="s">
        <v>73</v>
      </c>
      <c r="E567" t="s">
        <v>29</v>
      </c>
      <c r="F567">
        <v>28</v>
      </c>
      <c r="G567" t="s">
        <v>90</v>
      </c>
      <c r="H567" t="s">
        <v>31</v>
      </c>
      <c r="I567" t="s">
        <v>90</v>
      </c>
      <c r="J567" t="s">
        <v>32</v>
      </c>
      <c r="K567">
        <v>2</v>
      </c>
      <c r="L567">
        <v>12947</v>
      </c>
      <c r="M567">
        <v>10</v>
      </c>
      <c r="N567">
        <v>2589.4</v>
      </c>
      <c r="O567">
        <v>4194.83</v>
      </c>
      <c r="P567">
        <v>401</v>
      </c>
      <c r="Q567">
        <v>27900.43</v>
      </c>
      <c r="R567" t="s">
        <v>54</v>
      </c>
      <c r="S567" t="s">
        <v>34</v>
      </c>
      <c r="T567" t="s">
        <v>46</v>
      </c>
      <c r="U567" t="s">
        <v>36</v>
      </c>
      <c r="V567" t="s">
        <v>37</v>
      </c>
      <c r="W567">
        <v>1</v>
      </c>
      <c r="X567" t="s">
        <v>47</v>
      </c>
      <c r="Y567">
        <v>1</v>
      </c>
      <c r="Z567" t="s">
        <v>58</v>
      </c>
    </row>
    <row r="568" spans="1:26" x14ac:dyDescent="0.3">
      <c r="A568" t="s">
        <v>1082</v>
      </c>
      <c r="B568" s="2">
        <v>45993</v>
      </c>
      <c r="C568" t="s">
        <v>1083</v>
      </c>
      <c r="D568" t="s">
        <v>28</v>
      </c>
      <c r="E568" t="s">
        <v>43</v>
      </c>
      <c r="F568">
        <v>29</v>
      </c>
      <c r="G568" t="s">
        <v>67</v>
      </c>
      <c r="H568" t="s">
        <v>68</v>
      </c>
      <c r="I568" t="s">
        <v>67</v>
      </c>
      <c r="J568" t="s">
        <v>125</v>
      </c>
      <c r="K568">
        <v>1</v>
      </c>
      <c r="L568">
        <v>45669</v>
      </c>
      <c r="M568">
        <v>20</v>
      </c>
      <c r="N568">
        <v>9133.7999999999993</v>
      </c>
      <c r="O568">
        <v>6576.34</v>
      </c>
      <c r="P568">
        <v>84</v>
      </c>
      <c r="Q568">
        <v>43195.54</v>
      </c>
      <c r="R568" t="s">
        <v>83</v>
      </c>
      <c r="S568" t="s">
        <v>34</v>
      </c>
      <c r="T568" t="s">
        <v>103</v>
      </c>
      <c r="U568" t="s">
        <v>103</v>
      </c>
      <c r="V568" t="s">
        <v>57</v>
      </c>
      <c r="W568">
        <v>9</v>
      </c>
      <c r="X568" t="s">
        <v>47</v>
      </c>
      <c r="Y568">
        <v>1</v>
      </c>
      <c r="Z568" t="s">
        <v>58</v>
      </c>
    </row>
    <row r="569" spans="1:26" x14ac:dyDescent="0.3">
      <c r="A569" t="s">
        <v>1084</v>
      </c>
      <c r="B569" s="2">
        <v>45923</v>
      </c>
      <c r="C569" t="s">
        <v>1085</v>
      </c>
      <c r="D569" t="s">
        <v>66</v>
      </c>
      <c r="E569" t="s">
        <v>29</v>
      </c>
      <c r="F569">
        <v>27</v>
      </c>
      <c r="G569" t="s">
        <v>44</v>
      </c>
      <c r="H569" t="s">
        <v>31</v>
      </c>
      <c r="I569" t="s">
        <v>44</v>
      </c>
      <c r="J569" t="s">
        <v>150</v>
      </c>
      <c r="K569">
        <v>5</v>
      </c>
      <c r="L569">
        <v>32363</v>
      </c>
      <c r="M569">
        <v>15</v>
      </c>
      <c r="N569">
        <v>24272.25</v>
      </c>
      <c r="O569">
        <v>24757.69</v>
      </c>
      <c r="P569">
        <v>55</v>
      </c>
      <c r="Q569">
        <v>162355.45000000001</v>
      </c>
      <c r="R569" t="s">
        <v>33</v>
      </c>
      <c r="S569" t="s">
        <v>63</v>
      </c>
      <c r="T569" t="s">
        <v>103</v>
      </c>
      <c r="U569" t="s">
        <v>103</v>
      </c>
      <c r="V569" t="s">
        <v>57</v>
      </c>
      <c r="W569">
        <v>4</v>
      </c>
      <c r="X569" t="s">
        <v>47</v>
      </c>
      <c r="Y569">
        <v>3</v>
      </c>
      <c r="Z569" t="s">
        <v>39</v>
      </c>
    </row>
    <row r="570" spans="1:26" x14ac:dyDescent="0.3">
      <c r="A570" t="s">
        <v>1086</v>
      </c>
      <c r="B570" s="2">
        <v>45902</v>
      </c>
      <c r="C570" t="s">
        <v>1087</v>
      </c>
      <c r="D570" t="s">
        <v>108</v>
      </c>
      <c r="E570" t="s">
        <v>29</v>
      </c>
      <c r="F570">
        <v>18</v>
      </c>
      <c r="G570" t="s">
        <v>90</v>
      </c>
      <c r="H570" t="s">
        <v>31</v>
      </c>
      <c r="I570" t="s">
        <v>90</v>
      </c>
      <c r="J570" t="s">
        <v>201</v>
      </c>
      <c r="K570">
        <v>2</v>
      </c>
      <c r="L570">
        <v>26083</v>
      </c>
      <c r="M570">
        <v>5</v>
      </c>
      <c r="N570">
        <v>2608.3000000000002</v>
      </c>
      <c r="O570">
        <v>8920.39</v>
      </c>
      <c r="P570">
        <v>148</v>
      </c>
      <c r="Q570">
        <v>58626.09</v>
      </c>
      <c r="R570" t="s">
        <v>45</v>
      </c>
      <c r="S570" t="s">
        <v>34</v>
      </c>
      <c r="T570" t="s">
        <v>95</v>
      </c>
      <c r="U570" t="s">
        <v>96</v>
      </c>
      <c r="V570" t="s">
        <v>57</v>
      </c>
      <c r="W570">
        <v>4</v>
      </c>
      <c r="X570" t="s">
        <v>38</v>
      </c>
      <c r="Y570">
        <v>2</v>
      </c>
      <c r="Z570" t="s">
        <v>39</v>
      </c>
    </row>
    <row r="571" spans="1:26" x14ac:dyDescent="0.3">
      <c r="A571" t="s">
        <v>1088</v>
      </c>
      <c r="B571" s="2">
        <v>46113</v>
      </c>
      <c r="C571" t="s">
        <v>491</v>
      </c>
      <c r="D571" t="s">
        <v>42</v>
      </c>
      <c r="E571" t="s">
        <v>43</v>
      </c>
      <c r="F571">
        <v>28</v>
      </c>
      <c r="G571" t="s">
        <v>90</v>
      </c>
      <c r="H571" t="s">
        <v>31</v>
      </c>
      <c r="I571" t="s">
        <v>90</v>
      </c>
      <c r="J571" t="s">
        <v>112</v>
      </c>
      <c r="K571">
        <v>4</v>
      </c>
      <c r="L571">
        <v>18529</v>
      </c>
      <c r="M571">
        <v>20</v>
      </c>
      <c r="N571">
        <v>14823.2</v>
      </c>
      <c r="O571">
        <v>10672.7</v>
      </c>
      <c r="P571">
        <v>326</v>
      </c>
      <c r="Q571">
        <v>70291.5</v>
      </c>
      <c r="R571" t="s">
        <v>33</v>
      </c>
      <c r="S571" t="s">
        <v>63</v>
      </c>
      <c r="T571" t="s">
        <v>84</v>
      </c>
      <c r="U571" t="s">
        <v>85</v>
      </c>
      <c r="V571" t="s">
        <v>86</v>
      </c>
      <c r="W571">
        <v>10</v>
      </c>
      <c r="X571" t="s">
        <v>38</v>
      </c>
      <c r="Y571">
        <v>4</v>
      </c>
      <c r="Z571" t="s">
        <v>91</v>
      </c>
    </row>
    <row r="572" spans="1:26" x14ac:dyDescent="0.3">
      <c r="A572" t="s">
        <v>1089</v>
      </c>
      <c r="B572" s="2">
        <v>46038</v>
      </c>
      <c r="C572" t="s">
        <v>540</v>
      </c>
      <c r="D572" t="s">
        <v>73</v>
      </c>
      <c r="E572" t="s">
        <v>29</v>
      </c>
      <c r="F572">
        <v>22</v>
      </c>
      <c r="G572" t="s">
        <v>44</v>
      </c>
      <c r="H572" t="s">
        <v>31</v>
      </c>
      <c r="I572" t="s">
        <v>44</v>
      </c>
      <c r="J572" t="s">
        <v>32</v>
      </c>
      <c r="K572">
        <v>5</v>
      </c>
      <c r="L572">
        <v>48092</v>
      </c>
      <c r="M572">
        <v>0</v>
      </c>
      <c r="N572">
        <v>0</v>
      </c>
      <c r="O572">
        <v>43282.8</v>
      </c>
      <c r="P572">
        <v>210</v>
      </c>
      <c r="Q572">
        <v>283952.8</v>
      </c>
      <c r="R572" t="s">
        <v>54</v>
      </c>
      <c r="S572" t="s">
        <v>34</v>
      </c>
      <c r="T572" t="s">
        <v>95</v>
      </c>
      <c r="U572" t="s">
        <v>96</v>
      </c>
      <c r="V572" t="s">
        <v>57</v>
      </c>
      <c r="W572">
        <v>3</v>
      </c>
      <c r="X572" t="s">
        <v>38</v>
      </c>
      <c r="Y572">
        <v>1</v>
      </c>
      <c r="Z572" t="s">
        <v>47</v>
      </c>
    </row>
    <row r="573" spans="1:26" x14ac:dyDescent="0.3">
      <c r="A573" t="s">
        <v>1090</v>
      </c>
      <c r="B573" s="2">
        <v>45975</v>
      </c>
      <c r="C573" t="s">
        <v>1017</v>
      </c>
      <c r="D573" t="s">
        <v>111</v>
      </c>
      <c r="E573" t="s">
        <v>43</v>
      </c>
      <c r="F573">
        <v>28</v>
      </c>
      <c r="G573" t="s">
        <v>51</v>
      </c>
      <c r="H573" t="s">
        <v>52</v>
      </c>
      <c r="I573" t="s">
        <v>51</v>
      </c>
      <c r="J573" t="s">
        <v>102</v>
      </c>
      <c r="K573">
        <v>1</v>
      </c>
      <c r="L573">
        <v>46450</v>
      </c>
      <c r="M573">
        <v>10</v>
      </c>
      <c r="N573">
        <v>4645</v>
      </c>
      <c r="O573">
        <v>7524.9</v>
      </c>
      <c r="P573">
        <v>11</v>
      </c>
      <c r="Q573">
        <v>49340.9</v>
      </c>
      <c r="R573" t="s">
        <v>54</v>
      </c>
      <c r="S573" t="s">
        <v>34</v>
      </c>
      <c r="T573" t="s">
        <v>84</v>
      </c>
      <c r="U573" t="s">
        <v>85</v>
      </c>
      <c r="V573" t="s">
        <v>86</v>
      </c>
      <c r="W573">
        <v>8</v>
      </c>
      <c r="X573" t="s">
        <v>38</v>
      </c>
      <c r="Y573">
        <v>5</v>
      </c>
      <c r="Z573" t="s">
        <v>39</v>
      </c>
    </row>
    <row r="574" spans="1:26" x14ac:dyDescent="0.3">
      <c r="A574" t="s">
        <v>1091</v>
      </c>
      <c r="B574" s="2">
        <v>46041</v>
      </c>
      <c r="C574" t="s">
        <v>523</v>
      </c>
      <c r="D574" t="s">
        <v>108</v>
      </c>
      <c r="E574" t="s">
        <v>43</v>
      </c>
      <c r="F574">
        <v>19</v>
      </c>
      <c r="G574" t="s">
        <v>44</v>
      </c>
      <c r="H574" t="s">
        <v>31</v>
      </c>
      <c r="I574" t="s">
        <v>44</v>
      </c>
      <c r="J574" t="s">
        <v>53</v>
      </c>
      <c r="K574">
        <v>2</v>
      </c>
      <c r="L574">
        <v>7461</v>
      </c>
      <c r="M574">
        <v>5</v>
      </c>
      <c r="N574">
        <v>746.1</v>
      </c>
      <c r="O574">
        <v>2551.66</v>
      </c>
      <c r="P574">
        <v>462</v>
      </c>
      <c r="Q574">
        <v>17189.560000000001</v>
      </c>
      <c r="R574" t="s">
        <v>54</v>
      </c>
      <c r="S574" t="s">
        <v>63</v>
      </c>
      <c r="T574" t="s">
        <v>84</v>
      </c>
      <c r="U574" t="s">
        <v>85</v>
      </c>
      <c r="V574" t="s">
        <v>86</v>
      </c>
      <c r="W574">
        <v>4</v>
      </c>
      <c r="X574" t="s">
        <v>47</v>
      </c>
      <c r="Y574">
        <v>5</v>
      </c>
      <c r="Z574" t="s">
        <v>91</v>
      </c>
    </row>
    <row r="575" spans="1:26" x14ac:dyDescent="0.3">
      <c r="A575" t="s">
        <v>1092</v>
      </c>
      <c r="B575" s="2">
        <v>45764</v>
      </c>
      <c r="C575" t="s">
        <v>257</v>
      </c>
      <c r="D575" t="s">
        <v>89</v>
      </c>
      <c r="E575" t="s">
        <v>29</v>
      </c>
      <c r="F575">
        <v>26</v>
      </c>
      <c r="G575" t="s">
        <v>94</v>
      </c>
      <c r="H575" t="s">
        <v>31</v>
      </c>
      <c r="I575" t="s">
        <v>94</v>
      </c>
      <c r="J575" t="s">
        <v>201</v>
      </c>
      <c r="K575">
        <v>4</v>
      </c>
      <c r="L575">
        <v>34693</v>
      </c>
      <c r="M575">
        <v>20</v>
      </c>
      <c r="N575">
        <v>27754.400000000001</v>
      </c>
      <c r="O575">
        <v>19983.169999999998</v>
      </c>
      <c r="P575">
        <v>92</v>
      </c>
      <c r="Q575">
        <v>131092.76999999999</v>
      </c>
      <c r="R575" t="s">
        <v>83</v>
      </c>
      <c r="S575" t="s">
        <v>34</v>
      </c>
      <c r="T575" t="s">
        <v>35</v>
      </c>
      <c r="U575" t="s">
        <v>36</v>
      </c>
      <c r="V575" t="s">
        <v>37</v>
      </c>
      <c r="W575">
        <v>6</v>
      </c>
      <c r="X575" t="s">
        <v>47</v>
      </c>
      <c r="Y575">
        <v>3</v>
      </c>
      <c r="Z575" t="s">
        <v>91</v>
      </c>
    </row>
    <row r="576" spans="1:26" x14ac:dyDescent="0.3">
      <c r="A576" t="s">
        <v>1093</v>
      </c>
      <c r="B576" s="2">
        <v>45875</v>
      </c>
      <c r="C576" t="s">
        <v>314</v>
      </c>
      <c r="D576" t="s">
        <v>50</v>
      </c>
      <c r="E576" t="s">
        <v>43</v>
      </c>
      <c r="F576">
        <v>29</v>
      </c>
      <c r="G576" t="s">
        <v>90</v>
      </c>
      <c r="H576" t="s">
        <v>31</v>
      </c>
      <c r="I576" t="s">
        <v>90</v>
      </c>
      <c r="J576" t="s">
        <v>112</v>
      </c>
      <c r="K576">
        <v>1</v>
      </c>
      <c r="L576">
        <v>32825</v>
      </c>
      <c r="M576">
        <v>10</v>
      </c>
      <c r="N576">
        <v>3282.5</v>
      </c>
      <c r="O576">
        <v>5317.65</v>
      </c>
      <c r="P576">
        <v>116</v>
      </c>
      <c r="Q576">
        <v>34976.15</v>
      </c>
      <c r="R576" t="s">
        <v>45</v>
      </c>
      <c r="S576" t="s">
        <v>63</v>
      </c>
      <c r="T576" t="s">
        <v>103</v>
      </c>
      <c r="U576" t="s">
        <v>103</v>
      </c>
      <c r="V576" t="s">
        <v>57</v>
      </c>
      <c r="W576">
        <v>7</v>
      </c>
      <c r="X576" t="s">
        <v>47</v>
      </c>
      <c r="Y576">
        <v>4</v>
      </c>
      <c r="Z576" t="s">
        <v>39</v>
      </c>
    </row>
    <row r="577" spans="1:26" x14ac:dyDescent="0.3">
      <c r="A577" t="s">
        <v>1094</v>
      </c>
      <c r="B577" s="2">
        <v>45786</v>
      </c>
      <c r="C577" t="s">
        <v>808</v>
      </c>
      <c r="D577" t="s">
        <v>42</v>
      </c>
      <c r="E577" t="s">
        <v>29</v>
      </c>
      <c r="F577">
        <v>33</v>
      </c>
      <c r="G577" t="s">
        <v>44</v>
      </c>
      <c r="H577" t="s">
        <v>31</v>
      </c>
      <c r="I577" t="s">
        <v>44</v>
      </c>
      <c r="J577" t="s">
        <v>112</v>
      </c>
      <c r="K577">
        <v>3</v>
      </c>
      <c r="L577">
        <v>10600</v>
      </c>
      <c r="M577">
        <v>20</v>
      </c>
      <c r="N577">
        <v>6360</v>
      </c>
      <c r="O577">
        <v>4579.2</v>
      </c>
      <c r="P577">
        <v>129</v>
      </c>
      <c r="Q577">
        <v>30148.2</v>
      </c>
      <c r="R577" t="s">
        <v>83</v>
      </c>
      <c r="S577" t="s">
        <v>34</v>
      </c>
      <c r="T577" t="s">
        <v>55</v>
      </c>
      <c r="U577" t="s">
        <v>56</v>
      </c>
      <c r="V577" t="s">
        <v>57</v>
      </c>
      <c r="W577">
        <v>10</v>
      </c>
      <c r="X577" t="s">
        <v>47</v>
      </c>
      <c r="Y577">
        <v>2</v>
      </c>
      <c r="Z577" t="s">
        <v>91</v>
      </c>
    </row>
    <row r="578" spans="1:26" x14ac:dyDescent="0.3">
      <c r="A578" t="s">
        <v>1095</v>
      </c>
      <c r="B578" s="2">
        <v>46008</v>
      </c>
      <c r="C578" t="s">
        <v>160</v>
      </c>
      <c r="D578" t="s">
        <v>61</v>
      </c>
      <c r="E578" t="s">
        <v>29</v>
      </c>
      <c r="F578">
        <v>50</v>
      </c>
      <c r="G578" t="s">
        <v>67</v>
      </c>
      <c r="H578" t="s">
        <v>68</v>
      </c>
      <c r="I578" t="s">
        <v>67</v>
      </c>
      <c r="J578" t="s">
        <v>53</v>
      </c>
      <c r="K578">
        <v>3</v>
      </c>
      <c r="L578">
        <v>36848</v>
      </c>
      <c r="M578">
        <v>5</v>
      </c>
      <c r="N578">
        <v>5527.2</v>
      </c>
      <c r="O578">
        <v>18903.02</v>
      </c>
      <c r="P578">
        <v>368</v>
      </c>
      <c r="Q578">
        <v>124287.82</v>
      </c>
      <c r="R578" t="s">
        <v>45</v>
      </c>
      <c r="S578" t="s">
        <v>63</v>
      </c>
      <c r="T578" t="s">
        <v>55</v>
      </c>
      <c r="U578" t="s">
        <v>56</v>
      </c>
      <c r="V578" t="s">
        <v>57</v>
      </c>
      <c r="W578">
        <v>3</v>
      </c>
      <c r="X578" t="s">
        <v>38</v>
      </c>
      <c r="Y578">
        <v>1</v>
      </c>
      <c r="Z578" t="s">
        <v>58</v>
      </c>
    </row>
    <row r="579" spans="1:26" x14ac:dyDescent="0.3">
      <c r="A579" t="s">
        <v>1096</v>
      </c>
      <c r="B579" s="2">
        <v>45936</v>
      </c>
      <c r="C579" t="s">
        <v>1097</v>
      </c>
      <c r="D579" t="s">
        <v>80</v>
      </c>
      <c r="E579" t="s">
        <v>43</v>
      </c>
      <c r="F579">
        <v>32</v>
      </c>
      <c r="G579" t="s">
        <v>67</v>
      </c>
      <c r="H579" t="s">
        <v>68</v>
      </c>
      <c r="I579" t="s">
        <v>67</v>
      </c>
      <c r="J579" t="s">
        <v>112</v>
      </c>
      <c r="K579">
        <v>3</v>
      </c>
      <c r="L579">
        <v>35709</v>
      </c>
      <c r="M579">
        <v>0</v>
      </c>
      <c r="N579">
        <v>0</v>
      </c>
      <c r="O579">
        <v>19282.86</v>
      </c>
      <c r="P579">
        <v>36</v>
      </c>
      <c r="Q579">
        <v>126445.86</v>
      </c>
      <c r="R579" t="s">
        <v>33</v>
      </c>
      <c r="S579" t="s">
        <v>34</v>
      </c>
      <c r="T579" t="s">
        <v>103</v>
      </c>
      <c r="U579" t="s">
        <v>103</v>
      </c>
      <c r="V579" t="s">
        <v>57</v>
      </c>
      <c r="W579">
        <v>7</v>
      </c>
      <c r="X579" t="s">
        <v>38</v>
      </c>
      <c r="Y579">
        <v>4</v>
      </c>
      <c r="Z579" t="s">
        <v>91</v>
      </c>
    </row>
    <row r="580" spans="1:26" x14ac:dyDescent="0.3">
      <c r="A580" t="s">
        <v>1098</v>
      </c>
      <c r="B580" s="2">
        <v>46070</v>
      </c>
      <c r="C580" t="s">
        <v>713</v>
      </c>
      <c r="D580" t="s">
        <v>61</v>
      </c>
      <c r="E580" t="s">
        <v>43</v>
      </c>
      <c r="F580">
        <v>27</v>
      </c>
      <c r="G580" t="s">
        <v>90</v>
      </c>
      <c r="H580" t="s">
        <v>31</v>
      </c>
      <c r="I580" t="s">
        <v>90</v>
      </c>
      <c r="J580" t="s">
        <v>125</v>
      </c>
      <c r="K580">
        <v>4</v>
      </c>
      <c r="L580">
        <v>20644</v>
      </c>
      <c r="M580">
        <v>5</v>
      </c>
      <c r="N580">
        <v>4128.8</v>
      </c>
      <c r="O580">
        <v>14120.5</v>
      </c>
      <c r="P580">
        <v>344</v>
      </c>
      <c r="Q580">
        <v>92911.7</v>
      </c>
      <c r="R580" t="s">
        <v>83</v>
      </c>
      <c r="S580" t="s">
        <v>63</v>
      </c>
      <c r="T580" t="s">
        <v>70</v>
      </c>
      <c r="U580" t="s">
        <v>56</v>
      </c>
      <c r="V580" t="s">
        <v>57</v>
      </c>
      <c r="W580">
        <v>6</v>
      </c>
      <c r="X580" t="s">
        <v>38</v>
      </c>
      <c r="Y580">
        <v>3</v>
      </c>
      <c r="Z580" t="s">
        <v>91</v>
      </c>
    </row>
    <row r="581" spans="1:26" x14ac:dyDescent="0.3">
      <c r="A581" t="s">
        <v>1099</v>
      </c>
      <c r="B581" s="2">
        <v>46005</v>
      </c>
      <c r="C581" t="s">
        <v>1100</v>
      </c>
      <c r="D581" t="s">
        <v>42</v>
      </c>
      <c r="E581" t="s">
        <v>43</v>
      </c>
      <c r="F581">
        <v>40</v>
      </c>
      <c r="G581" t="s">
        <v>30</v>
      </c>
      <c r="H581" t="s">
        <v>31</v>
      </c>
      <c r="I581" t="s">
        <v>30</v>
      </c>
      <c r="J581" t="s">
        <v>150</v>
      </c>
      <c r="K581">
        <v>2</v>
      </c>
      <c r="L581">
        <v>6782</v>
      </c>
      <c r="M581">
        <v>10</v>
      </c>
      <c r="N581">
        <v>1356.4</v>
      </c>
      <c r="O581">
        <v>2197.37</v>
      </c>
      <c r="P581">
        <v>59</v>
      </c>
      <c r="Q581">
        <v>14463.97</v>
      </c>
      <c r="R581" t="s">
        <v>83</v>
      </c>
      <c r="S581" t="s">
        <v>34</v>
      </c>
      <c r="T581" t="s">
        <v>95</v>
      </c>
      <c r="U581" t="s">
        <v>96</v>
      </c>
      <c r="V581" t="s">
        <v>57</v>
      </c>
      <c r="W581">
        <v>2</v>
      </c>
      <c r="X581" t="s">
        <v>38</v>
      </c>
      <c r="Y581">
        <v>1</v>
      </c>
      <c r="Z581" t="s">
        <v>39</v>
      </c>
    </row>
    <row r="582" spans="1:26" x14ac:dyDescent="0.3">
      <c r="A582" t="s">
        <v>1101</v>
      </c>
      <c r="B582" s="2">
        <v>46105</v>
      </c>
      <c r="C582" t="s">
        <v>1102</v>
      </c>
      <c r="D582" t="s">
        <v>42</v>
      </c>
      <c r="E582" t="s">
        <v>43</v>
      </c>
      <c r="F582">
        <v>33</v>
      </c>
      <c r="G582" t="s">
        <v>99</v>
      </c>
      <c r="H582" t="s">
        <v>52</v>
      </c>
      <c r="I582" t="s">
        <v>99</v>
      </c>
      <c r="J582" t="s">
        <v>125</v>
      </c>
      <c r="K582">
        <v>3</v>
      </c>
      <c r="L582">
        <v>30995</v>
      </c>
      <c r="M582">
        <v>5</v>
      </c>
      <c r="N582">
        <v>4649.25</v>
      </c>
      <c r="O582">
        <v>15900.43</v>
      </c>
      <c r="P582">
        <v>207</v>
      </c>
      <c r="Q582">
        <v>104443.18</v>
      </c>
      <c r="R582" t="s">
        <v>45</v>
      </c>
      <c r="S582" t="s">
        <v>63</v>
      </c>
      <c r="T582" t="s">
        <v>55</v>
      </c>
      <c r="U582" t="s">
        <v>56</v>
      </c>
      <c r="V582" t="s">
        <v>57</v>
      </c>
      <c r="W582">
        <v>6</v>
      </c>
      <c r="X582" t="s">
        <v>38</v>
      </c>
      <c r="Y582">
        <v>5</v>
      </c>
      <c r="Z582" t="s">
        <v>91</v>
      </c>
    </row>
    <row r="583" spans="1:26" x14ac:dyDescent="0.3">
      <c r="A583" t="s">
        <v>1103</v>
      </c>
      <c r="B583" s="2">
        <v>45929</v>
      </c>
      <c r="C583" t="s">
        <v>1104</v>
      </c>
      <c r="D583" t="s">
        <v>61</v>
      </c>
      <c r="E583" t="s">
        <v>43</v>
      </c>
      <c r="F583">
        <v>19</v>
      </c>
      <c r="G583" t="s">
        <v>44</v>
      </c>
      <c r="H583" t="s">
        <v>31</v>
      </c>
      <c r="I583" t="s">
        <v>44</v>
      </c>
      <c r="J583" t="s">
        <v>102</v>
      </c>
      <c r="K583">
        <v>1</v>
      </c>
      <c r="L583">
        <v>31065</v>
      </c>
      <c r="M583">
        <v>20</v>
      </c>
      <c r="N583">
        <v>6213</v>
      </c>
      <c r="O583">
        <v>4473.3599999999997</v>
      </c>
      <c r="P583">
        <v>485</v>
      </c>
      <c r="Q583">
        <v>29810.36</v>
      </c>
      <c r="R583" t="s">
        <v>45</v>
      </c>
      <c r="S583" t="s">
        <v>63</v>
      </c>
      <c r="T583" t="s">
        <v>70</v>
      </c>
      <c r="U583" t="s">
        <v>56</v>
      </c>
      <c r="V583" t="s">
        <v>57</v>
      </c>
      <c r="W583">
        <v>8</v>
      </c>
      <c r="X583" t="s">
        <v>47</v>
      </c>
      <c r="Y583">
        <v>4</v>
      </c>
      <c r="Z583" t="s">
        <v>39</v>
      </c>
    </row>
    <row r="584" spans="1:26" x14ac:dyDescent="0.3">
      <c r="A584" t="s">
        <v>1105</v>
      </c>
      <c r="B584" s="2">
        <v>45797</v>
      </c>
      <c r="C584" t="s">
        <v>625</v>
      </c>
      <c r="D584" t="s">
        <v>50</v>
      </c>
      <c r="E584" t="s">
        <v>43</v>
      </c>
      <c r="F584">
        <v>23</v>
      </c>
      <c r="G584" t="s">
        <v>51</v>
      </c>
      <c r="H584" t="s">
        <v>52</v>
      </c>
      <c r="I584" t="s">
        <v>51</v>
      </c>
      <c r="J584" t="s">
        <v>112</v>
      </c>
      <c r="K584">
        <v>4</v>
      </c>
      <c r="L584">
        <v>25638</v>
      </c>
      <c r="M584">
        <v>5</v>
      </c>
      <c r="N584">
        <v>5127.6000000000004</v>
      </c>
      <c r="O584">
        <v>17536.39</v>
      </c>
      <c r="P584">
        <v>105</v>
      </c>
      <c r="Q584">
        <v>115065.79</v>
      </c>
      <c r="R584" t="s">
        <v>33</v>
      </c>
      <c r="S584" t="s">
        <v>63</v>
      </c>
      <c r="T584" t="s">
        <v>70</v>
      </c>
      <c r="U584" t="s">
        <v>56</v>
      </c>
      <c r="V584" t="s">
        <v>57</v>
      </c>
      <c r="W584">
        <v>6</v>
      </c>
      <c r="X584" t="s">
        <v>38</v>
      </c>
      <c r="Y584">
        <v>5</v>
      </c>
      <c r="Z584" t="s">
        <v>91</v>
      </c>
    </row>
    <row r="585" spans="1:26" x14ac:dyDescent="0.3">
      <c r="A585" t="s">
        <v>1106</v>
      </c>
      <c r="B585" s="2">
        <v>45758</v>
      </c>
      <c r="C585" t="s">
        <v>944</v>
      </c>
      <c r="D585" t="s">
        <v>42</v>
      </c>
      <c r="E585" t="s">
        <v>43</v>
      </c>
      <c r="F585">
        <v>44</v>
      </c>
      <c r="G585" t="s">
        <v>51</v>
      </c>
      <c r="H585" t="s">
        <v>52</v>
      </c>
      <c r="I585" t="s">
        <v>51</v>
      </c>
      <c r="J585" t="s">
        <v>201</v>
      </c>
      <c r="K585">
        <v>3</v>
      </c>
      <c r="L585">
        <v>36997</v>
      </c>
      <c r="M585">
        <v>20</v>
      </c>
      <c r="N585">
        <v>22198.2</v>
      </c>
      <c r="O585">
        <v>15982.7</v>
      </c>
      <c r="P585">
        <v>276</v>
      </c>
      <c r="Q585">
        <v>105051.5</v>
      </c>
      <c r="R585" t="s">
        <v>33</v>
      </c>
      <c r="S585" t="s">
        <v>63</v>
      </c>
      <c r="T585" t="s">
        <v>95</v>
      </c>
      <c r="U585" t="s">
        <v>96</v>
      </c>
      <c r="V585" t="s">
        <v>57</v>
      </c>
      <c r="W585">
        <v>7</v>
      </c>
      <c r="X585" t="s">
        <v>47</v>
      </c>
      <c r="Y585">
        <v>2</v>
      </c>
      <c r="Z585" t="s">
        <v>47</v>
      </c>
    </row>
    <row r="586" spans="1:26" x14ac:dyDescent="0.3">
      <c r="A586" t="s">
        <v>1107</v>
      </c>
      <c r="B586" s="2">
        <v>46066</v>
      </c>
      <c r="C586" t="s">
        <v>266</v>
      </c>
      <c r="D586" t="s">
        <v>61</v>
      </c>
      <c r="E586" t="s">
        <v>29</v>
      </c>
      <c r="F586">
        <v>57</v>
      </c>
      <c r="G586" t="s">
        <v>99</v>
      </c>
      <c r="H586" t="s">
        <v>52</v>
      </c>
      <c r="I586" t="s">
        <v>99</v>
      </c>
      <c r="J586" t="s">
        <v>125</v>
      </c>
      <c r="K586">
        <v>2</v>
      </c>
      <c r="L586">
        <v>22302</v>
      </c>
      <c r="M586">
        <v>0</v>
      </c>
      <c r="N586">
        <v>0</v>
      </c>
      <c r="O586">
        <v>8028.72</v>
      </c>
      <c r="P586">
        <v>137</v>
      </c>
      <c r="Q586">
        <v>52769.72</v>
      </c>
      <c r="R586" t="s">
        <v>83</v>
      </c>
      <c r="S586" t="s">
        <v>34</v>
      </c>
      <c r="T586" t="s">
        <v>95</v>
      </c>
      <c r="U586" t="s">
        <v>96</v>
      </c>
      <c r="V586" t="s">
        <v>57</v>
      </c>
      <c r="W586">
        <v>9</v>
      </c>
      <c r="X586" t="s">
        <v>47</v>
      </c>
      <c r="Y586">
        <v>2</v>
      </c>
      <c r="Z586" t="s">
        <v>58</v>
      </c>
    </row>
    <row r="587" spans="1:26" x14ac:dyDescent="0.3">
      <c r="A587" t="s">
        <v>1108</v>
      </c>
      <c r="B587" s="2">
        <v>45887</v>
      </c>
      <c r="C587" t="s">
        <v>578</v>
      </c>
      <c r="D587" t="s">
        <v>28</v>
      </c>
      <c r="E587" t="s">
        <v>29</v>
      </c>
      <c r="F587">
        <v>54</v>
      </c>
      <c r="G587" t="s">
        <v>99</v>
      </c>
      <c r="H587" t="s">
        <v>52</v>
      </c>
      <c r="I587" t="s">
        <v>99</v>
      </c>
      <c r="J587" t="s">
        <v>69</v>
      </c>
      <c r="K587">
        <v>4</v>
      </c>
      <c r="L587">
        <v>27890</v>
      </c>
      <c r="M587">
        <v>5</v>
      </c>
      <c r="N587">
        <v>5578</v>
      </c>
      <c r="O587">
        <v>19076.759999999998</v>
      </c>
      <c r="P587">
        <v>263</v>
      </c>
      <c r="Q587">
        <v>125321.76</v>
      </c>
      <c r="R587" t="s">
        <v>83</v>
      </c>
      <c r="S587" t="s">
        <v>63</v>
      </c>
      <c r="T587" t="s">
        <v>76</v>
      </c>
      <c r="U587" t="s">
        <v>77</v>
      </c>
      <c r="V587" t="s">
        <v>57</v>
      </c>
      <c r="W587">
        <v>4</v>
      </c>
      <c r="X587" t="s">
        <v>38</v>
      </c>
      <c r="Y587">
        <v>5</v>
      </c>
      <c r="Z587" t="s">
        <v>91</v>
      </c>
    </row>
    <row r="588" spans="1:26" x14ac:dyDescent="0.3">
      <c r="A588" t="s">
        <v>1109</v>
      </c>
      <c r="B588" s="2">
        <v>46092</v>
      </c>
      <c r="C588" t="s">
        <v>1110</v>
      </c>
      <c r="D588" t="s">
        <v>50</v>
      </c>
      <c r="E588" t="s">
        <v>43</v>
      </c>
      <c r="F588">
        <v>43</v>
      </c>
      <c r="G588" t="s">
        <v>99</v>
      </c>
      <c r="H588" t="s">
        <v>52</v>
      </c>
      <c r="I588" t="s">
        <v>99</v>
      </c>
      <c r="J588" t="s">
        <v>53</v>
      </c>
      <c r="K588">
        <v>1</v>
      </c>
      <c r="L588">
        <v>3325</v>
      </c>
      <c r="M588">
        <v>15</v>
      </c>
      <c r="N588">
        <v>498.75</v>
      </c>
      <c r="O588">
        <v>508.72</v>
      </c>
      <c r="P588">
        <v>182</v>
      </c>
      <c r="Q588">
        <v>3516.97</v>
      </c>
      <c r="R588" t="s">
        <v>33</v>
      </c>
      <c r="S588" t="s">
        <v>63</v>
      </c>
      <c r="T588" t="s">
        <v>103</v>
      </c>
      <c r="U588" t="s">
        <v>103</v>
      </c>
      <c r="V588" t="s">
        <v>57</v>
      </c>
      <c r="W588">
        <v>6</v>
      </c>
      <c r="X588" t="s">
        <v>47</v>
      </c>
      <c r="Y588">
        <v>5</v>
      </c>
      <c r="Z588" t="s">
        <v>47</v>
      </c>
    </row>
    <row r="589" spans="1:26" x14ac:dyDescent="0.3">
      <c r="A589" t="s">
        <v>1111</v>
      </c>
      <c r="B589" s="2">
        <v>45841</v>
      </c>
      <c r="C589" t="s">
        <v>629</v>
      </c>
      <c r="D589" t="s">
        <v>73</v>
      </c>
      <c r="E589" t="s">
        <v>43</v>
      </c>
      <c r="F589">
        <v>42</v>
      </c>
      <c r="G589" t="s">
        <v>44</v>
      </c>
      <c r="H589" t="s">
        <v>31</v>
      </c>
      <c r="I589" t="s">
        <v>44</v>
      </c>
      <c r="J589" t="s">
        <v>201</v>
      </c>
      <c r="K589">
        <v>1</v>
      </c>
      <c r="L589">
        <v>46035</v>
      </c>
      <c r="M589">
        <v>0</v>
      </c>
      <c r="N589">
        <v>0</v>
      </c>
      <c r="O589">
        <v>8286.2999999999993</v>
      </c>
      <c r="P589">
        <v>39</v>
      </c>
      <c r="Q589">
        <v>54360.3</v>
      </c>
      <c r="R589" t="s">
        <v>33</v>
      </c>
      <c r="S589" t="s">
        <v>63</v>
      </c>
      <c r="T589" t="s">
        <v>84</v>
      </c>
      <c r="U589" t="s">
        <v>85</v>
      </c>
      <c r="V589" t="s">
        <v>86</v>
      </c>
      <c r="W589">
        <v>2</v>
      </c>
      <c r="X589" t="s">
        <v>38</v>
      </c>
      <c r="Y589">
        <v>2</v>
      </c>
      <c r="Z589" t="s">
        <v>47</v>
      </c>
    </row>
    <row r="590" spans="1:26" x14ac:dyDescent="0.3">
      <c r="A590" t="s">
        <v>1112</v>
      </c>
      <c r="B590" s="2">
        <v>45905</v>
      </c>
      <c r="C590" t="s">
        <v>1113</v>
      </c>
      <c r="D590" t="s">
        <v>89</v>
      </c>
      <c r="E590" t="s">
        <v>43</v>
      </c>
      <c r="F590">
        <v>26</v>
      </c>
      <c r="G590" t="s">
        <v>44</v>
      </c>
      <c r="H590" t="s">
        <v>31</v>
      </c>
      <c r="I590" t="s">
        <v>44</v>
      </c>
      <c r="J590" t="s">
        <v>69</v>
      </c>
      <c r="K590">
        <v>4</v>
      </c>
      <c r="L590">
        <v>43793</v>
      </c>
      <c r="M590">
        <v>0</v>
      </c>
      <c r="N590">
        <v>0</v>
      </c>
      <c r="O590">
        <v>31530.959999999999</v>
      </c>
      <c r="P590">
        <v>187</v>
      </c>
      <c r="Q590">
        <v>206889.96</v>
      </c>
      <c r="R590" t="s">
        <v>33</v>
      </c>
      <c r="S590" t="s">
        <v>63</v>
      </c>
      <c r="T590" t="s">
        <v>103</v>
      </c>
      <c r="U590" t="s">
        <v>103</v>
      </c>
      <c r="V590" t="s">
        <v>57</v>
      </c>
      <c r="W590">
        <v>2</v>
      </c>
      <c r="X590" t="s">
        <v>38</v>
      </c>
      <c r="Y590">
        <v>5</v>
      </c>
      <c r="Z590" t="s">
        <v>47</v>
      </c>
    </row>
    <row r="591" spans="1:26" x14ac:dyDescent="0.3">
      <c r="A591" t="s">
        <v>1114</v>
      </c>
      <c r="B591" s="2">
        <v>45950</v>
      </c>
      <c r="C591" t="s">
        <v>312</v>
      </c>
      <c r="D591" t="s">
        <v>80</v>
      </c>
      <c r="E591" t="s">
        <v>43</v>
      </c>
      <c r="F591">
        <v>51</v>
      </c>
      <c r="G591" t="s">
        <v>51</v>
      </c>
      <c r="H591" t="s">
        <v>52</v>
      </c>
      <c r="I591" t="s">
        <v>51</v>
      </c>
      <c r="J591" t="s">
        <v>75</v>
      </c>
      <c r="K591">
        <v>1</v>
      </c>
      <c r="L591">
        <v>36558</v>
      </c>
      <c r="M591">
        <v>10</v>
      </c>
      <c r="N591">
        <v>3655.8</v>
      </c>
      <c r="O591">
        <v>5922.4</v>
      </c>
      <c r="P591">
        <v>204</v>
      </c>
      <c r="Q591">
        <v>39028.6</v>
      </c>
      <c r="R591" t="s">
        <v>33</v>
      </c>
      <c r="S591" t="s">
        <v>34</v>
      </c>
      <c r="T591" t="s">
        <v>103</v>
      </c>
      <c r="U591" t="s">
        <v>103</v>
      </c>
      <c r="V591" t="s">
        <v>57</v>
      </c>
      <c r="W591">
        <v>10</v>
      </c>
      <c r="X591" t="s">
        <v>47</v>
      </c>
      <c r="Y591">
        <v>2</v>
      </c>
      <c r="Z591" t="s">
        <v>39</v>
      </c>
    </row>
    <row r="592" spans="1:26" x14ac:dyDescent="0.3">
      <c r="A592" t="s">
        <v>1115</v>
      </c>
      <c r="B592" s="2">
        <v>46039</v>
      </c>
      <c r="C592" t="s">
        <v>355</v>
      </c>
      <c r="D592" t="s">
        <v>66</v>
      </c>
      <c r="E592" t="s">
        <v>29</v>
      </c>
      <c r="F592">
        <v>22</v>
      </c>
      <c r="G592" t="s">
        <v>74</v>
      </c>
      <c r="H592" t="s">
        <v>31</v>
      </c>
      <c r="I592" t="s">
        <v>74</v>
      </c>
      <c r="J592" t="s">
        <v>75</v>
      </c>
      <c r="K592">
        <v>1</v>
      </c>
      <c r="L592">
        <v>11976</v>
      </c>
      <c r="M592">
        <v>10</v>
      </c>
      <c r="N592">
        <v>1197.5999999999999</v>
      </c>
      <c r="O592">
        <v>1940.11</v>
      </c>
      <c r="P592">
        <v>188</v>
      </c>
      <c r="Q592">
        <v>12906.51</v>
      </c>
      <c r="R592" t="s">
        <v>83</v>
      </c>
      <c r="S592" t="s">
        <v>63</v>
      </c>
      <c r="T592" t="s">
        <v>46</v>
      </c>
      <c r="U592" t="s">
        <v>36</v>
      </c>
      <c r="V592" t="s">
        <v>37</v>
      </c>
      <c r="W592">
        <v>9</v>
      </c>
      <c r="X592" t="s">
        <v>47</v>
      </c>
      <c r="Y592">
        <v>3</v>
      </c>
      <c r="Z592" t="s">
        <v>91</v>
      </c>
    </row>
    <row r="593" spans="1:26" x14ac:dyDescent="0.3">
      <c r="A593" t="s">
        <v>1116</v>
      </c>
      <c r="B593" s="2">
        <v>45773</v>
      </c>
      <c r="C593" t="s">
        <v>1117</v>
      </c>
      <c r="D593" t="s">
        <v>61</v>
      </c>
      <c r="E593" t="s">
        <v>43</v>
      </c>
      <c r="F593">
        <v>33</v>
      </c>
      <c r="G593" t="s">
        <v>74</v>
      </c>
      <c r="H593" t="s">
        <v>31</v>
      </c>
      <c r="I593" t="s">
        <v>74</v>
      </c>
      <c r="J593" t="s">
        <v>69</v>
      </c>
      <c r="K593">
        <v>2</v>
      </c>
      <c r="L593">
        <v>30404</v>
      </c>
      <c r="M593">
        <v>15</v>
      </c>
      <c r="N593">
        <v>9121.2000000000007</v>
      </c>
      <c r="O593">
        <v>9303.6200000000008</v>
      </c>
      <c r="P593">
        <v>243</v>
      </c>
      <c r="Q593">
        <v>61233.42</v>
      </c>
      <c r="R593" t="s">
        <v>54</v>
      </c>
      <c r="S593" t="s">
        <v>63</v>
      </c>
      <c r="T593" t="s">
        <v>84</v>
      </c>
      <c r="U593" t="s">
        <v>85</v>
      </c>
      <c r="V593" t="s">
        <v>86</v>
      </c>
      <c r="W593">
        <v>6</v>
      </c>
      <c r="X593" t="s">
        <v>47</v>
      </c>
      <c r="Y593">
        <v>2</v>
      </c>
      <c r="Z593" t="s">
        <v>47</v>
      </c>
    </row>
    <row r="594" spans="1:26" x14ac:dyDescent="0.3">
      <c r="A594" t="s">
        <v>1118</v>
      </c>
      <c r="B594" s="2">
        <v>46007</v>
      </c>
      <c r="C594" t="s">
        <v>1065</v>
      </c>
      <c r="D594" t="s">
        <v>111</v>
      </c>
      <c r="E594" t="s">
        <v>43</v>
      </c>
      <c r="F594">
        <v>35</v>
      </c>
      <c r="G594" t="s">
        <v>134</v>
      </c>
      <c r="H594" t="s">
        <v>31</v>
      </c>
      <c r="I594" t="s">
        <v>134</v>
      </c>
      <c r="J594" t="s">
        <v>62</v>
      </c>
      <c r="K594">
        <v>5</v>
      </c>
      <c r="L594">
        <v>19190</v>
      </c>
      <c r="M594">
        <v>15</v>
      </c>
      <c r="N594">
        <v>14392.5</v>
      </c>
      <c r="O594">
        <v>14680.35</v>
      </c>
      <c r="P594">
        <v>285</v>
      </c>
      <c r="Q594">
        <v>96522.85</v>
      </c>
      <c r="R594" t="s">
        <v>54</v>
      </c>
      <c r="S594" t="s">
        <v>63</v>
      </c>
      <c r="T594" t="s">
        <v>84</v>
      </c>
      <c r="U594" t="s">
        <v>85</v>
      </c>
      <c r="V594" t="s">
        <v>86</v>
      </c>
      <c r="W594">
        <v>2</v>
      </c>
      <c r="X594" t="s">
        <v>47</v>
      </c>
      <c r="Y594">
        <v>2</v>
      </c>
      <c r="Z594" t="s">
        <v>58</v>
      </c>
    </row>
    <row r="595" spans="1:26" x14ac:dyDescent="0.3">
      <c r="A595" t="s">
        <v>1119</v>
      </c>
      <c r="B595" s="2">
        <v>45909</v>
      </c>
      <c r="C595" t="s">
        <v>822</v>
      </c>
      <c r="D595" t="s">
        <v>73</v>
      </c>
      <c r="E595" t="s">
        <v>43</v>
      </c>
      <c r="F595">
        <v>44</v>
      </c>
      <c r="G595" t="s">
        <v>90</v>
      </c>
      <c r="H595" t="s">
        <v>31</v>
      </c>
      <c r="I595" t="s">
        <v>90</v>
      </c>
      <c r="J595" t="s">
        <v>150</v>
      </c>
      <c r="K595">
        <v>2</v>
      </c>
      <c r="L595">
        <v>13865</v>
      </c>
      <c r="M595">
        <v>15</v>
      </c>
      <c r="N595">
        <v>4159.5</v>
      </c>
      <c r="O595">
        <v>4242.6899999999996</v>
      </c>
      <c r="P595">
        <v>362</v>
      </c>
      <c r="Q595">
        <v>28175.19</v>
      </c>
      <c r="R595" t="s">
        <v>33</v>
      </c>
      <c r="S595" t="s">
        <v>63</v>
      </c>
      <c r="T595" t="s">
        <v>95</v>
      </c>
      <c r="U595" t="s">
        <v>96</v>
      </c>
      <c r="V595" t="s">
        <v>57</v>
      </c>
      <c r="W595">
        <v>4</v>
      </c>
      <c r="X595" t="s">
        <v>38</v>
      </c>
      <c r="Y595">
        <v>1</v>
      </c>
      <c r="Z595" t="s">
        <v>58</v>
      </c>
    </row>
    <row r="596" spans="1:26" x14ac:dyDescent="0.3">
      <c r="A596" t="s">
        <v>1120</v>
      </c>
      <c r="B596" s="2">
        <v>46058</v>
      </c>
      <c r="C596" t="s">
        <v>392</v>
      </c>
      <c r="D596" t="s">
        <v>80</v>
      </c>
      <c r="E596" t="s">
        <v>43</v>
      </c>
      <c r="F596">
        <v>20</v>
      </c>
      <c r="G596" t="s">
        <v>94</v>
      </c>
      <c r="H596" t="s">
        <v>31</v>
      </c>
      <c r="I596" t="s">
        <v>94</v>
      </c>
      <c r="J596" t="s">
        <v>75</v>
      </c>
      <c r="K596">
        <v>5</v>
      </c>
      <c r="L596">
        <v>45732</v>
      </c>
      <c r="M596">
        <v>20</v>
      </c>
      <c r="N596">
        <v>45732</v>
      </c>
      <c r="O596">
        <v>32927.040000000001</v>
      </c>
      <c r="P596">
        <v>346</v>
      </c>
      <c r="Q596">
        <v>216201.04</v>
      </c>
      <c r="R596" t="s">
        <v>54</v>
      </c>
      <c r="S596" t="s">
        <v>34</v>
      </c>
      <c r="T596" t="s">
        <v>76</v>
      </c>
      <c r="U596" t="s">
        <v>77</v>
      </c>
      <c r="V596" t="s">
        <v>57</v>
      </c>
      <c r="W596">
        <v>6</v>
      </c>
      <c r="X596" t="s">
        <v>38</v>
      </c>
      <c r="Y596">
        <v>5</v>
      </c>
      <c r="Z596" t="s">
        <v>58</v>
      </c>
    </row>
    <row r="597" spans="1:26" x14ac:dyDescent="0.3">
      <c r="A597" t="s">
        <v>1121</v>
      </c>
      <c r="B597" s="2">
        <v>45827</v>
      </c>
      <c r="C597" t="s">
        <v>1122</v>
      </c>
      <c r="D597" t="s">
        <v>80</v>
      </c>
      <c r="E597" t="s">
        <v>29</v>
      </c>
      <c r="F597">
        <v>37</v>
      </c>
      <c r="G597" t="s">
        <v>134</v>
      </c>
      <c r="H597" t="s">
        <v>31</v>
      </c>
      <c r="I597" t="s">
        <v>134</v>
      </c>
      <c r="J597" t="s">
        <v>53</v>
      </c>
      <c r="K597">
        <v>3</v>
      </c>
      <c r="L597">
        <v>13690</v>
      </c>
      <c r="M597">
        <v>0</v>
      </c>
      <c r="N597">
        <v>0</v>
      </c>
      <c r="O597">
        <v>7392.6</v>
      </c>
      <c r="P597">
        <v>496</v>
      </c>
      <c r="Q597">
        <v>48958.6</v>
      </c>
      <c r="R597" t="s">
        <v>33</v>
      </c>
      <c r="S597" t="s">
        <v>34</v>
      </c>
      <c r="T597" t="s">
        <v>55</v>
      </c>
      <c r="U597" t="s">
        <v>56</v>
      </c>
      <c r="V597" t="s">
        <v>57</v>
      </c>
      <c r="W597">
        <v>8</v>
      </c>
      <c r="X597" t="s">
        <v>38</v>
      </c>
      <c r="Y597">
        <v>4</v>
      </c>
      <c r="Z597" t="s">
        <v>91</v>
      </c>
    </row>
    <row r="598" spans="1:26" x14ac:dyDescent="0.3">
      <c r="A598" t="s">
        <v>1123</v>
      </c>
      <c r="B598" s="2">
        <v>46063</v>
      </c>
      <c r="C598" t="s">
        <v>1124</v>
      </c>
      <c r="D598" t="s">
        <v>108</v>
      </c>
      <c r="E598" t="s">
        <v>29</v>
      </c>
      <c r="F598">
        <v>47</v>
      </c>
      <c r="G598" t="s">
        <v>94</v>
      </c>
      <c r="H598" t="s">
        <v>31</v>
      </c>
      <c r="I598" t="s">
        <v>94</v>
      </c>
      <c r="J598" t="s">
        <v>150</v>
      </c>
      <c r="K598">
        <v>5</v>
      </c>
      <c r="L598">
        <v>35073</v>
      </c>
      <c r="M598">
        <v>5</v>
      </c>
      <c r="N598">
        <v>8768.25</v>
      </c>
      <c r="O598">
        <v>29987.41</v>
      </c>
      <c r="P598">
        <v>32</v>
      </c>
      <c r="Q598">
        <v>196616.17</v>
      </c>
      <c r="R598" t="s">
        <v>83</v>
      </c>
      <c r="S598" t="s">
        <v>34</v>
      </c>
      <c r="T598" t="s">
        <v>46</v>
      </c>
      <c r="U598" t="s">
        <v>36</v>
      </c>
      <c r="V598" t="s">
        <v>37</v>
      </c>
      <c r="W598">
        <v>1</v>
      </c>
      <c r="X598" t="s">
        <v>47</v>
      </c>
      <c r="Y598">
        <v>5</v>
      </c>
      <c r="Z598" t="s">
        <v>39</v>
      </c>
    </row>
    <row r="599" spans="1:26" x14ac:dyDescent="0.3">
      <c r="A599" t="s">
        <v>1125</v>
      </c>
      <c r="B599" s="2">
        <v>45910</v>
      </c>
      <c r="C599" t="s">
        <v>980</v>
      </c>
      <c r="D599" t="s">
        <v>50</v>
      </c>
      <c r="E599" t="s">
        <v>29</v>
      </c>
      <c r="F599">
        <v>56</v>
      </c>
      <c r="G599" t="s">
        <v>94</v>
      </c>
      <c r="H599" t="s">
        <v>31</v>
      </c>
      <c r="I599" t="s">
        <v>94</v>
      </c>
      <c r="J599" t="s">
        <v>102</v>
      </c>
      <c r="K599">
        <v>2</v>
      </c>
      <c r="L599">
        <v>24176</v>
      </c>
      <c r="M599">
        <v>20</v>
      </c>
      <c r="N599">
        <v>9670.4</v>
      </c>
      <c r="O599">
        <v>6962.69</v>
      </c>
      <c r="P599">
        <v>241</v>
      </c>
      <c r="Q599">
        <v>45885.29</v>
      </c>
      <c r="R599" t="s">
        <v>33</v>
      </c>
      <c r="S599" t="s">
        <v>34</v>
      </c>
      <c r="T599" t="s">
        <v>84</v>
      </c>
      <c r="U599" t="s">
        <v>85</v>
      </c>
      <c r="V599" t="s">
        <v>86</v>
      </c>
      <c r="W599">
        <v>10</v>
      </c>
      <c r="X599" t="s">
        <v>47</v>
      </c>
      <c r="Y599">
        <v>3</v>
      </c>
      <c r="Z599" t="s">
        <v>91</v>
      </c>
    </row>
    <row r="600" spans="1:26" x14ac:dyDescent="0.3">
      <c r="A600" t="s">
        <v>1126</v>
      </c>
      <c r="B600" s="2">
        <v>45766</v>
      </c>
      <c r="C600" t="s">
        <v>1127</v>
      </c>
      <c r="D600" t="s">
        <v>108</v>
      </c>
      <c r="E600" t="s">
        <v>29</v>
      </c>
      <c r="F600">
        <v>28</v>
      </c>
      <c r="G600" t="s">
        <v>134</v>
      </c>
      <c r="H600" t="s">
        <v>31</v>
      </c>
      <c r="I600" t="s">
        <v>134</v>
      </c>
      <c r="J600" t="s">
        <v>201</v>
      </c>
      <c r="K600">
        <v>4</v>
      </c>
      <c r="L600">
        <v>3776</v>
      </c>
      <c r="M600">
        <v>5</v>
      </c>
      <c r="N600">
        <v>755.2</v>
      </c>
      <c r="O600">
        <v>2582.7800000000002</v>
      </c>
      <c r="P600">
        <v>358</v>
      </c>
      <c r="Q600">
        <v>17289.580000000002</v>
      </c>
      <c r="R600" t="s">
        <v>54</v>
      </c>
      <c r="S600" t="s">
        <v>34</v>
      </c>
      <c r="T600" t="s">
        <v>84</v>
      </c>
      <c r="U600" t="s">
        <v>85</v>
      </c>
      <c r="V600" t="s">
        <v>86</v>
      </c>
      <c r="W600">
        <v>1</v>
      </c>
      <c r="X600" t="s">
        <v>47</v>
      </c>
      <c r="Y600">
        <v>5</v>
      </c>
      <c r="Z600" t="s">
        <v>91</v>
      </c>
    </row>
    <row r="601" spans="1:26" x14ac:dyDescent="0.3">
      <c r="A601" t="s">
        <v>1128</v>
      </c>
      <c r="B601" s="2">
        <v>45892</v>
      </c>
      <c r="C601" t="s">
        <v>1129</v>
      </c>
      <c r="D601" t="s">
        <v>73</v>
      </c>
      <c r="E601" t="s">
        <v>43</v>
      </c>
      <c r="F601">
        <v>48</v>
      </c>
      <c r="G601" t="s">
        <v>90</v>
      </c>
      <c r="H601" t="s">
        <v>31</v>
      </c>
      <c r="I601" t="s">
        <v>90</v>
      </c>
      <c r="J601" t="s">
        <v>69</v>
      </c>
      <c r="K601">
        <v>2</v>
      </c>
      <c r="L601">
        <v>31074</v>
      </c>
      <c r="M601">
        <v>20</v>
      </c>
      <c r="N601">
        <v>12429.6</v>
      </c>
      <c r="O601">
        <v>8949.31</v>
      </c>
      <c r="P601">
        <v>343</v>
      </c>
      <c r="Q601">
        <v>59010.71</v>
      </c>
      <c r="R601" t="s">
        <v>54</v>
      </c>
      <c r="S601" t="s">
        <v>63</v>
      </c>
      <c r="T601" t="s">
        <v>35</v>
      </c>
      <c r="U601" t="s">
        <v>36</v>
      </c>
      <c r="V601" t="s">
        <v>37</v>
      </c>
      <c r="W601">
        <v>7</v>
      </c>
      <c r="X601" t="s">
        <v>47</v>
      </c>
      <c r="Y601">
        <v>4</v>
      </c>
      <c r="Z601" t="s">
        <v>39</v>
      </c>
    </row>
    <row r="602" spans="1:26" x14ac:dyDescent="0.3">
      <c r="A602" t="s">
        <v>1130</v>
      </c>
      <c r="B602" s="2">
        <v>45790</v>
      </c>
      <c r="C602" t="s">
        <v>1131</v>
      </c>
      <c r="D602" t="s">
        <v>108</v>
      </c>
      <c r="E602" t="s">
        <v>43</v>
      </c>
      <c r="F602">
        <v>55</v>
      </c>
      <c r="G602" t="s">
        <v>44</v>
      </c>
      <c r="H602" t="s">
        <v>31</v>
      </c>
      <c r="I602" t="s">
        <v>44</v>
      </c>
      <c r="J602" t="s">
        <v>201</v>
      </c>
      <c r="K602">
        <v>4</v>
      </c>
      <c r="L602">
        <v>34430</v>
      </c>
      <c r="M602">
        <v>20</v>
      </c>
      <c r="N602">
        <v>27544</v>
      </c>
      <c r="O602">
        <v>19831.68</v>
      </c>
      <c r="P602">
        <v>63</v>
      </c>
      <c r="Q602">
        <v>130070.68</v>
      </c>
      <c r="R602" t="s">
        <v>54</v>
      </c>
      <c r="S602" t="s">
        <v>63</v>
      </c>
      <c r="T602" t="s">
        <v>76</v>
      </c>
      <c r="U602" t="s">
        <v>77</v>
      </c>
      <c r="V602" t="s">
        <v>57</v>
      </c>
      <c r="W602">
        <v>1</v>
      </c>
      <c r="X602" t="s">
        <v>47</v>
      </c>
      <c r="Y602">
        <v>2</v>
      </c>
      <c r="Z602" t="s">
        <v>58</v>
      </c>
    </row>
    <row r="603" spans="1:26" x14ac:dyDescent="0.3">
      <c r="A603" t="s">
        <v>1132</v>
      </c>
      <c r="B603" s="2">
        <v>45810</v>
      </c>
      <c r="C603" t="s">
        <v>346</v>
      </c>
      <c r="D603" t="s">
        <v>50</v>
      </c>
      <c r="E603" t="s">
        <v>29</v>
      </c>
      <c r="F603">
        <v>56</v>
      </c>
      <c r="G603" t="s">
        <v>139</v>
      </c>
      <c r="H603" t="s">
        <v>31</v>
      </c>
      <c r="I603" t="s">
        <v>139</v>
      </c>
      <c r="J603" t="s">
        <v>75</v>
      </c>
      <c r="K603">
        <v>2</v>
      </c>
      <c r="L603">
        <v>39830</v>
      </c>
      <c r="M603">
        <v>10</v>
      </c>
      <c r="N603">
        <v>7966</v>
      </c>
      <c r="O603">
        <v>12904.92</v>
      </c>
      <c r="P603">
        <v>432</v>
      </c>
      <c r="Q603">
        <v>85030.92</v>
      </c>
      <c r="R603" t="s">
        <v>45</v>
      </c>
      <c r="S603" t="s">
        <v>63</v>
      </c>
      <c r="T603" t="s">
        <v>55</v>
      </c>
      <c r="U603" t="s">
        <v>56</v>
      </c>
      <c r="V603" t="s">
        <v>57</v>
      </c>
      <c r="W603">
        <v>8</v>
      </c>
      <c r="X603" t="s">
        <v>47</v>
      </c>
      <c r="Y603">
        <v>2</v>
      </c>
      <c r="Z603" t="s">
        <v>47</v>
      </c>
    </row>
    <row r="604" spans="1:26" x14ac:dyDescent="0.3">
      <c r="A604" t="s">
        <v>1133</v>
      </c>
      <c r="B604" s="2">
        <v>45887</v>
      </c>
      <c r="C604" t="s">
        <v>1134</v>
      </c>
      <c r="D604" t="s">
        <v>61</v>
      </c>
      <c r="E604" t="s">
        <v>29</v>
      </c>
      <c r="F604">
        <v>21</v>
      </c>
      <c r="G604" t="s">
        <v>139</v>
      </c>
      <c r="H604" t="s">
        <v>31</v>
      </c>
      <c r="I604" t="s">
        <v>139</v>
      </c>
      <c r="J604" t="s">
        <v>62</v>
      </c>
      <c r="K604">
        <v>2</v>
      </c>
      <c r="L604">
        <v>41119</v>
      </c>
      <c r="M604">
        <v>5</v>
      </c>
      <c r="N604">
        <v>4111.8999999999996</v>
      </c>
      <c r="O604">
        <v>14062.7</v>
      </c>
      <c r="P604">
        <v>355</v>
      </c>
      <c r="Q604">
        <v>92543.8</v>
      </c>
      <c r="R604" t="s">
        <v>33</v>
      </c>
      <c r="S604" t="s">
        <v>34</v>
      </c>
      <c r="T604" t="s">
        <v>103</v>
      </c>
      <c r="U604" t="s">
        <v>103</v>
      </c>
      <c r="V604" t="s">
        <v>57</v>
      </c>
      <c r="W604">
        <v>7</v>
      </c>
      <c r="X604" t="s">
        <v>47</v>
      </c>
      <c r="Y604">
        <v>3</v>
      </c>
      <c r="Z604" t="s">
        <v>39</v>
      </c>
    </row>
    <row r="605" spans="1:26" x14ac:dyDescent="0.3">
      <c r="A605" t="s">
        <v>1135</v>
      </c>
      <c r="B605" s="2">
        <v>46057</v>
      </c>
      <c r="C605" t="s">
        <v>742</v>
      </c>
      <c r="D605" t="s">
        <v>80</v>
      </c>
      <c r="E605" t="s">
        <v>43</v>
      </c>
      <c r="F605">
        <v>27</v>
      </c>
      <c r="G605" t="s">
        <v>90</v>
      </c>
      <c r="H605" t="s">
        <v>31</v>
      </c>
      <c r="I605" t="s">
        <v>90</v>
      </c>
      <c r="J605" t="s">
        <v>112</v>
      </c>
      <c r="K605">
        <v>2</v>
      </c>
      <c r="L605">
        <v>35061</v>
      </c>
      <c r="M605">
        <v>5</v>
      </c>
      <c r="N605">
        <v>3506.1</v>
      </c>
      <c r="O605">
        <v>11990.86</v>
      </c>
      <c r="P605">
        <v>303</v>
      </c>
      <c r="Q605">
        <v>78909.759999999995</v>
      </c>
      <c r="R605" t="s">
        <v>54</v>
      </c>
      <c r="S605" t="s">
        <v>34</v>
      </c>
      <c r="T605" t="s">
        <v>55</v>
      </c>
      <c r="U605" t="s">
        <v>56</v>
      </c>
      <c r="V605" t="s">
        <v>57</v>
      </c>
      <c r="W605">
        <v>6</v>
      </c>
      <c r="X605" t="s">
        <v>38</v>
      </c>
      <c r="Y605">
        <v>1</v>
      </c>
      <c r="Z605" t="s">
        <v>91</v>
      </c>
    </row>
    <row r="606" spans="1:26" x14ac:dyDescent="0.3">
      <c r="A606" t="s">
        <v>1136</v>
      </c>
      <c r="B606" s="2">
        <v>45967</v>
      </c>
      <c r="C606" t="s">
        <v>1137</v>
      </c>
      <c r="D606" t="s">
        <v>89</v>
      </c>
      <c r="E606" t="s">
        <v>43</v>
      </c>
      <c r="F606">
        <v>25</v>
      </c>
      <c r="G606" t="s">
        <v>30</v>
      </c>
      <c r="H606" t="s">
        <v>31</v>
      </c>
      <c r="I606" t="s">
        <v>30</v>
      </c>
      <c r="J606" t="s">
        <v>62</v>
      </c>
      <c r="K606">
        <v>5</v>
      </c>
      <c r="L606">
        <v>13176</v>
      </c>
      <c r="M606">
        <v>20</v>
      </c>
      <c r="N606">
        <v>13176</v>
      </c>
      <c r="O606">
        <v>9486.7199999999993</v>
      </c>
      <c r="P606">
        <v>109</v>
      </c>
      <c r="Q606">
        <v>62299.72</v>
      </c>
      <c r="R606" t="s">
        <v>45</v>
      </c>
      <c r="S606" t="s">
        <v>63</v>
      </c>
      <c r="T606" t="s">
        <v>46</v>
      </c>
      <c r="U606" t="s">
        <v>36</v>
      </c>
      <c r="V606" t="s">
        <v>37</v>
      </c>
      <c r="W606">
        <v>1</v>
      </c>
      <c r="X606" t="s">
        <v>47</v>
      </c>
      <c r="Y606">
        <v>4</v>
      </c>
      <c r="Z606" t="s">
        <v>58</v>
      </c>
    </row>
    <row r="607" spans="1:26" x14ac:dyDescent="0.3">
      <c r="A607" t="s">
        <v>1138</v>
      </c>
      <c r="B607" s="2">
        <v>45865</v>
      </c>
      <c r="C607" t="s">
        <v>1139</v>
      </c>
      <c r="D607" t="s">
        <v>89</v>
      </c>
      <c r="E607" t="s">
        <v>43</v>
      </c>
      <c r="F607">
        <v>42</v>
      </c>
      <c r="G607" t="s">
        <v>99</v>
      </c>
      <c r="H607" t="s">
        <v>52</v>
      </c>
      <c r="I607" t="s">
        <v>99</v>
      </c>
      <c r="J607" t="s">
        <v>62</v>
      </c>
      <c r="K607">
        <v>5</v>
      </c>
      <c r="L607">
        <v>38288</v>
      </c>
      <c r="M607">
        <v>10</v>
      </c>
      <c r="N607">
        <v>19144</v>
      </c>
      <c r="O607">
        <v>31013.279999999999</v>
      </c>
      <c r="P607">
        <v>33</v>
      </c>
      <c r="Q607">
        <v>203342.28</v>
      </c>
      <c r="R607" t="s">
        <v>33</v>
      </c>
      <c r="S607" t="s">
        <v>63</v>
      </c>
      <c r="T607" t="s">
        <v>55</v>
      </c>
      <c r="U607" t="s">
        <v>56</v>
      </c>
      <c r="V607" t="s">
        <v>57</v>
      </c>
      <c r="W607">
        <v>2</v>
      </c>
      <c r="X607" t="s">
        <v>47</v>
      </c>
      <c r="Y607">
        <v>2</v>
      </c>
      <c r="Z607" t="s">
        <v>91</v>
      </c>
    </row>
    <row r="608" spans="1:26" x14ac:dyDescent="0.3">
      <c r="A608" t="s">
        <v>1140</v>
      </c>
      <c r="B608" s="2">
        <v>45829</v>
      </c>
      <c r="C608" t="s">
        <v>695</v>
      </c>
      <c r="D608" t="s">
        <v>80</v>
      </c>
      <c r="E608" t="s">
        <v>29</v>
      </c>
      <c r="F608">
        <v>23</v>
      </c>
      <c r="G608" t="s">
        <v>51</v>
      </c>
      <c r="H608" t="s">
        <v>52</v>
      </c>
      <c r="I608" t="s">
        <v>51</v>
      </c>
      <c r="J608" t="s">
        <v>32</v>
      </c>
      <c r="K608">
        <v>5</v>
      </c>
      <c r="L608">
        <v>34595</v>
      </c>
      <c r="M608">
        <v>0</v>
      </c>
      <c r="N608">
        <v>0</v>
      </c>
      <c r="O608">
        <v>31135.5</v>
      </c>
      <c r="P608">
        <v>278</v>
      </c>
      <c r="Q608">
        <v>204388.5</v>
      </c>
      <c r="R608" t="s">
        <v>45</v>
      </c>
      <c r="S608" t="s">
        <v>34</v>
      </c>
      <c r="T608" t="s">
        <v>55</v>
      </c>
      <c r="U608" t="s">
        <v>56</v>
      </c>
      <c r="V608" t="s">
        <v>57</v>
      </c>
      <c r="W608">
        <v>7</v>
      </c>
      <c r="X608" t="s">
        <v>47</v>
      </c>
      <c r="Y608">
        <v>4</v>
      </c>
      <c r="Z608" t="s">
        <v>58</v>
      </c>
    </row>
    <row r="609" spans="1:26" x14ac:dyDescent="0.3">
      <c r="A609" t="s">
        <v>1141</v>
      </c>
      <c r="B609" s="2">
        <v>45972</v>
      </c>
      <c r="C609" t="s">
        <v>493</v>
      </c>
      <c r="D609" t="s">
        <v>66</v>
      </c>
      <c r="E609" t="s">
        <v>43</v>
      </c>
      <c r="F609">
        <v>45</v>
      </c>
      <c r="G609" t="s">
        <v>94</v>
      </c>
      <c r="H609" t="s">
        <v>31</v>
      </c>
      <c r="I609" t="s">
        <v>94</v>
      </c>
      <c r="J609" t="s">
        <v>201</v>
      </c>
      <c r="K609">
        <v>4</v>
      </c>
      <c r="L609">
        <v>14803</v>
      </c>
      <c r="M609">
        <v>5</v>
      </c>
      <c r="N609">
        <v>2960.6</v>
      </c>
      <c r="O609">
        <v>10125.25</v>
      </c>
      <c r="P609">
        <v>444</v>
      </c>
      <c r="Q609">
        <v>66820.649999999994</v>
      </c>
      <c r="R609" t="s">
        <v>83</v>
      </c>
      <c r="S609" t="s">
        <v>34</v>
      </c>
      <c r="T609" t="s">
        <v>95</v>
      </c>
      <c r="U609" t="s">
        <v>96</v>
      </c>
      <c r="V609" t="s">
        <v>57</v>
      </c>
      <c r="W609">
        <v>1</v>
      </c>
      <c r="X609" t="s">
        <v>38</v>
      </c>
      <c r="Y609">
        <v>4</v>
      </c>
      <c r="Z609" t="s">
        <v>39</v>
      </c>
    </row>
    <row r="610" spans="1:26" x14ac:dyDescent="0.3">
      <c r="A610" t="s">
        <v>1142</v>
      </c>
      <c r="B610" s="2">
        <v>46095</v>
      </c>
      <c r="C610" t="s">
        <v>1017</v>
      </c>
      <c r="D610" t="s">
        <v>89</v>
      </c>
      <c r="E610" t="s">
        <v>43</v>
      </c>
      <c r="F610">
        <v>23</v>
      </c>
      <c r="G610" t="s">
        <v>99</v>
      </c>
      <c r="H610" t="s">
        <v>52</v>
      </c>
      <c r="I610" t="s">
        <v>99</v>
      </c>
      <c r="J610" t="s">
        <v>201</v>
      </c>
      <c r="K610">
        <v>4</v>
      </c>
      <c r="L610">
        <v>46728</v>
      </c>
      <c r="M610">
        <v>20</v>
      </c>
      <c r="N610">
        <v>37382.400000000001</v>
      </c>
      <c r="O610">
        <v>26915.33</v>
      </c>
      <c r="P610">
        <v>488</v>
      </c>
      <c r="Q610">
        <v>176932.93</v>
      </c>
      <c r="R610" t="s">
        <v>33</v>
      </c>
      <c r="S610" t="s">
        <v>63</v>
      </c>
      <c r="T610" t="s">
        <v>46</v>
      </c>
      <c r="U610" t="s">
        <v>36</v>
      </c>
      <c r="V610" t="s">
        <v>37</v>
      </c>
      <c r="W610">
        <v>6</v>
      </c>
      <c r="X610" t="s">
        <v>38</v>
      </c>
      <c r="Y610">
        <v>3</v>
      </c>
      <c r="Z610" t="s">
        <v>91</v>
      </c>
    </row>
    <row r="611" spans="1:26" x14ac:dyDescent="0.3">
      <c r="A611" t="s">
        <v>1143</v>
      </c>
      <c r="B611" s="2">
        <v>46063</v>
      </c>
      <c r="C611" t="s">
        <v>1087</v>
      </c>
      <c r="D611" t="s">
        <v>80</v>
      </c>
      <c r="E611" t="s">
        <v>43</v>
      </c>
      <c r="F611">
        <v>56</v>
      </c>
      <c r="G611" t="s">
        <v>51</v>
      </c>
      <c r="H611" t="s">
        <v>52</v>
      </c>
      <c r="I611" t="s">
        <v>51</v>
      </c>
      <c r="J611" t="s">
        <v>75</v>
      </c>
      <c r="K611">
        <v>1</v>
      </c>
      <c r="L611">
        <v>27870</v>
      </c>
      <c r="M611">
        <v>10</v>
      </c>
      <c r="N611">
        <v>2787</v>
      </c>
      <c r="O611">
        <v>4514.9399999999996</v>
      </c>
      <c r="P611">
        <v>498</v>
      </c>
      <c r="Q611">
        <v>30095.94</v>
      </c>
      <c r="R611" t="s">
        <v>33</v>
      </c>
      <c r="S611" t="s">
        <v>63</v>
      </c>
      <c r="T611" t="s">
        <v>103</v>
      </c>
      <c r="U611" t="s">
        <v>103</v>
      </c>
      <c r="V611" t="s">
        <v>57</v>
      </c>
      <c r="W611">
        <v>8</v>
      </c>
      <c r="X611" t="s">
        <v>47</v>
      </c>
      <c r="Y611">
        <v>5</v>
      </c>
      <c r="Z611" t="s">
        <v>47</v>
      </c>
    </row>
    <row r="612" spans="1:26" x14ac:dyDescent="0.3">
      <c r="A612" t="s">
        <v>1144</v>
      </c>
      <c r="B612" s="2">
        <v>45954</v>
      </c>
      <c r="C612" t="s">
        <v>1003</v>
      </c>
      <c r="D612" t="s">
        <v>111</v>
      </c>
      <c r="E612" t="s">
        <v>43</v>
      </c>
      <c r="F612">
        <v>45</v>
      </c>
      <c r="G612" t="s">
        <v>51</v>
      </c>
      <c r="H612" t="s">
        <v>52</v>
      </c>
      <c r="I612" t="s">
        <v>51</v>
      </c>
      <c r="J612" t="s">
        <v>150</v>
      </c>
      <c r="K612">
        <v>2</v>
      </c>
      <c r="L612">
        <v>19119</v>
      </c>
      <c r="M612">
        <v>20</v>
      </c>
      <c r="N612">
        <v>7647.6</v>
      </c>
      <c r="O612">
        <v>5506.27</v>
      </c>
      <c r="P612">
        <v>309</v>
      </c>
      <c r="Q612">
        <v>36405.67</v>
      </c>
      <c r="R612" t="s">
        <v>33</v>
      </c>
      <c r="S612" t="s">
        <v>63</v>
      </c>
      <c r="T612" t="s">
        <v>76</v>
      </c>
      <c r="U612" t="s">
        <v>77</v>
      </c>
      <c r="V612" t="s">
        <v>57</v>
      </c>
      <c r="W612">
        <v>5</v>
      </c>
      <c r="X612" t="s">
        <v>38</v>
      </c>
      <c r="Y612">
        <v>3</v>
      </c>
      <c r="Z612" t="s">
        <v>91</v>
      </c>
    </row>
    <row r="613" spans="1:26" x14ac:dyDescent="0.3">
      <c r="A613" t="s">
        <v>1145</v>
      </c>
      <c r="B613" s="2">
        <v>45931</v>
      </c>
      <c r="C613" t="s">
        <v>1146</v>
      </c>
      <c r="D613" t="s">
        <v>28</v>
      </c>
      <c r="E613" t="s">
        <v>29</v>
      </c>
      <c r="F613">
        <v>30</v>
      </c>
      <c r="G613" t="s">
        <v>99</v>
      </c>
      <c r="H613" t="s">
        <v>52</v>
      </c>
      <c r="I613" t="s">
        <v>99</v>
      </c>
      <c r="J613" t="s">
        <v>112</v>
      </c>
      <c r="K613">
        <v>5</v>
      </c>
      <c r="L613">
        <v>17738</v>
      </c>
      <c r="M613">
        <v>20</v>
      </c>
      <c r="N613">
        <v>17738</v>
      </c>
      <c r="O613">
        <v>12771.36</v>
      </c>
      <c r="P613">
        <v>196</v>
      </c>
      <c r="Q613">
        <v>83919.360000000001</v>
      </c>
      <c r="R613" t="s">
        <v>83</v>
      </c>
      <c r="S613" t="s">
        <v>34</v>
      </c>
      <c r="T613" t="s">
        <v>46</v>
      </c>
      <c r="U613" t="s">
        <v>36</v>
      </c>
      <c r="V613" t="s">
        <v>37</v>
      </c>
      <c r="W613">
        <v>10</v>
      </c>
      <c r="X613" t="s">
        <v>38</v>
      </c>
      <c r="Y613">
        <v>2</v>
      </c>
      <c r="Z613" t="s">
        <v>58</v>
      </c>
    </row>
    <row r="614" spans="1:26" x14ac:dyDescent="0.3">
      <c r="A614" t="s">
        <v>1147</v>
      </c>
      <c r="B614" s="2">
        <v>45884</v>
      </c>
      <c r="C614" t="s">
        <v>1148</v>
      </c>
      <c r="D614" t="s">
        <v>108</v>
      </c>
      <c r="E614" t="s">
        <v>29</v>
      </c>
      <c r="F614">
        <v>60</v>
      </c>
      <c r="G614" t="s">
        <v>51</v>
      </c>
      <c r="H614" t="s">
        <v>52</v>
      </c>
      <c r="I614" t="s">
        <v>51</v>
      </c>
      <c r="J614" t="s">
        <v>150</v>
      </c>
      <c r="K614">
        <v>5</v>
      </c>
      <c r="L614">
        <v>43569</v>
      </c>
      <c r="M614">
        <v>20</v>
      </c>
      <c r="N614">
        <v>43569</v>
      </c>
      <c r="O614">
        <v>31369.68</v>
      </c>
      <c r="P614">
        <v>221</v>
      </c>
      <c r="Q614">
        <v>205866.68</v>
      </c>
      <c r="R614" t="s">
        <v>54</v>
      </c>
      <c r="S614" t="s">
        <v>63</v>
      </c>
      <c r="T614" t="s">
        <v>76</v>
      </c>
      <c r="U614" t="s">
        <v>77</v>
      </c>
      <c r="V614" t="s">
        <v>57</v>
      </c>
      <c r="W614">
        <v>10</v>
      </c>
      <c r="X614" t="s">
        <v>47</v>
      </c>
      <c r="Y614">
        <v>2</v>
      </c>
      <c r="Z614" t="s">
        <v>47</v>
      </c>
    </row>
    <row r="615" spans="1:26" x14ac:dyDescent="0.3">
      <c r="A615" t="s">
        <v>1149</v>
      </c>
      <c r="B615" s="2">
        <v>45906</v>
      </c>
      <c r="C615" t="s">
        <v>481</v>
      </c>
      <c r="D615" t="s">
        <v>108</v>
      </c>
      <c r="E615" t="s">
        <v>43</v>
      </c>
      <c r="F615">
        <v>35</v>
      </c>
      <c r="G615" t="s">
        <v>51</v>
      </c>
      <c r="H615" t="s">
        <v>52</v>
      </c>
      <c r="I615" t="s">
        <v>51</v>
      </c>
      <c r="J615" t="s">
        <v>125</v>
      </c>
      <c r="K615">
        <v>1</v>
      </c>
      <c r="L615">
        <v>30905</v>
      </c>
      <c r="M615">
        <v>15</v>
      </c>
      <c r="N615">
        <v>4635.75</v>
      </c>
      <c r="O615">
        <v>4728.47</v>
      </c>
      <c r="P615">
        <v>324</v>
      </c>
      <c r="Q615">
        <v>31321.72</v>
      </c>
      <c r="R615" t="s">
        <v>45</v>
      </c>
      <c r="S615" t="s">
        <v>63</v>
      </c>
      <c r="T615" t="s">
        <v>46</v>
      </c>
      <c r="U615" t="s">
        <v>36</v>
      </c>
      <c r="V615" t="s">
        <v>37</v>
      </c>
      <c r="W615">
        <v>10</v>
      </c>
      <c r="X615" t="s">
        <v>47</v>
      </c>
      <c r="Y615">
        <v>1</v>
      </c>
      <c r="Z615" t="s">
        <v>58</v>
      </c>
    </row>
    <row r="616" spans="1:26" x14ac:dyDescent="0.3">
      <c r="A616" t="s">
        <v>1150</v>
      </c>
      <c r="B616" s="2">
        <v>45937</v>
      </c>
      <c r="C616" t="s">
        <v>940</v>
      </c>
      <c r="D616" t="s">
        <v>111</v>
      </c>
      <c r="E616" t="s">
        <v>29</v>
      </c>
      <c r="F616">
        <v>58</v>
      </c>
      <c r="G616" t="s">
        <v>139</v>
      </c>
      <c r="H616" t="s">
        <v>31</v>
      </c>
      <c r="I616" t="s">
        <v>139</v>
      </c>
      <c r="J616" t="s">
        <v>112</v>
      </c>
      <c r="K616">
        <v>4</v>
      </c>
      <c r="L616">
        <v>41766</v>
      </c>
      <c r="M616">
        <v>0</v>
      </c>
      <c r="N616">
        <v>0</v>
      </c>
      <c r="O616">
        <v>30071.52</v>
      </c>
      <c r="P616">
        <v>436</v>
      </c>
      <c r="Q616">
        <v>197571.52</v>
      </c>
      <c r="R616" t="s">
        <v>45</v>
      </c>
      <c r="S616" t="s">
        <v>63</v>
      </c>
      <c r="T616" t="s">
        <v>103</v>
      </c>
      <c r="U616" t="s">
        <v>103</v>
      </c>
      <c r="V616" t="s">
        <v>57</v>
      </c>
      <c r="W616">
        <v>2</v>
      </c>
      <c r="X616" t="s">
        <v>47</v>
      </c>
      <c r="Y616">
        <v>2</v>
      </c>
      <c r="Z616" t="s">
        <v>58</v>
      </c>
    </row>
    <row r="617" spans="1:26" x14ac:dyDescent="0.3">
      <c r="A617" t="s">
        <v>1151</v>
      </c>
      <c r="B617" s="2">
        <v>45886</v>
      </c>
      <c r="C617" t="s">
        <v>1152</v>
      </c>
      <c r="D617" t="s">
        <v>61</v>
      </c>
      <c r="E617" t="s">
        <v>43</v>
      </c>
      <c r="F617">
        <v>42</v>
      </c>
      <c r="G617" t="s">
        <v>74</v>
      </c>
      <c r="H617" t="s">
        <v>31</v>
      </c>
      <c r="I617" t="s">
        <v>74</v>
      </c>
      <c r="J617" t="s">
        <v>125</v>
      </c>
      <c r="K617">
        <v>2</v>
      </c>
      <c r="L617">
        <v>21383</v>
      </c>
      <c r="M617">
        <v>20</v>
      </c>
      <c r="N617">
        <v>8553.2000000000007</v>
      </c>
      <c r="O617">
        <v>6158.3</v>
      </c>
      <c r="P617">
        <v>235</v>
      </c>
      <c r="Q617">
        <v>40606.1</v>
      </c>
      <c r="R617" t="s">
        <v>45</v>
      </c>
      <c r="S617" t="s">
        <v>34</v>
      </c>
      <c r="T617" t="s">
        <v>95</v>
      </c>
      <c r="U617" t="s">
        <v>96</v>
      </c>
      <c r="V617" t="s">
        <v>57</v>
      </c>
      <c r="W617">
        <v>2</v>
      </c>
      <c r="X617" t="s">
        <v>47</v>
      </c>
      <c r="Y617">
        <v>4</v>
      </c>
      <c r="Z617" t="s">
        <v>47</v>
      </c>
    </row>
    <row r="618" spans="1:26" x14ac:dyDescent="0.3">
      <c r="A618" t="s">
        <v>1153</v>
      </c>
      <c r="B618" s="2">
        <v>46083</v>
      </c>
      <c r="C618" t="s">
        <v>425</v>
      </c>
      <c r="D618" t="s">
        <v>66</v>
      </c>
      <c r="E618" t="s">
        <v>29</v>
      </c>
      <c r="F618">
        <v>42</v>
      </c>
      <c r="G618" t="s">
        <v>139</v>
      </c>
      <c r="H618" t="s">
        <v>31</v>
      </c>
      <c r="I618" t="s">
        <v>139</v>
      </c>
      <c r="J618" t="s">
        <v>75</v>
      </c>
      <c r="K618">
        <v>3</v>
      </c>
      <c r="L618">
        <v>6996</v>
      </c>
      <c r="M618">
        <v>0</v>
      </c>
      <c r="N618">
        <v>0</v>
      </c>
      <c r="O618">
        <v>3777.84</v>
      </c>
      <c r="P618">
        <v>327</v>
      </c>
      <c r="Q618">
        <v>25092.84</v>
      </c>
      <c r="R618" t="s">
        <v>33</v>
      </c>
      <c r="S618" t="s">
        <v>34</v>
      </c>
      <c r="T618" t="s">
        <v>55</v>
      </c>
      <c r="U618" t="s">
        <v>56</v>
      </c>
      <c r="V618" t="s">
        <v>57</v>
      </c>
      <c r="W618">
        <v>6</v>
      </c>
      <c r="X618" t="s">
        <v>38</v>
      </c>
      <c r="Y618">
        <v>2</v>
      </c>
      <c r="Z618" t="s">
        <v>58</v>
      </c>
    </row>
    <row r="619" spans="1:26" x14ac:dyDescent="0.3">
      <c r="A619" t="s">
        <v>1154</v>
      </c>
      <c r="B619" s="2">
        <v>46042</v>
      </c>
      <c r="C619" t="s">
        <v>1155</v>
      </c>
      <c r="D619" t="s">
        <v>73</v>
      </c>
      <c r="E619" t="s">
        <v>43</v>
      </c>
      <c r="F619">
        <v>50</v>
      </c>
      <c r="G619" t="s">
        <v>67</v>
      </c>
      <c r="H619" t="s">
        <v>68</v>
      </c>
      <c r="I619" t="s">
        <v>67</v>
      </c>
      <c r="J619" t="s">
        <v>112</v>
      </c>
      <c r="K619">
        <v>4</v>
      </c>
      <c r="L619">
        <v>47815</v>
      </c>
      <c r="M619">
        <v>10</v>
      </c>
      <c r="N619">
        <v>19126</v>
      </c>
      <c r="O619">
        <v>30984.12</v>
      </c>
      <c r="P619">
        <v>23</v>
      </c>
      <c r="Q619">
        <v>203141.12</v>
      </c>
      <c r="R619" t="s">
        <v>83</v>
      </c>
      <c r="S619" t="s">
        <v>34</v>
      </c>
      <c r="T619" t="s">
        <v>46</v>
      </c>
      <c r="U619" t="s">
        <v>36</v>
      </c>
      <c r="V619" t="s">
        <v>37</v>
      </c>
      <c r="W619">
        <v>2</v>
      </c>
      <c r="X619" t="s">
        <v>47</v>
      </c>
      <c r="Y619">
        <v>4</v>
      </c>
      <c r="Z619" t="s">
        <v>39</v>
      </c>
    </row>
    <row r="620" spans="1:26" x14ac:dyDescent="0.3">
      <c r="A620" t="s">
        <v>1156</v>
      </c>
      <c r="B620" s="2">
        <v>46099</v>
      </c>
      <c r="C620" t="s">
        <v>283</v>
      </c>
      <c r="D620" t="s">
        <v>42</v>
      </c>
      <c r="E620" t="s">
        <v>43</v>
      </c>
      <c r="F620">
        <v>37</v>
      </c>
      <c r="G620" t="s">
        <v>139</v>
      </c>
      <c r="H620" t="s">
        <v>31</v>
      </c>
      <c r="I620" t="s">
        <v>139</v>
      </c>
      <c r="J620" t="s">
        <v>32</v>
      </c>
      <c r="K620">
        <v>4</v>
      </c>
      <c r="L620">
        <v>16140</v>
      </c>
      <c r="M620">
        <v>20</v>
      </c>
      <c r="N620">
        <v>12912</v>
      </c>
      <c r="O620">
        <v>9296.64</v>
      </c>
      <c r="P620">
        <v>365</v>
      </c>
      <c r="Q620">
        <v>61309.64</v>
      </c>
      <c r="R620" t="s">
        <v>33</v>
      </c>
      <c r="S620" t="s">
        <v>34</v>
      </c>
      <c r="T620" t="s">
        <v>35</v>
      </c>
      <c r="U620" t="s">
        <v>36</v>
      </c>
      <c r="V620" t="s">
        <v>37</v>
      </c>
      <c r="W620">
        <v>4</v>
      </c>
      <c r="X620" t="s">
        <v>47</v>
      </c>
      <c r="Y620">
        <v>1</v>
      </c>
      <c r="Z620" t="s">
        <v>91</v>
      </c>
    </row>
    <row r="621" spans="1:26" x14ac:dyDescent="0.3">
      <c r="A621" t="s">
        <v>1157</v>
      </c>
      <c r="B621" s="2">
        <v>46021</v>
      </c>
      <c r="C621" t="s">
        <v>830</v>
      </c>
      <c r="D621" t="s">
        <v>73</v>
      </c>
      <c r="E621" t="s">
        <v>43</v>
      </c>
      <c r="F621">
        <v>43</v>
      </c>
      <c r="G621" t="s">
        <v>44</v>
      </c>
      <c r="H621" t="s">
        <v>31</v>
      </c>
      <c r="I621" t="s">
        <v>44</v>
      </c>
      <c r="J621" t="s">
        <v>112</v>
      </c>
      <c r="K621">
        <v>2</v>
      </c>
      <c r="L621">
        <v>1150</v>
      </c>
      <c r="M621">
        <v>20</v>
      </c>
      <c r="N621">
        <v>460</v>
      </c>
      <c r="O621">
        <v>331.2</v>
      </c>
      <c r="P621">
        <v>394</v>
      </c>
      <c r="Q621">
        <v>2565.1999999999998</v>
      </c>
      <c r="R621" t="s">
        <v>83</v>
      </c>
      <c r="S621" t="s">
        <v>63</v>
      </c>
      <c r="T621" t="s">
        <v>76</v>
      </c>
      <c r="U621" t="s">
        <v>77</v>
      </c>
      <c r="V621" t="s">
        <v>57</v>
      </c>
      <c r="W621">
        <v>9</v>
      </c>
      <c r="X621" t="s">
        <v>38</v>
      </c>
      <c r="Y621">
        <v>2</v>
      </c>
      <c r="Z621" t="s">
        <v>58</v>
      </c>
    </row>
    <row r="622" spans="1:26" x14ac:dyDescent="0.3">
      <c r="A622" t="s">
        <v>1158</v>
      </c>
      <c r="B622" s="2">
        <v>45921</v>
      </c>
      <c r="C622" t="s">
        <v>1159</v>
      </c>
      <c r="D622" t="s">
        <v>66</v>
      </c>
      <c r="E622" t="s">
        <v>29</v>
      </c>
      <c r="F622">
        <v>35</v>
      </c>
      <c r="G622" t="s">
        <v>90</v>
      </c>
      <c r="H622" t="s">
        <v>31</v>
      </c>
      <c r="I622" t="s">
        <v>90</v>
      </c>
      <c r="J622" t="s">
        <v>201</v>
      </c>
      <c r="K622">
        <v>5</v>
      </c>
      <c r="L622">
        <v>4559</v>
      </c>
      <c r="M622">
        <v>20</v>
      </c>
      <c r="N622">
        <v>4559</v>
      </c>
      <c r="O622">
        <v>3282.48</v>
      </c>
      <c r="P622">
        <v>202</v>
      </c>
      <c r="Q622">
        <v>21720.48</v>
      </c>
      <c r="R622" t="s">
        <v>45</v>
      </c>
      <c r="S622" t="s">
        <v>34</v>
      </c>
      <c r="T622" t="s">
        <v>55</v>
      </c>
      <c r="U622" t="s">
        <v>56</v>
      </c>
      <c r="V622" t="s">
        <v>57</v>
      </c>
      <c r="W622">
        <v>10</v>
      </c>
      <c r="X622" t="s">
        <v>38</v>
      </c>
      <c r="Y622">
        <v>1</v>
      </c>
      <c r="Z622" t="s">
        <v>91</v>
      </c>
    </row>
    <row r="623" spans="1:26" x14ac:dyDescent="0.3">
      <c r="A623" t="s">
        <v>1160</v>
      </c>
      <c r="B623" s="2">
        <v>46084</v>
      </c>
      <c r="C623" t="s">
        <v>229</v>
      </c>
      <c r="D623" t="s">
        <v>50</v>
      </c>
      <c r="E623" t="s">
        <v>43</v>
      </c>
      <c r="F623">
        <v>51</v>
      </c>
      <c r="G623" t="s">
        <v>44</v>
      </c>
      <c r="H623" t="s">
        <v>31</v>
      </c>
      <c r="I623" t="s">
        <v>44</v>
      </c>
      <c r="J623" t="s">
        <v>69</v>
      </c>
      <c r="K623">
        <v>5</v>
      </c>
      <c r="L623">
        <v>40159</v>
      </c>
      <c r="M623">
        <v>5</v>
      </c>
      <c r="N623">
        <v>10039.75</v>
      </c>
      <c r="O623">
        <v>34335.94</v>
      </c>
      <c r="P623">
        <v>207</v>
      </c>
      <c r="Q623">
        <v>225298.2</v>
      </c>
      <c r="R623" t="s">
        <v>33</v>
      </c>
      <c r="S623" t="s">
        <v>34</v>
      </c>
      <c r="T623" t="s">
        <v>55</v>
      </c>
      <c r="U623" t="s">
        <v>56</v>
      </c>
      <c r="V623" t="s">
        <v>57</v>
      </c>
      <c r="W623">
        <v>8</v>
      </c>
      <c r="X623" t="s">
        <v>47</v>
      </c>
      <c r="Y623">
        <v>3</v>
      </c>
      <c r="Z623" t="s">
        <v>58</v>
      </c>
    </row>
    <row r="624" spans="1:26" x14ac:dyDescent="0.3">
      <c r="A624" t="s">
        <v>1161</v>
      </c>
      <c r="B624" s="2">
        <v>45935</v>
      </c>
      <c r="C624" t="s">
        <v>1162</v>
      </c>
      <c r="D624" t="s">
        <v>28</v>
      </c>
      <c r="E624" t="s">
        <v>43</v>
      </c>
      <c r="F624">
        <v>25</v>
      </c>
      <c r="G624" t="s">
        <v>67</v>
      </c>
      <c r="H624" t="s">
        <v>68</v>
      </c>
      <c r="I624" t="s">
        <v>67</v>
      </c>
      <c r="J624" t="s">
        <v>125</v>
      </c>
      <c r="K624">
        <v>2</v>
      </c>
      <c r="L624">
        <v>10985</v>
      </c>
      <c r="M624">
        <v>5</v>
      </c>
      <c r="N624">
        <v>1098.5</v>
      </c>
      <c r="O624">
        <v>3756.87</v>
      </c>
      <c r="P624">
        <v>120</v>
      </c>
      <c r="Q624">
        <v>24748.37</v>
      </c>
      <c r="R624" t="s">
        <v>83</v>
      </c>
      <c r="S624" t="s">
        <v>63</v>
      </c>
      <c r="T624" t="s">
        <v>46</v>
      </c>
      <c r="U624" t="s">
        <v>36</v>
      </c>
      <c r="V624" t="s">
        <v>37</v>
      </c>
      <c r="W624">
        <v>8</v>
      </c>
      <c r="X624" t="s">
        <v>38</v>
      </c>
      <c r="Y624">
        <v>4</v>
      </c>
      <c r="Z624" t="s">
        <v>91</v>
      </c>
    </row>
    <row r="625" spans="1:26" x14ac:dyDescent="0.3">
      <c r="A625" t="s">
        <v>1163</v>
      </c>
      <c r="B625" s="2">
        <v>45967</v>
      </c>
      <c r="C625" t="s">
        <v>1164</v>
      </c>
      <c r="D625" t="s">
        <v>73</v>
      </c>
      <c r="E625" t="s">
        <v>29</v>
      </c>
      <c r="F625">
        <v>29</v>
      </c>
      <c r="G625" t="s">
        <v>90</v>
      </c>
      <c r="H625" t="s">
        <v>31</v>
      </c>
      <c r="I625" t="s">
        <v>90</v>
      </c>
      <c r="J625" t="s">
        <v>201</v>
      </c>
      <c r="K625">
        <v>1</v>
      </c>
      <c r="L625">
        <v>36714</v>
      </c>
      <c r="M625">
        <v>0</v>
      </c>
      <c r="N625">
        <v>0</v>
      </c>
      <c r="O625">
        <v>6608.52</v>
      </c>
      <c r="P625">
        <v>425</v>
      </c>
      <c r="Q625">
        <v>43747.519999999997</v>
      </c>
      <c r="R625" t="s">
        <v>54</v>
      </c>
      <c r="S625" t="s">
        <v>63</v>
      </c>
      <c r="T625" t="s">
        <v>55</v>
      </c>
      <c r="U625" t="s">
        <v>56</v>
      </c>
      <c r="V625" t="s">
        <v>57</v>
      </c>
      <c r="W625">
        <v>2</v>
      </c>
      <c r="X625" t="s">
        <v>38</v>
      </c>
      <c r="Y625">
        <v>2</v>
      </c>
      <c r="Z625" t="s">
        <v>58</v>
      </c>
    </row>
    <row r="626" spans="1:26" x14ac:dyDescent="0.3">
      <c r="A626" t="s">
        <v>1165</v>
      </c>
      <c r="B626" s="2">
        <v>45767</v>
      </c>
      <c r="C626" t="s">
        <v>867</v>
      </c>
      <c r="D626" t="s">
        <v>42</v>
      </c>
      <c r="E626" t="s">
        <v>29</v>
      </c>
      <c r="F626">
        <v>37</v>
      </c>
      <c r="G626" t="s">
        <v>94</v>
      </c>
      <c r="H626" t="s">
        <v>31</v>
      </c>
      <c r="I626" t="s">
        <v>94</v>
      </c>
      <c r="J626" t="s">
        <v>112</v>
      </c>
      <c r="K626">
        <v>1</v>
      </c>
      <c r="L626">
        <v>19124</v>
      </c>
      <c r="M626">
        <v>10</v>
      </c>
      <c r="N626">
        <v>1912.4</v>
      </c>
      <c r="O626">
        <v>3098.09</v>
      </c>
      <c r="P626">
        <v>257</v>
      </c>
      <c r="Q626">
        <v>20566.689999999999</v>
      </c>
      <c r="R626" t="s">
        <v>83</v>
      </c>
      <c r="S626" t="s">
        <v>63</v>
      </c>
      <c r="T626" t="s">
        <v>55</v>
      </c>
      <c r="U626" t="s">
        <v>56</v>
      </c>
      <c r="V626" t="s">
        <v>57</v>
      </c>
      <c r="W626">
        <v>6</v>
      </c>
      <c r="X626" t="s">
        <v>47</v>
      </c>
      <c r="Y626">
        <v>4</v>
      </c>
      <c r="Z626" t="s">
        <v>58</v>
      </c>
    </row>
    <row r="627" spans="1:26" x14ac:dyDescent="0.3">
      <c r="A627" t="s">
        <v>1166</v>
      </c>
      <c r="B627" s="2">
        <v>45831</v>
      </c>
      <c r="C627" t="s">
        <v>1167</v>
      </c>
      <c r="D627" t="s">
        <v>42</v>
      </c>
      <c r="E627" t="s">
        <v>29</v>
      </c>
      <c r="F627">
        <v>54</v>
      </c>
      <c r="G627" t="s">
        <v>139</v>
      </c>
      <c r="H627" t="s">
        <v>31</v>
      </c>
      <c r="I627" t="s">
        <v>139</v>
      </c>
      <c r="J627" t="s">
        <v>112</v>
      </c>
      <c r="K627">
        <v>1</v>
      </c>
      <c r="L627">
        <v>23713</v>
      </c>
      <c r="M627">
        <v>20</v>
      </c>
      <c r="N627">
        <v>4742.6000000000004</v>
      </c>
      <c r="O627">
        <v>3414.67</v>
      </c>
      <c r="P627">
        <v>411</v>
      </c>
      <c r="Q627">
        <v>22796.07</v>
      </c>
      <c r="R627" t="s">
        <v>33</v>
      </c>
      <c r="S627" t="s">
        <v>63</v>
      </c>
      <c r="T627" t="s">
        <v>70</v>
      </c>
      <c r="U627" t="s">
        <v>56</v>
      </c>
      <c r="V627" t="s">
        <v>57</v>
      </c>
      <c r="W627">
        <v>10</v>
      </c>
      <c r="X627" t="s">
        <v>47</v>
      </c>
      <c r="Y627">
        <v>5</v>
      </c>
      <c r="Z627" t="s">
        <v>39</v>
      </c>
    </row>
    <row r="628" spans="1:26" x14ac:dyDescent="0.3">
      <c r="A628" t="s">
        <v>1168</v>
      </c>
      <c r="B628" s="2">
        <v>45922</v>
      </c>
      <c r="C628" t="s">
        <v>1169</v>
      </c>
      <c r="D628" t="s">
        <v>28</v>
      </c>
      <c r="E628" t="s">
        <v>43</v>
      </c>
      <c r="F628">
        <v>58</v>
      </c>
      <c r="G628" t="s">
        <v>44</v>
      </c>
      <c r="H628" t="s">
        <v>31</v>
      </c>
      <c r="I628" t="s">
        <v>44</v>
      </c>
      <c r="J628" t="s">
        <v>62</v>
      </c>
      <c r="K628">
        <v>3</v>
      </c>
      <c r="L628">
        <v>34710</v>
      </c>
      <c r="M628">
        <v>20</v>
      </c>
      <c r="N628">
        <v>20826</v>
      </c>
      <c r="O628">
        <v>14994.72</v>
      </c>
      <c r="P628">
        <v>173</v>
      </c>
      <c r="Q628">
        <v>98471.72</v>
      </c>
      <c r="R628" t="s">
        <v>45</v>
      </c>
      <c r="S628" t="s">
        <v>63</v>
      </c>
      <c r="T628" t="s">
        <v>70</v>
      </c>
      <c r="U628" t="s">
        <v>56</v>
      </c>
      <c r="V628" t="s">
        <v>57</v>
      </c>
      <c r="W628">
        <v>1</v>
      </c>
      <c r="X628" t="s">
        <v>47</v>
      </c>
      <c r="Y628">
        <v>4</v>
      </c>
      <c r="Z628" t="s">
        <v>91</v>
      </c>
    </row>
    <row r="629" spans="1:26" x14ac:dyDescent="0.3">
      <c r="A629" t="s">
        <v>1170</v>
      </c>
      <c r="B629" s="2">
        <v>45860</v>
      </c>
      <c r="C629" t="s">
        <v>1171</v>
      </c>
      <c r="D629" t="s">
        <v>111</v>
      </c>
      <c r="E629" t="s">
        <v>43</v>
      </c>
      <c r="F629">
        <v>51</v>
      </c>
      <c r="G629" t="s">
        <v>74</v>
      </c>
      <c r="H629" t="s">
        <v>31</v>
      </c>
      <c r="I629" t="s">
        <v>74</v>
      </c>
      <c r="J629" t="s">
        <v>201</v>
      </c>
      <c r="K629">
        <v>3</v>
      </c>
      <c r="L629">
        <v>7140</v>
      </c>
      <c r="M629">
        <v>0</v>
      </c>
      <c r="N629">
        <v>0</v>
      </c>
      <c r="O629">
        <v>3855.6</v>
      </c>
      <c r="P629">
        <v>484</v>
      </c>
      <c r="Q629">
        <v>25759.599999999999</v>
      </c>
      <c r="R629" t="s">
        <v>45</v>
      </c>
      <c r="S629" t="s">
        <v>63</v>
      </c>
      <c r="T629" t="s">
        <v>55</v>
      </c>
      <c r="U629" t="s">
        <v>56</v>
      </c>
      <c r="V629" t="s">
        <v>57</v>
      </c>
      <c r="W629">
        <v>3</v>
      </c>
      <c r="X629" t="s">
        <v>47</v>
      </c>
      <c r="Y629">
        <v>3</v>
      </c>
      <c r="Z629" t="s">
        <v>91</v>
      </c>
    </row>
    <row r="630" spans="1:26" x14ac:dyDescent="0.3">
      <c r="A630" t="s">
        <v>1172</v>
      </c>
      <c r="B630" s="2">
        <v>45843</v>
      </c>
      <c r="C630" t="s">
        <v>1173</v>
      </c>
      <c r="D630" t="s">
        <v>66</v>
      </c>
      <c r="E630" t="s">
        <v>43</v>
      </c>
      <c r="F630">
        <v>56</v>
      </c>
      <c r="G630" t="s">
        <v>74</v>
      </c>
      <c r="H630" t="s">
        <v>31</v>
      </c>
      <c r="I630" t="s">
        <v>74</v>
      </c>
      <c r="J630" t="s">
        <v>102</v>
      </c>
      <c r="K630">
        <v>2</v>
      </c>
      <c r="L630">
        <v>28239</v>
      </c>
      <c r="M630">
        <v>20</v>
      </c>
      <c r="N630">
        <v>11295.6</v>
      </c>
      <c r="O630">
        <v>8132.83</v>
      </c>
      <c r="P630">
        <v>103</v>
      </c>
      <c r="Q630">
        <v>53418.23</v>
      </c>
      <c r="R630" t="s">
        <v>54</v>
      </c>
      <c r="S630" t="s">
        <v>34</v>
      </c>
      <c r="T630" t="s">
        <v>95</v>
      </c>
      <c r="U630" t="s">
        <v>96</v>
      </c>
      <c r="V630" t="s">
        <v>57</v>
      </c>
      <c r="W630">
        <v>3</v>
      </c>
      <c r="X630" t="s">
        <v>47</v>
      </c>
      <c r="Y630">
        <v>5</v>
      </c>
      <c r="Z630" t="s">
        <v>47</v>
      </c>
    </row>
    <row r="631" spans="1:26" x14ac:dyDescent="0.3">
      <c r="A631" t="s">
        <v>1174</v>
      </c>
      <c r="B631" s="2">
        <v>45907</v>
      </c>
      <c r="C631" t="s">
        <v>1175</v>
      </c>
      <c r="D631" t="s">
        <v>89</v>
      </c>
      <c r="E631" t="s">
        <v>29</v>
      </c>
      <c r="F631">
        <v>49</v>
      </c>
      <c r="G631" t="s">
        <v>134</v>
      </c>
      <c r="H631" t="s">
        <v>31</v>
      </c>
      <c r="I631" t="s">
        <v>134</v>
      </c>
      <c r="J631" t="s">
        <v>69</v>
      </c>
      <c r="K631">
        <v>4</v>
      </c>
      <c r="L631">
        <v>48282</v>
      </c>
      <c r="M631">
        <v>15</v>
      </c>
      <c r="N631">
        <v>28969.200000000001</v>
      </c>
      <c r="O631">
        <v>29548.58</v>
      </c>
      <c r="P631">
        <v>35</v>
      </c>
      <c r="Q631">
        <v>193742.38</v>
      </c>
      <c r="R631" t="s">
        <v>33</v>
      </c>
      <c r="S631" t="s">
        <v>63</v>
      </c>
      <c r="T631" t="s">
        <v>95</v>
      </c>
      <c r="U631" t="s">
        <v>96</v>
      </c>
      <c r="V631" t="s">
        <v>57</v>
      </c>
      <c r="W631">
        <v>7</v>
      </c>
      <c r="X631" t="s">
        <v>47</v>
      </c>
      <c r="Y631">
        <v>5</v>
      </c>
      <c r="Z631" t="s">
        <v>91</v>
      </c>
    </row>
    <row r="632" spans="1:26" x14ac:dyDescent="0.3">
      <c r="A632" t="s">
        <v>1176</v>
      </c>
      <c r="B632" s="2">
        <v>45879</v>
      </c>
      <c r="C632" t="s">
        <v>771</v>
      </c>
      <c r="D632" t="s">
        <v>73</v>
      </c>
      <c r="E632" t="s">
        <v>29</v>
      </c>
      <c r="F632">
        <v>26</v>
      </c>
      <c r="G632" t="s">
        <v>74</v>
      </c>
      <c r="H632" t="s">
        <v>31</v>
      </c>
      <c r="I632" t="s">
        <v>74</v>
      </c>
      <c r="J632" t="s">
        <v>150</v>
      </c>
      <c r="K632">
        <v>4</v>
      </c>
      <c r="L632">
        <v>32877</v>
      </c>
      <c r="M632">
        <v>10</v>
      </c>
      <c r="N632">
        <v>13150.8</v>
      </c>
      <c r="O632">
        <v>21304.3</v>
      </c>
      <c r="P632">
        <v>68</v>
      </c>
      <c r="Q632">
        <v>139729.5</v>
      </c>
      <c r="R632" t="s">
        <v>33</v>
      </c>
      <c r="S632" t="s">
        <v>63</v>
      </c>
      <c r="T632" t="s">
        <v>35</v>
      </c>
      <c r="U632" t="s">
        <v>36</v>
      </c>
      <c r="V632" t="s">
        <v>37</v>
      </c>
      <c r="W632">
        <v>1</v>
      </c>
      <c r="X632" t="s">
        <v>47</v>
      </c>
      <c r="Y632">
        <v>3</v>
      </c>
      <c r="Z632" t="s">
        <v>39</v>
      </c>
    </row>
    <row r="633" spans="1:26" x14ac:dyDescent="0.3">
      <c r="A633" t="s">
        <v>1177</v>
      </c>
      <c r="B633" s="2">
        <v>46007</v>
      </c>
      <c r="C633" t="s">
        <v>1178</v>
      </c>
      <c r="D633" t="s">
        <v>28</v>
      </c>
      <c r="E633" t="s">
        <v>29</v>
      </c>
      <c r="F633">
        <v>23</v>
      </c>
      <c r="G633" t="s">
        <v>51</v>
      </c>
      <c r="H633" t="s">
        <v>52</v>
      </c>
      <c r="I633" t="s">
        <v>51</v>
      </c>
      <c r="J633" t="s">
        <v>201</v>
      </c>
      <c r="K633">
        <v>5</v>
      </c>
      <c r="L633">
        <v>6859</v>
      </c>
      <c r="M633">
        <v>20</v>
      </c>
      <c r="N633">
        <v>6859</v>
      </c>
      <c r="O633">
        <v>4938.4799999999996</v>
      </c>
      <c r="P633">
        <v>489</v>
      </c>
      <c r="Q633">
        <v>32863.480000000003</v>
      </c>
      <c r="R633" t="s">
        <v>83</v>
      </c>
      <c r="S633" t="s">
        <v>34</v>
      </c>
      <c r="T633" t="s">
        <v>35</v>
      </c>
      <c r="U633" t="s">
        <v>36</v>
      </c>
      <c r="V633" t="s">
        <v>37</v>
      </c>
      <c r="W633">
        <v>8</v>
      </c>
      <c r="X633" t="s">
        <v>38</v>
      </c>
      <c r="Y633">
        <v>1</v>
      </c>
      <c r="Z633" t="s">
        <v>39</v>
      </c>
    </row>
    <row r="634" spans="1:26" x14ac:dyDescent="0.3">
      <c r="A634" t="s">
        <v>1179</v>
      </c>
      <c r="B634" s="2">
        <v>45996</v>
      </c>
      <c r="C634" t="s">
        <v>1180</v>
      </c>
      <c r="D634" t="s">
        <v>89</v>
      </c>
      <c r="E634" t="s">
        <v>29</v>
      </c>
      <c r="F634">
        <v>56</v>
      </c>
      <c r="G634" t="s">
        <v>74</v>
      </c>
      <c r="H634" t="s">
        <v>31</v>
      </c>
      <c r="I634" t="s">
        <v>74</v>
      </c>
      <c r="J634" t="s">
        <v>53</v>
      </c>
      <c r="K634">
        <v>5</v>
      </c>
      <c r="L634">
        <v>6880</v>
      </c>
      <c r="M634">
        <v>5</v>
      </c>
      <c r="N634">
        <v>1720</v>
      </c>
      <c r="O634">
        <v>5882.4</v>
      </c>
      <c r="P634">
        <v>355</v>
      </c>
      <c r="Q634">
        <v>38917.4</v>
      </c>
      <c r="R634" t="s">
        <v>45</v>
      </c>
      <c r="S634" t="s">
        <v>63</v>
      </c>
      <c r="T634" t="s">
        <v>55</v>
      </c>
      <c r="U634" t="s">
        <v>56</v>
      </c>
      <c r="V634" t="s">
        <v>57</v>
      </c>
      <c r="W634">
        <v>8</v>
      </c>
      <c r="X634" t="s">
        <v>47</v>
      </c>
      <c r="Y634">
        <v>4</v>
      </c>
      <c r="Z634" t="s">
        <v>39</v>
      </c>
    </row>
    <row r="635" spans="1:26" x14ac:dyDescent="0.3">
      <c r="A635" t="s">
        <v>1181</v>
      </c>
      <c r="B635" s="2">
        <v>45814</v>
      </c>
      <c r="C635" t="s">
        <v>1180</v>
      </c>
      <c r="D635" t="s">
        <v>111</v>
      </c>
      <c r="E635" t="s">
        <v>43</v>
      </c>
      <c r="F635">
        <v>29</v>
      </c>
      <c r="G635" t="s">
        <v>139</v>
      </c>
      <c r="H635" t="s">
        <v>31</v>
      </c>
      <c r="I635" t="s">
        <v>139</v>
      </c>
      <c r="J635" t="s">
        <v>32</v>
      </c>
      <c r="K635">
        <v>3</v>
      </c>
      <c r="L635">
        <v>44405</v>
      </c>
      <c r="M635">
        <v>20</v>
      </c>
      <c r="N635">
        <v>26643</v>
      </c>
      <c r="O635">
        <v>19182.96</v>
      </c>
      <c r="P635">
        <v>188</v>
      </c>
      <c r="Q635">
        <v>125942.96</v>
      </c>
      <c r="R635" t="s">
        <v>45</v>
      </c>
      <c r="S635" t="s">
        <v>34</v>
      </c>
      <c r="T635" t="s">
        <v>84</v>
      </c>
      <c r="U635" t="s">
        <v>85</v>
      </c>
      <c r="V635" t="s">
        <v>86</v>
      </c>
      <c r="W635">
        <v>4</v>
      </c>
      <c r="X635" t="s">
        <v>47</v>
      </c>
      <c r="Y635">
        <v>3</v>
      </c>
      <c r="Z635" t="s">
        <v>39</v>
      </c>
    </row>
    <row r="636" spans="1:26" x14ac:dyDescent="0.3">
      <c r="A636" t="s">
        <v>1182</v>
      </c>
      <c r="B636" s="2">
        <v>45912</v>
      </c>
      <c r="C636" t="s">
        <v>1183</v>
      </c>
      <c r="D636" t="s">
        <v>61</v>
      </c>
      <c r="E636" t="s">
        <v>43</v>
      </c>
      <c r="F636">
        <v>25</v>
      </c>
      <c r="G636" t="s">
        <v>99</v>
      </c>
      <c r="H636" t="s">
        <v>52</v>
      </c>
      <c r="I636" t="s">
        <v>99</v>
      </c>
      <c r="J636" t="s">
        <v>62</v>
      </c>
      <c r="K636">
        <v>5</v>
      </c>
      <c r="L636">
        <v>36886</v>
      </c>
      <c r="M636">
        <v>20</v>
      </c>
      <c r="N636">
        <v>36886</v>
      </c>
      <c r="O636">
        <v>26557.919999999998</v>
      </c>
      <c r="P636">
        <v>302</v>
      </c>
      <c r="Q636">
        <v>174403.92</v>
      </c>
      <c r="R636" t="s">
        <v>83</v>
      </c>
      <c r="S636" t="s">
        <v>63</v>
      </c>
      <c r="T636" t="s">
        <v>84</v>
      </c>
      <c r="U636" t="s">
        <v>85</v>
      </c>
      <c r="V636" t="s">
        <v>86</v>
      </c>
      <c r="W636">
        <v>2</v>
      </c>
      <c r="X636" t="s">
        <v>47</v>
      </c>
      <c r="Y636">
        <v>3</v>
      </c>
      <c r="Z636" t="s">
        <v>91</v>
      </c>
    </row>
    <row r="637" spans="1:26" x14ac:dyDescent="0.3">
      <c r="A637" t="s">
        <v>1184</v>
      </c>
      <c r="B637" s="2">
        <v>46081</v>
      </c>
      <c r="C637" t="s">
        <v>1185</v>
      </c>
      <c r="D637" t="s">
        <v>80</v>
      </c>
      <c r="E637" t="s">
        <v>29</v>
      </c>
      <c r="F637">
        <v>31</v>
      </c>
      <c r="G637" t="s">
        <v>134</v>
      </c>
      <c r="H637" t="s">
        <v>31</v>
      </c>
      <c r="I637" t="s">
        <v>134</v>
      </c>
      <c r="J637" t="s">
        <v>150</v>
      </c>
      <c r="K637">
        <v>4</v>
      </c>
      <c r="L637">
        <v>42144</v>
      </c>
      <c r="M637">
        <v>0</v>
      </c>
      <c r="N637">
        <v>0</v>
      </c>
      <c r="O637">
        <v>30343.68</v>
      </c>
      <c r="P637">
        <v>24</v>
      </c>
      <c r="Q637">
        <v>198943.68</v>
      </c>
      <c r="R637" t="s">
        <v>33</v>
      </c>
      <c r="S637" t="s">
        <v>34</v>
      </c>
      <c r="T637" t="s">
        <v>46</v>
      </c>
      <c r="U637" t="s">
        <v>36</v>
      </c>
      <c r="V637" t="s">
        <v>37</v>
      </c>
      <c r="W637">
        <v>2</v>
      </c>
      <c r="X637" t="s">
        <v>47</v>
      </c>
      <c r="Y637">
        <v>1</v>
      </c>
      <c r="Z637" t="s">
        <v>91</v>
      </c>
    </row>
    <row r="638" spans="1:26" x14ac:dyDescent="0.3">
      <c r="A638" t="s">
        <v>1186</v>
      </c>
      <c r="B638" s="2">
        <v>45928</v>
      </c>
      <c r="C638" t="s">
        <v>1187</v>
      </c>
      <c r="D638" t="s">
        <v>66</v>
      </c>
      <c r="E638" t="s">
        <v>43</v>
      </c>
      <c r="F638">
        <v>28</v>
      </c>
      <c r="G638" t="s">
        <v>139</v>
      </c>
      <c r="H638" t="s">
        <v>31</v>
      </c>
      <c r="I638" t="s">
        <v>139</v>
      </c>
      <c r="J638" t="s">
        <v>53</v>
      </c>
      <c r="K638">
        <v>4</v>
      </c>
      <c r="L638">
        <v>48302</v>
      </c>
      <c r="M638">
        <v>5</v>
      </c>
      <c r="N638">
        <v>9660.4</v>
      </c>
      <c r="O638">
        <v>33038.57</v>
      </c>
      <c r="P638">
        <v>179</v>
      </c>
      <c r="Q638">
        <v>216765.17</v>
      </c>
      <c r="R638" t="s">
        <v>45</v>
      </c>
      <c r="S638" t="s">
        <v>63</v>
      </c>
      <c r="T638" t="s">
        <v>103</v>
      </c>
      <c r="U638" t="s">
        <v>103</v>
      </c>
      <c r="V638" t="s">
        <v>57</v>
      </c>
      <c r="W638">
        <v>2</v>
      </c>
      <c r="X638" t="s">
        <v>47</v>
      </c>
      <c r="Y638">
        <v>2</v>
      </c>
      <c r="Z638" t="s">
        <v>47</v>
      </c>
    </row>
    <row r="639" spans="1:26" x14ac:dyDescent="0.3">
      <c r="A639" t="s">
        <v>1188</v>
      </c>
      <c r="B639" s="2">
        <v>45899</v>
      </c>
      <c r="C639" t="s">
        <v>1189</v>
      </c>
      <c r="D639" t="s">
        <v>66</v>
      </c>
      <c r="E639" t="s">
        <v>43</v>
      </c>
      <c r="F639">
        <v>38</v>
      </c>
      <c r="G639" t="s">
        <v>51</v>
      </c>
      <c r="H639" t="s">
        <v>52</v>
      </c>
      <c r="I639" t="s">
        <v>51</v>
      </c>
      <c r="J639" t="s">
        <v>201</v>
      </c>
      <c r="K639">
        <v>2</v>
      </c>
      <c r="L639">
        <v>48941</v>
      </c>
      <c r="M639">
        <v>20</v>
      </c>
      <c r="N639">
        <v>19576.400000000001</v>
      </c>
      <c r="O639">
        <v>14095.01</v>
      </c>
      <c r="P639">
        <v>140</v>
      </c>
      <c r="Q639">
        <v>92540.61</v>
      </c>
      <c r="R639" t="s">
        <v>33</v>
      </c>
      <c r="S639" t="s">
        <v>34</v>
      </c>
      <c r="T639" t="s">
        <v>46</v>
      </c>
      <c r="U639" t="s">
        <v>36</v>
      </c>
      <c r="V639" t="s">
        <v>37</v>
      </c>
      <c r="W639">
        <v>3</v>
      </c>
      <c r="X639" t="s">
        <v>47</v>
      </c>
      <c r="Y639">
        <v>1</v>
      </c>
      <c r="Z639" t="s">
        <v>47</v>
      </c>
    </row>
    <row r="640" spans="1:26" x14ac:dyDescent="0.3">
      <c r="A640" t="s">
        <v>1190</v>
      </c>
      <c r="B640" s="2">
        <v>45808</v>
      </c>
      <c r="C640" t="s">
        <v>1191</v>
      </c>
      <c r="D640" t="s">
        <v>50</v>
      </c>
      <c r="E640" t="s">
        <v>29</v>
      </c>
      <c r="F640">
        <v>60</v>
      </c>
      <c r="G640" t="s">
        <v>44</v>
      </c>
      <c r="H640" t="s">
        <v>31</v>
      </c>
      <c r="I640" t="s">
        <v>44</v>
      </c>
      <c r="J640" t="s">
        <v>201</v>
      </c>
      <c r="K640">
        <v>3</v>
      </c>
      <c r="L640">
        <v>2310</v>
      </c>
      <c r="M640">
        <v>0</v>
      </c>
      <c r="N640">
        <v>0</v>
      </c>
      <c r="O640">
        <v>1247.4000000000001</v>
      </c>
      <c r="P640">
        <v>179</v>
      </c>
      <c r="Q640">
        <v>8356.4</v>
      </c>
      <c r="R640" t="s">
        <v>54</v>
      </c>
      <c r="S640" t="s">
        <v>34</v>
      </c>
      <c r="T640" t="s">
        <v>70</v>
      </c>
      <c r="U640" t="s">
        <v>56</v>
      </c>
      <c r="V640" t="s">
        <v>57</v>
      </c>
      <c r="W640">
        <v>8</v>
      </c>
      <c r="X640" t="s">
        <v>47</v>
      </c>
      <c r="Y640">
        <v>2</v>
      </c>
      <c r="Z640" t="s">
        <v>91</v>
      </c>
    </row>
    <row r="641" spans="1:26" x14ac:dyDescent="0.3">
      <c r="A641" t="s">
        <v>1192</v>
      </c>
      <c r="B641" s="2">
        <v>45947</v>
      </c>
      <c r="C641" t="s">
        <v>940</v>
      </c>
      <c r="D641" t="s">
        <v>108</v>
      </c>
      <c r="E641" t="s">
        <v>29</v>
      </c>
      <c r="F641">
        <v>51</v>
      </c>
      <c r="G641" t="s">
        <v>51</v>
      </c>
      <c r="H641" t="s">
        <v>52</v>
      </c>
      <c r="I641" t="s">
        <v>51</v>
      </c>
      <c r="J641" t="s">
        <v>69</v>
      </c>
      <c r="K641">
        <v>3</v>
      </c>
      <c r="L641">
        <v>23961</v>
      </c>
      <c r="M641">
        <v>15</v>
      </c>
      <c r="N641">
        <v>10782.45</v>
      </c>
      <c r="O641">
        <v>10998.1</v>
      </c>
      <c r="P641">
        <v>321</v>
      </c>
      <c r="Q641">
        <v>72419.649999999994</v>
      </c>
      <c r="R641" t="s">
        <v>54</v>
      </c>
      <c r="S641" t="s">
        <v>34</v>
      </c>
      <c r="T641" t="s">
        <v>84</v>
      </c>
      <c r="U641" t="s">
        <v>85</v>
      </c>
      <c r="V641" t="s">
        <v>86</v>
      </c>
      <c r="W641">
        <v>5</v>
      </c>
      <c r="X641" t="s">
        <v>47</v>
      </c>
      <c r="Y641">
        <v>3</v>
      </c>
      <c r="Z641" t="s">
        <v>39</v>
      </c>
    </row>
    <row r="642" spans="1:26" x14ac:dyDescent="0.3">
      <c r="A642" t="s">
        <v>1193</v>
      </c>
      <c r="B642" s="2">
        <v>45798</v>
      </c>
      <c r="C642" t="s">
        <v>1194</v>
      </c>
      <c r="D642" t="s">
        <v>42</v>
      </c>
      <c r="E642" t="s">
        <v>43</v>
      </c>
      <c r="F642">
        <v>46</v>
      </c>
      <c r="G642" t="s">
        <v>51</v>
      </c>
      <c r="H642" t="s">
        <v>52</v>
      </c>
      <c r="I642" t="s">
        <v>51</v>
      </c>
      <c r="J642" t="s">
        <v>32</v>
      </c>
      <c r="K642">
        <v>1</v>
      </c>
      <c r="L642">
        <v>4128</v>
      </c>
      <c r="M642">
        <v>15</v>
      </c>
      <c r="N642">
        <v>619.20000000000005</v>
      </c>
      <c r="O642">
        <v>631.58000000000004</v>
      </c>
      <c r="P642">
        <v>70</v>
      </c>
      <c r="Q642">
        <v>4210.38</v>
      </c>
      <c r="R642" t="s">
        <v>33</v>
      </c>
      <c r="S642" t="s">
        <v>34</v>
      </c>
      <c r="T642" t="s">
        <v>95</v>
      </c>
      <c r="U642" t="s">
        <v>96</v>
      </c>
      <c r="V642" t="s">
        <v>57</v>
      </c>
      <c r="W642">
        <v>6</v>
      </c>
      <c r="X642" t="s">
        <v>38</v>
      </c>
      <c r="Y642">
        <v>4</v>
      </c>
      <c r="Z642" t="s">
        <v>58</v>
      </c>
    </row>
    <row r="643" spans="1:26" x14ac:dyDescent="0.3">
      <c r="A643" t="s">
        <v>1195</v>
      </c>
      <c r="B643" s="2">
        <v>45893</v>
      </c>
      <c r="C643" t="s">
        <v>538</v>
      </c>
      <c r="D643" t="s">
        <v>111</v>
      </c>
      <c r="E643" t="s">
        <v>29</v>
      </c>
      <c r="F643">
        <v>51</v>
      </c>
      <c r="G643" t="s">
        <v>51</v>
      </c>
      <c r="H643" t="s">
        <v>52</v>
      </c>
      <c r="I643" t="s">
        <v>51</v>
      </c>
      <c r="J643" t="s">
        <v>69</v>
      </c>
      <c r="K643">
        <v>3</v>
      </c>
      <c r="L643">
        <v>11238</v>
      </c>
      <c r="M643">
        <v>10</v>
      </c>
      <c r="N643">
        <v>3371.4</v>
      </c>
      <c r="O643">
        <v>5461.67</v>
      </c>
      <c r="P643">
        <v>201</v>
      </c>
      <c r="Q643">
        <v>36005.269999999997</v>
      </c>
      <c r="R643" t="s">
        <v>83</v>
      </c>
      <c r="S643" t="s">
        <v>63</v>
      </c>
      <c r="T643" t="s">
        <v>35</v>
      </c>
      <c r="U643" t="s">
        <v>36</v>
      </c>
      <c r="V643" t="s">
        <v>37</v>
      </c>
      <c r="W643">
        <v>5</v>
      </c>
      <c r="X643" t="s">
        <v>38</v>
      </c>
      <c r="Y643">
        <v>1</v>
      </c>
      <c r="Z643" t="s">
        <v>58</v>
      </c>
    </row>
    <row r="644" spans="1:26" x14ac:dyDescent="0.3">
      <c r="A644" t="s">
        <v>1196</v>
      </c>
      <c r="B644" s="2">
        <v>46014</v>
      </c>
      <c r="C644" t="s">
        <v>243</v>
      </c>
      <c r="D644" t="s">
        <v>80</v>
      </c>
      <c r="E644" t="s">
        <v>29</v>
      </c>
      <c r="F644">
        <v>38</v>
      </c>
      <c r="G644" t="s">
        <v>30</v>
      </c>
      <c r="H644" t="s">
        <v>31</v>
      </c>
      <c r="I644" t="s">
        <v>30</v>
      </c>
      <c r="J644" t="s">
        <v>69</v>
      </c>
      <c r="K644">
        <v>2</v>
      </c>
      <c r="L644">
        <v>46694</v>
      </c>
      <c r="M644">
        <v>10</v>
      </c>
      <c r="N644">
        <v>9338.7999999999993</v>
      </c>
      <c r="O644">
        <v>15128.86</v>
      </c>
      <c r="P644">
        <v>86</v>
      </c>
      <c r="Q644">
        <v>99264.06</v>
      </c>
      <c r="R644" t="s">
        <v>83</v>
      </c>
      <c r="S644" t="s">
        <v>34</v>
      </c>
      <c r="T644" t="s">
        <v>76</v>
      </c>
      <c r="U644" t="s">
        <v>77</v>
      </c>
      <c r="V644" t="s">
        <v>57</v>
      </c>
      <c r="W644">
        <v>6</v>
      </c>
      <c r="X644" t="s">
        <v>38</v>
      </c>
      <c r="Y644">
        <v>4</v>
      </c>
      <c r="Z644" t="s">
        <v>91</v>
      </c>
    </row>
    <row r="645" spans="1:26" x14ac:dyDescent="0.3">
      <c r="A645" t="s">
        <v>1197</v>
      </c>
      <c r="B645" s="2">
        <v>46049</v>
      </c>
      <c r="C645" t="s">
        <v>1198</v>
      </c>
      <c r="D645" t="s">
        <v>61</v>
      </c>
      <c r="E645" t="s">
        <v>29</v>
      </c>
      <c r="F645">
        <v>35</v>
      </c>
      <c r="G645" t="s">
        <v>94</v>
      </c>
      <c r="H645" t="s">
        <v>31</v>
      </c>
      <c r="I645" t="s">
        <v>94</v>
      </c>
      <c r="J645" t="s">
        <v>62</v>
      </c>
      <c r="K645">
        <v>5</v>
      </c>
      <c r="L645">
        <v>34344</v>
      </c>
      <c r="M645">
        <v>20</v>
      </c>
      <c r="N645">
        <v>34344</v>
      </c>
      <c r="O645">
        <v>24727.68</v>
      </c>
      <c r="P645">
        <v>473</v>
      </c>
      <c r="Q645">
        <v>162576.68</v>
      </c>
      <c r="R645" t="s">
        <v>33</v>
      </c>
      <c r="S645" t="s">
        <v>63</v>
      </c>
      <c r="T645" t="s">
        <v>103</v>
      </c>
      <c r="U645" t="s">
        <v>103</v>
      </c>
      <c r="V645" t="s">
        <v>57</v>
      </c>
      <c r="W645">
        <v>5</v>
      </c>
      <c r="X645" t="s">
        <v>47</v>
      </c>
      <c r="Y645">
        <v>5</v>
      </c>
      <c r="Z645" t="s">
        <v>58</v>
      </c>
    </row>
    <row r="646" spans="1:26" x14ac:dyDescent="0.3">
      <c r="A646" t="s">
        <v>1199</v>
      </c>
      <c r="B646" s="2">
        <v>46107</v>
      </c>
      <c r="C646" t="s">
        <v>1200</v>
      </c>
      <c r="D646" t="s">
        <v>42</v>
      </c>
      <c r="E646" t="s">
        <v>43</v>
      </c>
      <c r="F646">
        <v>22</v>
      </c>
      <c r="G646" t="s">
        <v>134</v>
      </c>
      <c r="H646" t="s">
        <v>31</v>
      </c>
      <c r="I646" t="s">
        <v>134</v>
      </c>
      <c r="J646" t="s">
        <v>75</v>
      </c>
      <c r="K646">
        <v>2</v>
      </c>
      <c r="L646">
        <v>36921</v>
      </c>
      <c r="M646">
        <v>20</v>
      </c>
      <c r="N646">
        <v>14768.4</v>
      </c>
      <c r="O646">
        <v>10633.25</v>
      </c>
      <c r="P646">
        <v>288</v>
      </c>
      <c r="Q646">
        <v>69994.850000000006</v>
      </c>
      <c r="R646" t="s">
        <v>54</v>
      </c>
      <c r="S646" t="s">
        <v>63</v>
      </c>
      <c r="T646" t="s">
        <v>55</v>
      </c>
      <c r="U646" t="s">
        <v>56</v>
      </c>
      <c r="V646" t="s">
        <v>57</v>
      </c>
      <c r="W646">
        <v>7</v>
      </c>
      <c r="X646" t="s">
        <v>47</v>
      </c>
      <c r="Y646">
        <v>5</v>
      </c>
      <c r="Z646" t="s">
        <v>58</v>
      </c>
    </row>
    <row r="647" spans="1:26" x14ac:dyDescent="0.3">
      <c r="A647" t="s">
        <v>1201</v>
      </c>
      <c r="B647" s="2">
        <v>45830</v>
      </c>
      <c r="C647" t="s">
        <v>310</v>
      </c>
      <c r="D647" t="s">
        <v>61</v>
      </c>
      <c r="E647" t="s">
        <v>29</v>
      </c>
      <c r="F647">
        <v>34</v>
      </c>
      <c r="G647" t="s">
        <v>30</v>
      </c>
      <c r="H647" t="s">
        <v>31</v>
      </c>
      <c r="I647" t="s">
        <v>30</v>
      </c>
      <c r="J647" t="s">
        <v>112</v>
      </c>
      <c r="K647">
        <v>3</v>
      </c>
      <c r="L647">
        <v>4374</v>
      </c>
      <c r="M647">
        <v>20</v>
      </c>
      <c r="N647">
        <v>2624.4</v>
      </c>
      <c r="O647">
        <v>1889.57</v>
      </c>
      <c r="P647">
        <v>36</v>
      </c>
      <c r="Q647">
        <v>12423.17</v>
      </c>
      <c r="R647" t="s">
        <v>83</v>
      </c>
      <c r="S647" t="s">
        <v>63</v>
      </c>
      <c r="T647" t="s">
        <v>55</v>
      </c>
      <c r="U647" t="s">
        <v>56</v>
      </c>
      <c r="V647" t="s">
        <v>57</v>
      </c>
      <c r="W647">
        <v>9</v>
      </c>
      <c r="X647" t="s">
        <v>47</v>
      </c>
      <c r="Y647">
        <v>1</v>
      </c>
      <c r="Z647" t="s">
        <v>91</v>
      </c>
    </row>
    <row r="648" spans="1:26" x14ac:dyDescent="0.3">
      <c r="A648" t="s">
        <v>1202</v>
      </c>
      <c r="B648" s="2">
        <v>45948</v>
      </c>
      <c r="C648" t="s">
        <v>1152</v>
      </c>
      <c r="D648" t="s">
        <v>80</v>
      </c>
      <c r="E648" t="s">
        <v>29</v>
      </c>
      <c r="F648">
        <v>24</v>
      </c>
      <c r="G648" t="s">
        <v>74</v>
      </c>
      <c r="H648" t="s">
        <v>31</v>
      </c>
      <c r="I648" t="s">
        <v>74</v>
      </c>
      <c r="J648" t="s">
        <v>102</v>
      </c>
      <c r="K648">
        <v>5</v>
      </c>
      <c r="L648">
        <v>31044</v>
      </c>
      <c r="M648">
        <v>20</v>
      </c>
      <c r="N648">
        <v>31044</v>
      </c>
      <c r="O648">
        <v>22351.68</v>
      </c>
      <c r="P648">
        <v>403</v>
      </c>
      <c r="Q648">
        <v>146930.68</v>
      </c>
      <c r="R648" t="s">
        <v>83</v>
      </c>
      <c r="S648" t="s">
        <v>34</v>
      </c>
      <c r="T648" t="s">
        <v>76</v>
      </c>
      <c r="U648" t="s">
        <v>77</v>
      </c>
      <c r="V648" t="s">
        <v>57</v>
      </c>
      <c r="W648">
        <v>5</v>
      </c>
      <c r="X648" t="s">
        <v>47</v>
      </c>
      <c r="Y648">
        <v>2</v>
      </c>
      <c r="Z648" t="s">
        <v>47</v>
      </c>
    </row>
    <row r="649" spans="1:26" x14ac:dyDescent="0.3">
      <c r="A649" t="s">
        <v>1203</v>
      </c>
      <c r="B649" s="2">
        <v>45786</v>
      </c>
      <c r="C649" t="s">
        <v>184</v>
      </c>
      <c r="D649" t="s">
        <v>111</v>
      </c>
      <c r="E649" t="s">
        <v>43</v>
      </c>
      <c r="F649">
        <v>57</v>
      </c>
      <c r="G649" t="s">
        <v>67</v>
      </c>
      <c r="H649" t="s">
        <v>68</v>
      </c>
      <c r="I649" t="s">
        <v>67</v>
      </c>
      <c r="J649" t="s">
        <v>69</v>
      </c>
      <c r="K649">
        <v>3</v>
      </c>
      <c r="L649">
        <v>43444</v>
      </c>
      <c r="M649">
        <v>0</v>
      </c>
      <c r="N649">
        <v>0</v>
      </c>
      <c r="O649">
        <v>23459.759999999998</v>
      </c>
      <c r="P649">
        <v>238</v>
      </c>
      <c r="Q649">
        <v>154029.76000000001</v>
      </c>
      <c r="R649" t="s">
        <v>33</v>
      </c>
      <c r="S649" t="s">
        <v>34</v>
      </c>
      <c r="T649" t="s">
        <v>46</v>
      </c>
      <c r="U649" t="s">
        <v>36</v>
      </c>
      <c r="V649" t="s">
        <v>37</v>
      </c>
      <c r="W649">
        <v>10</v>
      </c>
      <c r="X649" t="s">
        <v>38</v>
      </c>
      <c r="Y649">
        <v>4</v>
      </c>
      <c r="Z649" t="s">
        <v>91</v>
      </c>
    </row>
    <row r="650" spans="1:26" x14ac:dyDescent="0.3">
      <c r="A650" t="s">
        <v>1204</v>
      </c>
      <c r="B650" s="2">
        <v>46059</v>
      </c>
      <c r="C650" t="s">
        <v>971</v>
      </c>
      <c r="D650" t="s">
        <v>66</v>
      </c>
      <c r="E650" t="s">
        <v>29</v>
      </c>
      <c r="F650">
        <v>41</v>
      </c>
      <c r="G650" t="s">
        <v>44</v>
      </c>
      <c r="H650" t="s">
        <v>31</v>
      </c>
      <c r="I650" t="s">
        <v>44</v>
      </c>
      <c r="J650" t="s">
        <v>32</v>
      </c>
      <c r="K650">
        <v>2</v>
      </c>
      <c r="L650">
        <v>38898</v>
      </c>
      <c r="M650">
        <v>10</v>
      </c>
      <c r="N650">
        <v>7779.6</v>
      </c>
      <c r="O650">
        <v>12602.95</v>
      </c>
      <c r="P650">
        <v>277</v>
      </c>
      <c r="Q650">
        <v>82896.350000000006</v>
      </c>
      <c r="R650" t="s">
        <v>33</v>
      </c>
      <c r="S650" t="s">
        <v>34</v>
      </c>
      <c r="T650" t="s">
        <v>55</v>
      </c>
      <c r="U650" t="s">
        <v>56</v>
      </c>
      <c r="V650" t="s">
        <v>57</v>
      </c>
      <c r="W650">
        <v>10</v>
      </c>
      <c r="X650" t="s">
        <v>38</v>
      </c>
      <c r="Y650">
        <v>1</v>
      </c>
      <c r="Z650" t="s">
        <v>91</v>
      </c>
    </row>
    <row r="651" spans="1:26" x14ac:dyDescent="0.3">
      <c r="A651" t="s">
        <v>1205</v>
      </c>
      <c r="B651" s="2">
        <v>45773</v>
      </c>
      <c r="C651" t="s">
        <v>1097</v>
      </c>
      <c r="D651" t="s">
        <v>42</v>
      </c>
      <c r="E651" t="s">
        <v>43</v>
      </c>
      <c r="F651">
        <v>51</v>
      </c>
      <c r="G651" t="s">
        <v>90</v>
      </c>
      <c r="H651" t="s">
        <v>31</v>
      </c>
      <c r="I651" t="s">
        <v>90</v>
      </c>
      <c r="J651" t="s">
        <v>32</v>
      </c>
      <c r="K651">
        <v>3</v>
      </c>
      <c r="L651">
        <v>25634</v>
      </c>
      <c r="M651">
        <v>20</v>
      </c>
      <c r="N651">
        <v>15380.4</v>
      </c>
      <c r="O651">
        <v>11073.89</v>
      </c>
      <c r="P651">
        <v>490</v>
      </c>
      <c r="Q651">
        <v>73085.490000000005</v>
      </c>
      <c r="R651" t="s">
        <v>33</v>
      </c>
      <c r="S651" t="s">
        <v>34</v>
      </c>
      <c r="T651" t="s">
        <v>70</v>
      </c>
      <c r="U651" t="s">
        <v>56</v>
      </c>
      <c r="V651" t="s">
        <v>57</v>
      </c>
      <c r="W651">
        <v>10</v>
      </c>
      <c r="X651" t="s">
        <v>38</v>
      </c>
      <c r="Y651">
        <v>1</v>
      </c>
      <c r="Z651" t="s">
        <v>47</v>
      </c>
    </row>
    <row r="652" spans="1:26" x14ac:dyDescent="0.3">
      <c r="A652" t="s">
        <v>1206</v>
      </c>
      <c r="B652" s="2">
        <v>45872</v>
      </c>
      <c r="C652" t="s">
        <v>1207</v>
      </c>
      <c r="D652" t="s">
        <v>108</v>
      </c>
      <c r="E652" t="s">
        <v>43</v>
      </c>
      <c r="F652">
        <v>36</v>
      </c>
      <c r="G652" t="s">
        <v>74</v>
      </c>
      <c r="H652" t="s">
        <v>31</v>
      </c>
      <c r="I652" t="s">
        <v>74</v>
      </c>
      <c r="J652" t="s">
        <v>69</v>
      </c>
      <c r="K652">
        <v>1</v>
      </c>
      <c r="L652">
        <v>18070</v>
      </c>
      <c r="M652">
        <v>5</v>
      </c>
      <c r="N652">
        <v>903.5</v>
      </c>
      <c r="O652">
        <v>3089.97</v>
      </c>
      <c r="P652">
        <v>495</v>
      </c>
      <c r="Q652">
        <v>20751.47</v>
      </c>
      <c r="R652" t="s">
        <v>83</v>
      </c>
      <c r="S652" t="s">
        <v>34</v>
      </c>
      <c r="T652" t="s">
        <v>70</v>
      </c>
      <c r="U652" t="s">
        <v>56</v>
      </c>
      <c r="V652" t="s">
        <v>57</v>
      </c>
      <c r="W652">
        <v>6</v>
      </c>
      <c r="X652" t="s">
        <v>38</v>
      </c>
      <c r="Y652">
        <v>4</v>
      </c>
      <c r="Z652" t="s">
        <v>39</v>
      </c>
    </row>
    <row r="653" spans="1:26" x14ac:dyDescent="0.3">
      <c r="A653" t="s">
        <v>1208</v>
      </c>
      <c r="B653" s="2">
        <v>46090</v>
      </c>
      <c r="C653" t="s">
        <v>528</v>
      </c>
      <c r="D653" t="s">
        <v>61</v>
      </c>
      <c r="E653" t="s">
        <v>43</v>
      </c>
      <c r="F653">
        <v>56</v>
      </c>
      <c r="G653" t="s">
        <v>44</v>
      </c>
      <c r="H653" t="s">
        <v>31</v>
      </c>
      <c r="I653" t="s">
        <v>44</v>
      </c>
      <c r="J653" t="s">
        <v>62</v>
      </c>
      <c r="K653">
        <v>1</v>
      </c>
      <c r="L653">
        <v>25503</v>
      </c>
      <c r="M653">
        <v>15</v>
      </c>
      <c r="N653">
        <v>3825.45</v>
      </c>
      <c r="O653">
        <v>3901.96</v>
      </c>
      <c r="P653">
        <v>372</v>
      </c>
      <c r="Q653">
        <v>25951.51</v>
      </c>
      <c r="R653" t="s">
        <v>83</v>
      </c>
      <c r="S653" t="s">
        <v>63</v>
      </c>
      <c r="T653" t="s">
        <v>70</v>
      </c>
      <c r="U653" t="s">
        <v>56</v>
      </c>
      <c r="V653" t="s">
        <v>57</v>
      </c>
      <c r="W653">
        <v>1</v>
      </c>
      <c r="X653" t="s">
        <v>47</v>
      </c>
      <c r="Y653">
        <v>2</v>
      </c>
      <c r="Z653" t="s">
        <v>47</v>
      </c>
    </row>
    <row r="654" spans="1:26" x14ac:dyDescent="0.3">
      <c r="A654" t="s">
        <v>1209</v>
      </c>
      <c r="B654" s="2">
        <v>45838</v>
      </c>
      <c r="C654" t="s">
        <v>438</v>
      </c>
      <c r="D654" t="s">
        <v>61</v>
      </c>
      <c r="E654" t="s">
        <v>29</v>
      </c>
      <c r="F654">
        <v>48</v>
      </c>
      <c r="G654" t="s">
        <v>90</v>
      </c>
      <c r="H654" t="s">
        <v>31</v>
      </c>
      <c r="I654" t="s">
        <v>90</v>
      </c>
      <c r="J654" t="s">
        <v>53</v>
      </c>
      <c r="K654">
        <v>3</v>
      </c>
      <c r="L654">
        <v>23347</v>
      </c>
      <c r="M654">
        <v>20</v>
      </c>
      <c r="N654">
        <v>14008.2</v>
      </c>
      <c r="O654">
        <v>10085.9</v>
      </c>
      <c r="P654">
        <v>18</v>
      </c>
      <c r="Q654">
        <v>66136.7</v>
      </c>
      <c r="R654" t="s">
        <v>83</v>
      </c>
      <c r="S654" t="s">
        <v>34</v>
      </c>
      <c r="T654" t="s">
        <v>76</v>
      </c>
      <c r="U654" t="s">
        <v>77</v>
      </c>
      <c r="V654" t="s">
        <v>57</v>
      </c>
      <c r="W654">
        <v>4</v>
      </c>
      <c r="X654" t="s">
        <v>38</v>
      </c>
      <c r="Y654">
        <v>2</v>
      </c>
      <c r="Z654" t="s">
        <v>91</v>
      </c>
    </row>
    <row r="655" spans="1:26" x14ac:dyDescent="0.3">
      <c r="A655" t="s">
        <v>1210</v>
      </c>
      <c r="B655" s="2">
        <v>45776</v>
      </c>
      <c r="C655" t="s">
        <v>408</v>
      </c>
      <c r="D655" t="s">
        <v>73</v>
      </c>
      <c r="E655" t="s">
        <v>43</v>
      </c>
      <c r="F655">
        <v>37</v>
      </c>
      <c r="G655" t="s">
        <v>139</v>
      </c>
      <c r="H655" t="s">
        <v>31</v>
      </c>
      <c r="I655" t="s">
        <v>139</v>
      </c>
      <c r="J655" t="s">
        <v>201</v>
      </c>
      <c r="K655">
        <v>3</v>
      </c>
      <c r="L655">
        <v>34998</v>
      </c>
      <c r="M655">
        <v>0</v>
      </c>
      <c r="N655">
        <v>0</v>
      </c>
      <c r="O655">
        <v>18898.919999999998</v>
      </c>
      <c r="P655">
        <v>218</v>
      </c>
      <c r="Q655">
        <v>124110.92</v>
      </c>
      <c r="R655" t="s">
        <v>83</v>
      </c>
      <c r="S655" t="s">
        <v>34</v>
      </c>
      <c r="T655" t="s">
        <v>55</v>
      </c>
      <c r="U655" t="s">
        <v>56</v>
      </c>
      <c r="V655" t="s">
        <v>57</v>
      </c>
      <c r="W655">
        <v>3</v>
      </c>
      <c r="X655" t="s">
        <v>47</v>
      </c>
      <c r="Y655">
        <v>5</v>
      </c>
      <c r="Z655" t="s">
        <v>47</v>
      </c>
    </row>
    <row r="656" spans="1:26" x14ac:dyDescent="0.3">
      <c r="A656" t="s">
        <v>1211</v>
      </c>
      <c r="B656" s="2">
        <v>45768</v>
      </c>
      <c r="C656" t="s">
        <v>425</v>
      </c>
      <c r="D656" t="s">
        <v>73</v>
      </c>
      <c r="E656" t="s">
        <v>43</v>
      </c>
      <c r="F656">
        <v>60</v>
      </c>
      <c r="G656" t="s">
        <v>99</v>
      </c>
      <c r="H656" t="s">
        <v>52</v>
      </c>
      <c r="I656" t="s">
        <v>99</v>
      </c>
      <c r="J656" t="s">
        <v>112</v>
      </c>
      <c r="K656">
        <v>2</v>
      </c>
      <c r="L656">
        <v>20237</v>
      </c>
      <c r="M656">
        <v>20</v>
      </c>
      <c r="N656">
        <v>8094.8</v>
      </c>
      <c r="O656">
        <v>5828.26</v>
      </c>
      <c r="P656">
        <v>329</v>
      </c>
      <c r="Q656">
        <v>38536.46</v>
      </c>
      <c r="R656" t="s">
        <v>54</v>
      </c>
      <c r="S656" t="s">
        <v>34</v>
      </c>
      <c r="T656" t="s">
        <v>76</v>
      </c>
      <c r="U656" t="s">
        <v>77</v>
      </c>
      <c r="V656" t="s">
        <v>57</v>
      </c>
      <c r="W656">
        <v>3</v>
      </c>
      <c r="X656" t="s">
        <v>47</v>
      </c>
      <c r="Y656">
        <v>4</v>
      </c>
      <c r="Z656" t="s">
        <v>91</v>
      </c>
    </row>
    <row r="657" spans="1:26" x14ac:dyDescent="0.3">
      <c r="A657" t="s">
        <v>1212</v>
      </c>
      <c r="B657" s="2">
        <v>45933</v>
      </c>
      <c r="C657" t="s">
        <v>129</v>
      </c>
      <c r="D657" t="s">
        <v>28</v>
      </c>
      <c r="E657" t="s">
        <v>29</v>
      </c>
      <c r="F657">
        <v>30</v>
      </c>
      <c r="G657" t="s">
        <v>134</v>
      </c>
      <c r="H657" t="s">
        <v>31</v>
      </c>
      <c r="I657" t="s">
        <v>134</v>
      </c>
      <c r="J657" t="s">
        <v>32</v>
      </c>
      <c r="K657">
        <v>5</v>
      </c>
      <c r="L657">
        <v>48600</v>
      </c>
      <c r="M657">
        <v>15</v>
      </c>
      <c r="N657">
        <v>36450</v>
      </c>
      <c r="O657">
        <v>37179</v>
      </c>
      <c r="P657">
        <v>201</v>
      </c>
      <c r="Q657">
        <v>243930</v>
      </c>
      <c r="R657" t="s">
        <v>83</v>
      </c>
      <c r="S657" t="s">
        <v>63</v>
      </c>
      <c r="T657" t="s">
        <v>46</v>
      </c>
      <c r="U657" t="s">
        <v>36</v>
      </c>
      <c r="V657" t="s">
        <v>37</v>
      </c>
      <c r="W657">
        <v>8</v>
      </c>
      <c r="X657" t="s">
        <v>38</v>
      </c>
      <c r="Y657">
        <v>1</v>
      </c>
      <c r="Z657" t="s">
        <v>39</v>
      </c>
    </row>
    <row r="658" spans="1:26" x14ac:dyDescent="0.3">
      <c r="A658" t="s">
        <v>1213</v>
      </c>
      <c r="B658" s="2">
        <v>45941</v>
      </c>
      <c r="C658" t="s">
        <v>1214</v>
      </c>
      <c r="D658" t="s">
        <v>89</v>
      </c>
      <c r="E658" t="s">
        <v>29</v>
      </c>
      <c r="F658">
        <v>32</v>
      </c>
      <c r="G658" t="s">
        <v>30</v>
      </c>
      <c r="H658" t="s">
        <v>31</v>
      </c>
      <c r="I658" t="s">
        <v>30</v>
      </c>
      <c r="J658" t="s">
        <v>69</v>
      </c>
      <c r="K658">
        <v>5</v>
      </c>
      <c r="L658">
        <v>22607</v>
      </c>
      <c r="M658">
        <v>15</v>
      </c>
      <c r="N658">
        <v>16955.25</v>
      </c>
      <c r="O658">
        <v>17294.349999999999</v>
      </c>
      <c r="P658">
        <v>90</v>
      </c>
      <c r="Q658">
        <v>113464.1</v>
      </c>
      <c r="R658" t="s">
        <v>54</v>
      </c>
      <c r="S658" t="s">
        <v>34</v>
      </c>
      <c r="T658" t="s">
        <v>35</v>
      </c>
      <c r="U658" t="s">
        <v>36</v>
      </c>
      <c r="V658" t="s">
        <v>37</v>
      </c>
      <c r="W658">
        <v>6</v>
      </c>
      <c r="X658" t="s">
        <v>38</v>
      </c>
      <c r="Y658">
        <v>5</v>
      </c>
      <c r="Z658" t="s">
        <v>91</v>
      </c>
    </row>
    <row r="659" spans="1:26" x14ac:dyDescent="0.3">
      <c r="A659" t="s">
        <v>1215</v>
      </c>
      <c r="B659" s="2">
        <v>45935</v>
      </c>
      <c r="C659" t="s">
        <v>1216</v>
      </c>
      <c r="D659" t="s">
        <v>61</v>
      </c>
      <c r="E659" t="s">
        <v>43</v>
      </c>
      <c r="F659">
        <v>19</v>
      </c>
      <c r="G659" t="s">
        <v>94</v>
      </c>
      <c r="H659" t="s">
        <v>31</v>
      </c>
      <c r="I659" t="s">
        <v>94</v>
      </c>
      <c r="J659" t="s">
        <v>69</v>
      </c>
      <c r="K659">
        <v>3</v>
      </c>
      <c r="L659">
        <v>35119</v>
      </c>
      <c r="M659">
        <v>10</v>
      </c>
      <c r="N659">
        <v>10535.7</v>
      </c>
      <c r="O659">
        <v>17067.830000000002</v>
      </c>
      <c r="P659">
        <v>267</v>
      </c>
      <c r="Q659">
        <v>112156.13</v>
      </c>
      <c r="R659" t="s">
        <v>45</v>
      </c>
      <c r="S659" t="s">
        <v>34</v>
      </c>
      <c r="T659" t="s">
        <v>76</v>
      </c>
      <c r="U659" t="s">
        <v>77</v>
      </c>
      <c r="V659" t="s">
        <v>57</v>
      </c>
      <c r="W659">
        <v>5</v>
      </c>
      <c r="X659" t="s">
        <v>47</v>
      </c>
      <c r="Y659">
        <v>2</v>
      </c>
      <c r="Z659" t="s">
        <v>91</v>
      </c>
    </row>
    <row r="660" spans="1:26" x14ac:dyDescent="0.3">
      <c r="A660" t="s">
        <v>1217</v>
      </c>
      <c r="B660" s="2">
        <v>46119</v>
      </c>
      <c r="C660" t="s">
        <v>977</v>
      </c>
      <c r="D660" t="s">
        <v>28</v>
      </c>
      <c r="E660" t="s">
        <v>29</v>
      </c>
      <c r="F660">
        <v>49</v>
      </c>
      <c r="G660" t="s">
        <v>90</v>
      </c>
      <c r="H660" t="s">
        <v>31</v>
      </c>
      <c r="I660" t="s">
        <v>90</v>
      </c>
      <c r="J660" t="s">
        <v>62</v>
      </c>
      <c r="K660">
        <v>1</v>
      </c>
      <c r="L660">
        <v>23303</v>
      </c>
      <c r="M660">
        <v>10</v>
      </c>
      <c r="N660">
        <v>2330.3000000000002</v>
      </c>
      <c r="O660">
        <v>3775.09</v>
      </c>
      <c r="P660">
        <v>211</v>
      </c>
      <c r="Q660">
        <v>24958.79</v>
      </c>
      <c r="R660" t="s">
        <v>54</v>
      </c>
      <c r="S660" t="s">
        <v>34</v>
      </c>
      <c r="T660" t="s">
        <v>103</v>
      </c>
      <c r="U660" t="s">
        <v>103</v>
      </c>
      <c r="V660" t="s">
        <v>57</v>
      </c>
      <c r="W660">
        <v>10</v>
      </c>
      <c r="X660" t="s">
        <v>47</v>
      </c>
      <c r="Y660">
        <v>5</v>
      </c>
      <c r="Z660" t="s">
        <v>39</v>
      </c>
    </row>
    <row r="661" spans="1:26" x14ac:dyDescent="0.3">
      <c r="A661" t="s">
        <v>1218</v>
      </c>
      <c r="B661" s="2">
        <v>45839</v>
      </c>
      <c r="C661" t="s">
        <v>445</v>
      </c>
      <c r="D661" t="s">
        <v>61</v>
      </c>
      <c r="E661" t="s">
        <v>43</v>
      </c>
      <c r="F661">
        <v>47</v>
      </c>
      <c r="G661" t="s">
        <v>90</v>
      </c>
      <c r="H661" t="s">
        <v>31</v>
      </c>
      <c r="I661" t="s">
        <v>90</v>
      </c>
      <c r="J661" t="s">
        <v>150</v>
      </c>
      <c r="K661">
        <v>2</v>
      </c>
      <c r="L661">
        <v>47952</v>
      </c>
      <c r="M661">
        <v>20</v>
      </c>
      <c r="N661">
        <v>19180.8</v>
      </c>
      <c r="O661">
        <v>13810.18</v>
      </c>
      <c r="P661">
        <v>396</v>
      </c>
      <c r="Q661">
        <v>90929.38</v>
      </c>
      <c r="R661" t="s">
        <v>83</v>
      </c>
      <c r="S661" t="s">
        <v>34</v>
      </c>
      <c r="T661" t="s">
        <v>46</v>
      </c>
      <c r="U661" t="s">
        <v>36</v>
      </c>
      <c r="V661" t="s">
        <v>37</v>
      </c>
      <c r="W661">
        <v>6</v>
      </c>
      <c r="X661" t="s">
        <v>38</v>
      </c>
      <c r="Y661">
        <v>4</v>
      </c>
      <c r="Z661" t="s">
        <v>91</v>
      </c>
    </row>
    <row r="662" spans="1:26" x14ac:dyDescent="0.3">
      <c r="A662" t="s">
        <v>1219</v>
      </c>
      <c r="B662" s="2">
        <v>45945</v>
      </c>
      <c r="C662" t="s">
        <v>680</v>
      </c>
      <c r="D662" t="s">
        <v>66</v>
      </c>
      <c r="E662" t="s">
        <v>43</v>
      </c>
      <c r="F662">
        <v>56</v>
      </c>
      <c r="G662" t="s">
        <v>30</v>
      </c>
      <c r="H662" t="s">
        <v>31</v>
      </c>
      <c r="I662" t="s">
        <v>30</v>
      </c>
      <c r="J662" t="s">
        <v>102</v>
      </c>
      <c r="K662">
        <v>5</v>
      </c>
      <c r="L662">
        <v>32236</v>
      </c>
      <c r="M662">
        <v>0</v>
      </c>
      <c r="N662">
        <v>0</v>
      </c>
      <c r="O662">
        <v>29012.400000000001</v>
      </c>
      <c r="P662">
        <v>327</v>
      </c>
      <c r="Q662">
        <v>190519.4</v>
      </c>
      <c r="R662" t="s">
        <v>54</v>
      </c>
      <c r="S662" t="s">
        <v>34</v>
      </c>
      <c r="T662" t="s">
        <v>55</v>
      </c>
      <c r="U662" t="s">
        <v>56</v>
      </c>
      <c r="V662" t="s">
        <v>57</v>
      </c>
      <c r="W662">
        <v>6</v>
      </c>
      <c r="X662" t="s">
        <v>38</v>
      </c>
      <c r="Y662">
        <v>4</v>
      </c>
      <c r="Z662" t="s">
        <v>47</v>
      </c>
    </row>
    <row r="663" spans="1:26" x14ac:dyDescent="0.3">
      <c r="A663" t="s">
        <v>1220</v>
      </c>
      <c r="B663" s="2">
        <v>45933</v>
      </c>
      <c r="C663" t="s">
        <v>279</v>
      </c>
      <c r="D663" t="s">
        <v>80</v>
      </c>
      <c r="E663" t="s">
        <v>43</v>
      </c>
      <c r="F663">
        <v>29</v>
      </c>
      <c r="G663" t="s">
        <v>90</v>
      </c>
      <c r="H663" t="s">
        <v>31</v>
      </c>
      <c r="I663" t="s">
        <v>90</v>
      </c>
      <c r="J663" t="s">
        <v>201</v>
      </c>
      <c r="K663">
        <v>1</v>
      </c>
      <c r="L663">
        <v>35972</v>
      </c>
      <c r="M663">
        <v>5</v>
      </c>
      <c r="N663">
        <v>1798.6</v>
      </c>
      <c r="O663">
        <v>6151.21</v>
      </c>
      <c r="P663">
        <v>96</v>
      </c>
      <c r="Q663">
        <v>40420.61</v>
      </c>
      <c r="R663" t="s">
        <v>54</v>
      </c>
      <c r="S663" t="s">
        <v>34</v>
      </c>
      <c r="T663" t="s">
        <v>84</v>
      </c>
      <c r="U663" t="s">
        <v>85</v>
      </c>
      <c r="V663" t="s">
        <v>86</v>
      </c>
      <c r="W663">
        <v>10</v>
      </c>
      <c r="X663" t="s">
        <v>38</v>
      </c>
      <c r="Y663">
        <v>4</v>
      </c>
      <c r="Z663" t="s">
        <v>47</v>
      </c>
    </row>
    <row r="664" spans="1:26" x14ac:dyDescent="0.3">
      <c r="A664" t="s">
        <v>1221</v>
      </c>
      <c r="B664" s="2">
        <v>46074</v>
      </c>
      <c r="C664" t="s">
        <v>1222</v>
      </c>
      <c r="D664" t="s">
        <v>50</v>
      </c>
      <c r="E664" t="s">
        <v>29</v>
      </c>
      <c r="F664">
        <v>34</v>
      </c>
      <c r="G664" t="s">
        <v>134</v>
      </c>
      <c r="H664" t="s">
        <v>31</v>
      </c>
      <c r="I664" t="s">
        <v>134</v>
      </c>
      <c r="J664" t="s">
        <v>32</v>
      </c>
      <c r="K664">
        <v>3</v>
      </c>
      <c r="L664">
        <v>43548</v>
      </c>
      <c r="M664">
        <v>10</v>
      </c>
      <c r="N664">
        <v>13064.4</v>
      </c>
      <c r="O664">
        <v>21164.33</v>
      </c>
      <c r="P664">
        <v>336</v>
      </c>
      <c r="Q664">
        <v>139079.93</v>
      </c>
      <c r="R664" t="s">
        <v>54</v>
      </c>
      <c r="S664" t="s">
        <v>34</v>
      </c>
      <c r="T664" t="s">
        <v>70</v>
      </c>
      <c r="U664" t="s">
        <v>56</v>
      </c>
      <c r="V664" t="s">
        <v>57</v>
      </c>
      <c r="W664">
        <v>8</v>
      </c>
      <c r="X664" t="s">
        <v>38</v>
      </c>
      <c r="Y664">
        <v>4</v>
      </c>
      <c r="Z664" t="s">
        <v>47</v>
      </c>
    </row>
    <row r="665" spans="1:26" x14ac:dyDescent="0.3">
      <c r="A665" t="s">
        <v>1223</v>
      </c>
      <c r="B665" s="2">
        <v>46090</v>
      </c>
      <c r="C665" t="s">
        <v>1224</v>
      </c>
      <c r="D665" t="s">
        <v>108</v>
      </c>
      <c r="E665" t="s">
        <v>29</v>
      </c>
      <c r="F665">
        <v>54</v>
      </c>
      <c r="G665" t="s">
        <v>74</v>
      </c>
      <c r="H665" t="s">
        <v>31</v>
      </c>
      <c r="I665" t="s">
        <v>74</v>
      </c>
      <c r="J665" t="s">
        <v>75</v>
      </c>
      <c r="K665">
        <v>4</v>
      </c>
      <c r="L665">
        <v>7915</v>
      </c>
      <c r="M665">
        <v>10</v>
      </c>
      <c r="N665">
        <v>3166</v>
      </c>
      <c r="O665">
        <v>5128.92</v>
      </c>
      <c r="P665">
        <v>361</v>
      </c>
      <c r="Q665">
        <v>33983.919999999998</v>
      </c>
      <c r="R665" t="s">
        <v>33</v>
      </c>
      <c r="S665" t="s">
        <v>34</v>
      </c>
      <c r="T665" t="s">
        <v>84</v>
      </c>
      <c r="U665" t="s">
        <v>85</v>
      </c>
      <c r="V665" t="s">
        <v>86</v>
      </c>
      <c r="W665">
        <v>5</v>
      </c>
      <c r="X665" t="s">
        <v>47</v>
      </c>
      <c r="Y665">
        <v>1</v>
      </c>
      <c r="Z665" t="s">
        <v>47</v>
      </c>
    </row>
    <row r="666" spans="1:26" x14ac:dyDescent="0.3">
      <c r="A666" t="s">
        <v>1225</v>
      </c>
      <c r="B666" s="2">
        <v>45905</v>
      </c>
      <c r="C666" t="s">
        <v>1226</v>
      </c>
      <c r="D666" t="s">
        <v>89</v>
      </c>
      <c r="E666" t="s">
        <v>43</v>
      </c>
      <c r="F666">
        <v>45</v>
      </c>
      <c r="G666" t="s">
        <v>139</v>
      </c>
      <c r="H666" t="s">
        <v>31</v>
      </c>
      <c r="I666" t="s">
        <v>139</v>
      </c>
      <c r="J666" t="s">
        <v>102</v>
      </c>
      <c r="K666">
        <v>3</v>
      </c>
      <c r="L666">
        <v>3759</v>
      </c>
      <c r="M666">
        <v>0</v>
      </c>
      <c r="N666">
        <v>0</v>
      </c>
      <c r="O666">
        <v>2029.86</v>
      </c>
      <c r="P666">
        <v>446</v>
      </c>
      <c r="Q666">
        <v>13752.86</v>
      </c>
      <c r="R666" t="s">
        <v>45</v>
      </c>
      <c r="S666" t="s">
        <v>34</v>
      </c>
      <c r="T666" t="s">
        <v>76</v>
      </c>
      <c r="U666" t="s">
        <v>77</v>
      </c>
      <c r="V666" t="s">
        <v>57</v>
      </c>
      <c r="W666">
        <v>4</v>
      </c>
      <c r="X666" t="s">
        <v>38</v>
      </c>
      <c r="Y666">
        <v>4</v>
      </c>
      <c r="Z666" t="s">
        <v>39</v>
      </c>
    </row>
    <row r="667" spans="1:26" x14ac:dyDescent="0.3">
      <c r="A667" t="s">
        <v>1227</v>
      </c>
      <c r="B667" s="2">
        <v>46101</v>
      </c>
      <c r="C667" t="s">
        <v>1077</v>
      </c>
      <c r="D667" t="s">
        <v>42</v>
      </c>
      <c r="E667" t="s">
        <v>43</v>
      </c>
      <c r="F667">
        <v>18</v>
      </c>
      <c r="G667" t="s">
        <v>99</v>
      </c>
      <c r="H667" t="s">
        <v>52</v>
      </c>
      <c r="I667" t="s">
        <v>99</v>
      </c>
      <c r="J667" t="s">
        <v>125</v>
      </c>
      <c r="K667">
        <v>1</v>
      </c>
      <c r="L667">
        <v>17726</v>
      </c>
      <c r="M667">
        <v>10</v>
      </c>
      <c r="N667">
        <v>1772.6</v>
      </c>
      <c r="O667">
        <v>2871.61</v>
      </c>
      <c r="P667">
        <v>165</v>
      </c>
      <c r="Q667">
        <v>18990.009999999998</v>
      </c>
      <c r="R667" t="s">
        <v>33</v>
      </c>
      <c r="S667" t="s">
        <v>34</v>
      </c>
      <c r="T667" t="s">
        <v>55</v>
      </c>
      <c r="U667" t="s">
        <v>56</v>
      </c>
      <c r="V667" t="s">
        <v>57</v>
      </c>
      <c r="W667">
        <v>8</v>
      </c>
      <c r="X667" t="s">
        <v>47</v>
      </c>
      <c r="Y667">
        <v>5</v>
      </c>
      <c r="Z667" t="s">
        <v>47</v>
      </c>
    </row>
    <row r="668" spans="1:26" x14ac:dyDescent="0.3">
      <c r="A668" t="s">
        <v>1228</v>
      </c>
      <c r="B668" s="2">
        <v>45931</v>
      </c>
      <c r="C668" t="s">
        <v>1229</v>
      </c>
      <c r="D668" t="s">
        <v>61</v>
      </c>
      <c r="E668" t="s">
        <v>29</v>
      </c>
      <c r="F668">
        <v>56</v>
      </c>
      <c r="G668" t="s">
        <v>99</v>
      </c>
      <c r="H668" t="s">
        <v>52</v>
      </c>
      <c r="I668" t="s">
        <v>99</v>
      </c>
      <c r="J668" t="s">
        <v>53</v>
      </c>
      <c r="K668">
        <v>3</v>
      </c>
      <c r="L668">
        <v>13518</v>
      </c>
      <c r="M668">
        <v>0</v>
      </c>
      <c r="N668">
        <v>0</v>
      </c>
      <c r="O668">
        <v>7299.72</v>
      </c>
      <c r="P668">
        <v>220</v>
      </c>
      <c r="Q668">
        <v>48073.72</v>
      </c>
      <c r="R668" t="s">
        <v>33</v>
      </c>
      <c r="S668" t="s">
        <v>63</v>
      </c>
      <c r="T668" t="s">
        <v>70</v>
      </c>
      <c r="U668" t="s">
        <v>56</v>
      </c>
      <c r="V668" t="s">
        <v>57</v>
      </c>
      <c r="W668">
        <v>9</v>
      </c>
      <c r="X668" t="s">
        <v>38</v>
      </c>
      <c r="Y668">
        <v>4</v>
      </c>
      <c r="Z668" t="s">
        <v>47</v>
      </c>
    </row>
    <row r="669" spans="1:26" x14ac:dyDescent="0.3">
      <c r="A669" t="s">
        <v>1230</v>
      </c>
      <c r="B669" s="2">
        <v>46109</v>
      </c>
      <c r="C669" t="s">
        <v>1231</v>
      </c>
      <c r="D669" t="s">
        <v>89</v>
      </c>
      <c r="E669" t="s">
        <v>29</v>
      </c>
      <c r="F669">
        <v>43</v>
      </c>
      <c r="G669" t="s">
        <v>30</v>
      </c>
      <c r="H669" t="s">
        <v>31</v>
      </c>
      <c r="I669" t="s">
        <v>30</v>
      </c>
      <c r="J669" t="s">
        <v>150</v>
      </c>
      <c r="K669">
        <v>5</v>
      </c>
      <c r="L669">
        <v>48662</v>
      </c>
      <c r="M669">
        <v>0</v>
      </c>
      <c r="N669">
        <v>0</v>
      </c>
      <c r="O669">
        <v>43795.8</v>
      </c>
      <c r="P669">
        <v>270</v>
      </c>
      <c r="Q669">
        <v>287375.8</v>
      </c>
      <c r="R669" t="s">
        <v>45</v>
      </c>
      <c r="S669" t="s">
        <v>63</v>
      </c>
      <c r="T669" t="s">
        <v>35</v>
      </c>
      <c r="U669" t="s">
        <v>36</v>
      </c>
      <c r="V669" t="s">
        <v>37</v>
      </c>
      <c r="W669">
        <v>10</v>
      </c>
      <c r="X669" t="s">
        <v>38</v>
      </c>
      <c r="Y669">
        <v>5</v>
      </c>
      <c r="Z669" t="s">
        <v>39</v>
      </c>
    </row>
    <row r="670" spans="1:26" x14ac:dyDescent="0.3">
      <c r="A670" t="s">
        <v>1232</v>
      </c>
      <c r="B670" s="2">
        <v>45998</v>
      </c>
      <c r="C670" t="s">
        <v>851</v>
      </c>
      <c r="D670" t="s">
        <v>73</v>
      </c>
      <c r="E670" t="s">
        <v>43</v>
      </c>
      <c r="F670">
        <v>32</v>
      </c>
      <c r="G670" t="s">
        <v>44</v>
      </c>
      <c r="H670" t="s">
        <v>31</v>
      </c>
      <c r="I670" t="s">
        <v>44</v>
      </c>
      <c r="J670" t="s">
        <v>112</v>
      </c>
      <c r="K670">
        <v>4</v>
      </c>
      <c r="L670">
        <v>48803</v>
      </c>
      <c r="M670">
        <v>0</v>
      </c>
      <c r="N670">
        <v>0</v>
      </c>
      <c r="O670">
        <v>35138.160000000003</v>
      </c>
      <c r="P670">
        <v>191</v>
      </c>
      <c r="Q670">
        <v>230541.16</v>
      </c>
      <c r="R670" t="s">
        <v>83</v>
      </c>
      <c r="S670" t="s">
        <v>34</v>
      </c>
      <c r="T670" t="s">
        <v>35</v>
      </c>
      <c r="U670" t="s">
        <v>36</v>
      </c>
      <c r="V670" t="s">
        <v>37</v>
      </c>
      <c r="W670">
        <v>2</v>
      </c>
      <c r="X670" t="s">
        <v>38</v>
      </c>
      <c r="Y670">
        <v>2</v>
      </c>
      <c r="Z670" t="s">
        <v>47</v>
      </c>
    </row>
    <row r="671" spans="1:26" x14ac:dyDescent="0.3">
      <c r="A671" t="s">
        <v>1233</v>
      </c>
      <c r="B671" s="2">
        <v>46072</v>
      </c>
      <c r="C671" t="s">
        <v>1234</v>
      </c>
      <c r="D671" t="s">
        <v>61</v>
      </c>
      <c r="E671" t="s">
        <v>29</v>
      </c>
      <c r="F671">
        <v>33</v>
      </c>
      <c r="G671" t="s">
        <v>74</v>
      </c>
      <c r="H671" t="s">
        <v>31</v>
      </c>
      <c r="I671" t="s">
        <v>74</v>
      </c>
      <c r="J671" t="s">
        <v>62</v>
      </c>
      <c r="K671">
        <v>1</v>
      </c>
      <c r="L671">
        <v>20388</v>
      </c>
      <c r="M671">
        <v>0</v>
      </c>
      <c r="N671">
        <v>0</v>
      </c>
      <c r="O671">
        <v>3669.84</v>
      </c>
      <c r="P671">
        <v>118</v>
      </c>
      <c r="Q671">
        <v>24175.84</v>
      </c>
      <c r="R671" t="s">
        <v>54</v>
      </c>
      <c r="S671" t="s">
        <v>34</v>
      </c>
      <c r="T671" t="s">
        <v>55</v>
      </c>
      <c r="U671" t="s">
        <v>56</v>
      </c>
      <c r="V671" t="s">
        <v>57</v>
      </c>
      <c r="W671">
        <v>2</v>
      </c>
      <c r="X671" t="s">
        <v>47</v>
      </c>
      <c r="Y671">
        <v>2</v>
      </c>
      <c r="Z671" t="s">
        <v>91</v>
      </c>
    </row>
    <row r="672" spans="1:26" x14ac:dyDescent="0.3">
      <c r="A672" t="s">
        <v>1235</v>
      </c>
      <c r="B672" s="2">
        <v>46085</v>
      </c>
      <c r="C672" t="s">
        <v>713</v>
      </c>
      <c r="D672" t="s">
        <v>89</v>
      </c>
      <c r="E672" t="s">
        <v>29</v>
      </c>
      <c r="F672">
        <v>54</v>
      </c>
      <c r="G672" t="s">
        <v>51</v>
      </c>
      <c r="H672" t="s">
        <v>52</v>
      </c>
      <c r="I672" t="s">
        <v>51</v>
      </c>
      <c r="J672" t="s">
        <v>69</v>
      </c>
      <c r="K672">
        <v>1</v>
      </c>
      <c r="L672">
        <v>38234</v>
      </c>
      <c r="M672">
        <v>15</v>
      </c>
      <c r="N672">
        <v>5735.1</v>
      </c>
      <c r="O672">
        <v>5849.8</v>
      </c>
      <c r="P672">
        <v>117</v>
      </c>
      <c r="Q672">
        <v>38465.699999999997</v>
      </c>
      <c r="R672" t="s">
        <v>33</v>
      </c>
      <c r="S672" t="s">
        <v>34</v>
      </c>
      <c r="T672" t="s">
        <v>46</v>
      </c>
      <c r="U672" t="s">
        <v>36</v>
      </c>
      <c r="V672" t="s">
        <v>37</v>
      </c>
      <c r="W672">
        <v>6</v>
      </c>
      <c r="X672" t="s">
        <v>47</v>
      </c>
      <c r="Y672">
        <v>3</v>
      </c>
      <c r="Z672" t="s">
        <v>58</v>
      </c>
    </row>
    <row r="673" spans="1:26" x14ac:dyDescent="0.3">
      <c r="A673" t="s">
        <v>1236</v>
      </c>
      <c r="B673" s="2">
        <v>45898</v>
      </c>
      <c r="C673" t="s">
        <v>1237</v>
      </c>
      <c r="D673" t="s">
        <v>50</v>
      </c>
      <c r="E673" t="s">
        <v>43</v>
      </c>
      <c r="F673">
        <v>26</v>
      </c>
      <c r="G673" t="s">
        <v>134</v>
      </c>
      <c r="H673" t="s">
        <v>31</v>
      </c>
      <c r="I673" t="s">
        <v>134</v>
      </c>
      <c r="J673" t="s">
        <v>125</v>
      </c>
      <c r="K673">
        <v>3</v>
      </c>
      <c r="L673">
        <v>36323</v>
      </c>
      <c r="M673">
        <v>10</v>
      </c>
      <c r="N673">
        <v>10896.9</v>
      </c>
      <c r="O673">
        <v>17652.98</v>
      </c>
      <c r="P673">
        <v>446</v>
      </c>
      <c r="Q673">
        <v>116171.08</v>
      </c>
      <c r="R673" t="s">
        <v>83</v>
      </c>
      <c r="S673" t="s">
        <v>34</v>
      </c>
      <c r="T673" t="s">
        <v>46</v>
      </c>
      <c r="U673" t="s">
        <v>36</v>
      </c>
      <c r="V673" t="s">
        <v>37</v>
      </c>
      <c r="W673">
        <v>3</v>
      </c>
      <c r="X673" t="s">
        <v>38</v>
      </c>
      <c r="Y673">
        <v>2</v>
      </c>
      <c r="Z673" t="s">
        <v>39</v>
      </c>
    </row>
    <row r="674" spans="1:26" x14ac:dyDescent="0.3">
      <c r="A674" t="s">
        <v>1238</v>
      </c>
      <c r="B674" s="2">
        <v>45789</v>
      </c>
      <c r="C674" t="s">
        <v>1239</v>
      </c>
      <c r="D674" t="s">
        <v>111</v>
      </c>
      <c r="E674" t="s">
        <v>29</v>
      </c>
      <c r="F674">
        <v>28</v>
      </c>
      <c r="G674" t="s">
        <v>30</v>
      </c>
      <c r="H674" t="s">
        <v>31</v>
      </c>
      <c r="I674" t="s">
        <v>30</v>
      </c>
      <c r="J674" t="s">
        <v>75</v>
      </c>
      <c r="K674">
        <v>1</v>
      </c>
      <c r="L674">
        <v>37469</v>
      </c>
      <c r="M674">
        <v>10</v>
      </c>
      <c r="N674">
        <v>3746.9</v>
      </c>
      <c r="O674">
        <v>6069.98</v>
      </c>
      <c r="P674">
        <v>343</v>
      </c>
      <c r="Q674">
        <v>40135.08</v>
      </c>
      <c r="R674" t="s">
        <v>45</v>
      </c>
      <c r="S674" t="s">
        <v>63</v>
      </c>
      <c r="T674" t="s">
        <v>46</v>
      </c>
      <c r="U674" t="s">
        <v>36</v>
      </c>
      <c r="V674" t="s">
        <v>37</v>
      </c>
      <c r="W674">
        <v>8</v>
      </c>
      <c r="X674" t="s">
        <v>47</v>
      </c>
      <c r="Y674">
        <v>3</v>
      </c>
      <c r="Z674" t="s">
        <v>91</v>
      </c>
    </row>
    <row r="675" spans="1:26" x14ac:dyDescent="0.3">
      <c r="A675" t="s">
        <v>1240</v>
      </c>
      <c r="B675" s="2">
        <v>45947</v>
      </c>
      <c r="C675" t="s">
        <v>235</v>
      </c>
      <c r="D675" t="s">
        <v>80</v>
      </c>
      <c r="E675" t="s">
        <v>29</v>
      </c>
      <c r="F675">
        <v>40</v>
      </c>
      <c r="G675" t="s">
        <v>67</v>
      </c>
      <c r="H675" t="s">
        <v>68</v>
      </c>
      <c r="I675" t="s">
        <v>67</v>
      </c>
      <c r="J675" t="s">
        <v>69</v>
      </c>
      <c r="K675">
        <v>2</v>
      </c>
      <c r="L675">
        <v>8036</v>
      </c>
      <c r="M675">
        <v>15</v>
      </c>
      <c r="N675">
        <v>2410.8000000000002</v>
      </c>
      <c r="O675">
        <v>2459.02</v>
      </c>
      <c r="P675">
        <v>129</v>
      </c>
      <c r="Q675">
        <v>16249.22</v>
      </c>
      <c r="R675" t="s">
        <v>33</v>
      </c>
      <c r="S675" t="s">
        <v>63</v>
      </c>
      <c r="T675" t="s">
        <v>76</v>
      </c>
      <c r="U675" t="s">
        <v>77</v>
      </c>
      <c r="V675" t="s">
        <v>57</v>
      </c>
      <c r="W675">
        <v>8</v>
      </c>
      <c r="X675" t="s">
        <v>47</v>
      </c>
      <c r="Y675">
        <v>5</v>
      </c>
      <c r="Z675" t="s">
        <v>47</v>
      </c>
    </row>
    <row r="676" spans="1:26" x14ac:dyDescent="0.3">
      <c r="A676" t="s">
        <v>1241</v>
      </c>
      <c r="B676" s="2">
        <v>45940</v>
      </c>
      <c r="C676" t="s">
        <v>654</v>
      </c>
      <c r="D676" t="s">
        <v>28</v>
      </c>
      <c r="E676" t="s">
        <v>43</v>
      </c>
      <c r="F676">
        <v>34</v>
      </c>
      <c r="G676" t="s">
        <v>51</v>
      </c>
      <c r="H676" t="s">
        <v>52</v>
      </c>
      <c r="I676" t="s">
        <v>51</v>
      </c>
      <c r="J676" t="s">
        <v>201</v>
      </c>
      <c r="K676">
        <v>1</v>
      </c>
      <c r="L676">
        <v>7033</v>
      </c>
      <c r="M676">
        <v>0</v>
      </c>
      <c r="N676">
        <v>0</v>
      </c>
      <c r="O676">
        <v>1265.94</v>
      </c>
      <c r="P676">
        <v>330</v>
      </c>
      <c r="Q676">
        <v>8628.94</v>
      </c>
      <c r="R676" t="s">
        <v>54</v>
      </c>
      <c r="S676" t="s">
        <v>63</v>
      </c>
      <c r="T676" t="s">
        <v>103</v>
      </c>
      <c r="U676" t="s">
        <v>103</v>
      </c>
      <c r="V676" t="s">
        <v>57</v>
      </c>
      <c r="W676">
        <v>9</v>
      </c>
      <c r="X676" t="s">
        <v>38</v>
      </c>
      <c r="Y676">
        <v>5</v>
      </c>
      <c r="Z676" t="s">
        <v>47</v>
      </c>
    </row>
    <row r="677" spans="1:26" x14ac:dyDescent="0.3">
      <c r="A677" t="s">
        <v>1242</v>
      </c>
      <c r="B677" s="2">
        <v>46047</v>
      </c>
      <c r="C677" t="s">
        <v>1243</v>
      </c>
      <c r="D677" t="s">
        <v>28</v>
      </c>
      <c r="E677" t="s">
        <v>43</v>
      </c>
      <c r="F677">
        <v>54</v>
      </c>
      <c r="G677" t="s">
        <v>67</v>
      </c>
      <c r="H677" t="s">
        <v>68</v>
      </c>
      <c r="I677" t="s">
        <v>67</v>
      </c>
      <c r="J677" t="s">
        <v>125</v>
      </c>
      <c r="K677">
        <v>3</v>
      </c>
      <c r="L677">
        <v>21275</v>
      </c>
      <c r="M677">
        <v>10</v>
      </c>
      <c r="N677">
        <v>6382.5</v>
      </c>
      <c r="O677">
        <v>10339.65</v>
      </c>
      <c r="P677">
        <v>126</v>
      </c>
      <c r="Q677">
        <v>67908.149999999994</v>
      </c>
      <c r="R677" t="s">
        <v>83</v>
      </c>
      <c r="S677" t="s">
        <v>34</v>
      </c>
      <c r="T677" t="s">
        <v>76</v>
      </c>
      <c r="U677" t="s">
        <v>77</v>
      </c>
      <c r="V677" t="s">
        <v>57</v>
      </c>
      <c r="W677">
        <v>7</v>
      </c>
      <c r="X677" t="s">
        <v>47</v>
      </c>
      <c r="Y677">
        <v>5</v>
      </c>
      <c r="Z677" t="s">
        <v>47</v>
      </c>
    </row>
    <row r="678" spans="1:26" x14ac:dyDescent="0.3">
      <c r="A678" t="s">
        <v>1244</v>
      </c>
      <c r="B678" s="2">
        <v>46043</v>
      </c>
      <c r="C678" t="s">
        <v>1245</v>
      </c>
      <c r="D678" t="s">
        <v>42</v>
      </c>
      <c r="E678" t="s">
        <v>29</v>
      </c>
      <c r="F678">
        <v>26</v>
      </c>
      <c r="G678" t="s">
        <v>44</v>
      </c>
      <c r="H678" t="s">
        <v>31</v>
      </c>
      <c r="I678" t="s">
        <v>44</v>
      </c>
      <c r="J678" t="s">
        <v>32</v>
      </c>
      <c r="K678">
        <v>1</v>
      </c>
      <c r="L678">
        <v>30273</v>
      </c>
      <c r="M678">
        <v>0</v>
      </c>
      <c r="N678">
        <v>0</v>
      </c>
      <c r="O678">
        <v>5449.14</v>
      </c>
      <c r="P678">
        <v>128</v>
      </c>
      <c r="Q678">
        <v>35850.14</v>
      </c>
      <c r="R678" t="s">
        <v>45</v>
      </c>
      <c r="S678" t="s">
        <v>34</v>
      </c>
      <c r="T678" t="s">
        <v>95</v>
      </c>
      <c r="U678" t="s">
        <v>96</v>
      </c>
      <c r="V678" t="s">
        <v>57</v>
      </c>
      <c r="W678">
        <v>3</v>
      </c>
      <c r="X678" t="s">
        <v>47</v>
      </c>
      <c r="Y678">
        <v>2</v>
      </c>
      <c r="Z678" t="s">
        <v>91</v>
      </c>
    </row>
    <row r="679" spans="1:26" x14ac:dyDescent="0.3">
      <c r="A679" t="s">
        <v>1246</v>
      </c>
      <c r="B679" s="2">
        <v>45773</v>
      </c>
      <c r="C679" t="s">
        <v>1200</v>
      </c>
      <c r="D679" t="s">
        <v>89</v>
      </c>
      <c r="E679" t="s">
        <v>29</v>
      </c>
      <c r="F679">
        <v>46</v>
      </c>
      <c r="G679" t="s">
        <v>44</v>
      </c>
      <c r="H679" t="s">
        <v>31</v>
      </c>
      <c r="I679" t="s">
        <v>44</v>
      </c>
      <c r="J679" t="s">
        <v>75</v>
      </c>
      <c r="K679">
        <v>5</v>
      </c>
      <c r="L679">
        <v>35557</v>
      </c>
      <c r="M679">
        <v>20</v>
      </c>
      <c r="N679">
        <v>35557</v>
      </c>
      <c r="O679">
        <v>25601.040000000001</v>
      </c>
      <c r="P679">
        <v>86</v>
      </c>
      <c r="Q679">
        <v>167915.04</v>
      </c>
      <c r="R679" t="s">
        <v>54</v>
      </c>
      <c r="S679" t="s">
        <v>34</v>
      </c>
      <c r="T679" t="s">
        <v>35</v>
      </c>
      <c r="U679" t="s">
        <v>36</v>
      </c>
      <c r="V679" t="s">
        <v>37</v>
      </c>
      <c r="W679">
        <v>9</v>
      </c>
      <c r="X679" t="s">
        <v>47</v>
      </c>
      <c r="Y679">
        <v>1</v>
      </c>
      <c r="Z679" t="s">
        <v>47</v>
      </c>
    </row>
    <row r="680" spans="1:26" x14ac:dyDescent="0.3">
      <c r="A680" t="s">
        <v>1247</v>
      </c>
      <c r="B680" s="2">
        <v>45858</v>
      </c>
      <c r="C680" t="s">
        <v>1248</v>
      </c>
      <c r="D680" t="s">
        <v>73</v>
      </c>
      <c r="E680" t="s">
        <v>43</v>
      </c>
      <c r="F680">
        <v>43</v>
      </c>
      <c r="G680" t="s">
        <v>90</v>
      </c>
      <c r="H680" t="s">
        <v>31</v>
      </c>
      <c r="I680" t="s">
        <v>90</v>
      </c>
      <c r="J680" t="s">
        <v>125</v>
      </c>
      <c r="K680">
        <v>4</v>
      </c>
      <c r="L680">
        <v>43332</v>
      </c>
      <c r="M680">
        <v>20</v>
      </c>
      <c r="N680">
        <v>34665.599999999999</v>
      </c>
      <c r="O680">
        <v>24959.23</v>
      </c>
      <c r="P680">
        <v>354</v>
      </c>
      <c r="Q680">
        <v>163975.63</v>
      </c>
      <c r="R680" t="s">
        <v>54</v>
      </c>
      <c r="S680" t="s">
        <v>63</v>
      </c>
      <c r="T680" t="s">
        <v>95</v>
      </c>
      <c r="U680" t="s">
        <v>96</v>
      </c>
      <c r="V680" t="s">
        <v>57</v>
      </c>
      <c r="W680">
        <v>1</v>
      </c>
      <c r="X680" t="s">
        <v>47</v>
      </c>
      <c r="Y680">
        <v>4</v>
      </c>
      <c r="Z680" t="s">
        <v>39</v>
      </c>
    </row>
    <row r="681" spans="1:26" x14ac:dyDescent="0.3">
      <c r="A681" t="s">
        <v>1249</v>
      </c>
      <c r="B681" s="2">
        <v>45794</v>
      </c>
      <c r="C681" t="s">
        <v>1187</v>
      </c>
      <c r="D681" t="s">
        <v>50</v>
      </c>
      <c r="E681" t="s">
        <v>43</v>
      </c>
      <c r="F681">
        <v>41</v>
      </c>
      <c r="G681" t="s">
        <v>134</v>
      </c>
      <c r="H681" t="s">
        <v>31</v>
      </c>
      <c r="I681" t="s">
        <v>134</v>
      </c>
      <c r="J681" t="s">
        <v>125</v>
      </c>
      <c r="K681">
        <v>5</v>
      </c>
      <c r="L681">
        <v>10495</v>
      </c>
      <c r="M681">
        <v>10</v>
      </c>
      <c r="N681">
        <v>5247.5</v>
      </c>
      <c r="O681">
        <v>8500.9500000000007</v>
      </c>
      <c r="P681">
        <v>92</v>
      </c>
      <c r="Q681">
        <v>55820.45</v>
      </c>
      <c r="R681" t="s">
        <v>83</v>
      </c>
      <c r="S681" t="s">
        <v>63</v>
      </c>
      <c r="T681" t="s">
        <v>70</v>
      </c>
      <c r="U681" t="s">
        <v>56</v>
      </c>
      <c r="V681" t="s">
        <v>57</v>
      </c>
      <c r="W681">
        <v>8</v>
      </c>
      <c r="X681" t="s">
        <v>38</v>
      </c>
      <c r="Y681">
        <v>4</v>
      </c>
      <c r="Z681" t="s">
        <v>39</v>
      </c>
    </row>
    <row r="682" spans="1:26" x14ac:dyDescent="0.3">
      <c r="A682" t="s">
        <v>1250</v>
      </c>
      <c r="B682" s="2">
        <v>45959</v>
      </c>
      <c r="C682" t="s">
        <v>241</v>
      </c>
      <c r="D682" t="s">
        <v>50</v>
      </c>
      <c r="E682" t="s">
        <v>29</v>
      </c>
      <c r="F682">
        <v>19</v>
      </c>
      <c r="G682" t="s">
        <v>94</v>
      </c>
      <c r="H682" t="s">
        <v>31</v>
      </c>
      <c r="I682" t="s">
        <v>94</v>
      </c>
      <c r="J682" t="s">
        <v>102</v>
      </c>
      <c r="K682">
        <v>4</v>
      </c>
      <c r="L682">
        <v>8623</v>
      </c>
      <c r="M682">
        <v>5</v>
      </c>
      <c r="N682">
        <v>1724.6</v>
      </c>
      <c r="O682">
        <v>5898.13</v>
      </c>
      <c r="P682">
        <v>358</v>
      </c>
      <c r="Q682">
        <v>39023.53</v>
      </c>
      <c r="R682" t="s">
        <v>33</v>
      </c>
      <c r="S682" t="s">
        <v>63</v>
      </c>
      <c r="T682" t="s">
        <v>95</v>
      </c>
      <c r="U682" t="s">
        <v>96</v>
      </c>
      <c r="V682" t="s">
        <v>57</v>
      </c>
      <c r="W682">
        <v>9</v>
      </c>
      <c r="X682" t="s">
        <v>47</v>
      </c>
      <c r="Y682">
        <v>2</v>
      </c>
      <c r="Z682" t="s">
        <v>47</v>
      </c>
    </row>
    <row r="683" spans="1:26" x14ac:dyDescent="0.3">
      <c r="A683" t="s">
        <v>1251</v>
      </c>
      <c r="B683" s="2">
        <v>45798</v>
      </c>
      <c r="C683" t="s">
        <v>168</v>
      </c>
      <c r="D683" t="s">
        <v>28</v>
      </c>
      <c r="E683" t="s">
        <v>43</v>
      </c>
      <c r="F683">
        <v>33</v>
      </c>
      <c r="G683" t="s">
        <v>90</v>
      </c>
      <c r="H683" t="s">
        <v>31</v>
      </c>
      <c r="I683" t="s">
        <v>90</v>
      </c>
      <c r="J683" t="s">
        <v>150</v>
      </c>
      <c r="K683">
        <v>1</v>
      </c>
      <c r="L683">
        <v>12855</v>
      </c>
      <c r="M683">
        <v>0</v>
      </c>
      <c r="N683">
        <v>0</v>
      </c>
      <c r="O683">
        <v>2313.9</v>
      </c>
      <c r="P683">
        <v>289</v>
      </c>
      <c r="Q683">
        <v>15457.9</v>
      </c>
      <c r="R683" t="s">
        <v>83</v>
      </c>
      <c r="S683" t="s">
        <v>63</v>
      </c>
      <c r="T683" t="s">
        <v>55</v>
      </c>
      <c r="U683" t="s">
        <v>56</v>
      </c>
      <c r="V683" t="s">
        <v>57</v>
      </c>
      <c r="W683">
        <v>1</v>
      </c>
      <c r="X683" t="s">
        <v>47</v>
      </c>
      <c r="Y683">
        <v>2</v>
      </c>
      <c r="Z683" t="s">
        <v>39</v>
      </c>
    </row>
    <row r="684" spans="1:26" x14ac:dyDescent="0.3">
      <c r="A684" t="s">
        <v>1252</v>
      </c>
      <c r="B684" s="2">
        <v>45845</v>
      </c>
      <c r="C684" t="s">
        <v>1253</v>
      </c>
      <c r="D684" t="s">
        <v>50</v>
      </c>
      <c r="E684" t="s">
        <v>29</v>
      </c>
      <c r="F684">
        <v>38</v>
      </c>
      <c r="G684" t="s">
        <v>99</v>
      </c>
      <c r="H684" t="s">
        <v>52</v>
      </c>
      <c r="I684" t="s">
        <v>99</v>
      </c>
      <c r="J684" t="s">
        <v>150</v>
      </c>
      <c r="K684">
        <v>5</v>
      </c>
      <c r="L684">
        <v>7313</v>
      </c>
      <c r="M684">
        <v>10</v>
      </c>
      <c r="N684">
        <v>3656.5</v>
      </c>
      <c r="O684">
        <v>5923.53</v>
      </c>
      <c r="P684">
        <v>78</v>
      </c>
      <c r="Q684">
        <v>38910.03</v>
      </c>
      <c r="R684" t="s">
        <v>45</v>
      </c>
      <c r="S684" t="s">
        <v>34</v>
      </c>
      <c r="T684" t="s">
        <v>95</v>
      </c>
      <c r="U684" t="s">
        <v>96</v>
      </c>
      <c r="V684" t="s">
        <v>57</v>
      </c>
      <c r="W684">
        <v>1</v>
      </c>
      <c r="X684" t="s">
        <v>47</v>
      </c>
      <c r="Y684">
        <v>3</v>
      </c>
      <c r="Z684" t="s">
        <v>91</v>
      </c>
    </row>
    <row r="685" spans="1:26" x14ac:dyDescent="0.3">
      <c r="A685" t="s">
        <v>1254</v>
      </c>
      <c r="B685" s="2">
        <v>45783</v>
      </c>
      <c r="C685" t="s">
        <v>1255</v>
      </c>
      <c r="D685" t="s">
        <v>89</v>
      </c>
      <c r="E685" t="s">
        <v>29</v>
      </c>
      <c r="F685">
        <v>29</v>
      </c>
      <c r="G685" t="s">
        <v>90</v>
      </c>
      <c r="H685" t="s">
        <v>31</v>
      </c>
      <c r="I685" t="s">
        <v>90</v>
      </c>
      <c r="J685" t="s">
        <v>102</v>
      </c>
      <c r="K685">
        <v>1</v>
      </c>
      <c r="L685">
        <v>19819</v>
      </c>
      <c r="M685">
        <v>0</v>
      </c>
      <c r="N685">
        <v>0</v>
      </c>
      <c r="O685">
        <v>3567.42</v>
      </c>
      <c r="P685">
        <v>273</v>
      </c>
      <c r="Q685">
        <v>23659.42</v>
      </c>
      <c r="R685" t="s">
        <v>33</v>
      </c>
      <c r="S685" t="s">
        <v>63</v>
      </c>
      <c r="T685" t="s">
        <v>35</v>
      </c>
      <c r="U685" t="s">
        <v>36</v>
      </c>
      <c r="V685" t="s">
        <v>37</v>
      </c>
      <c r="W685">
        <v>3</v>
      </c>
      <c r="X685" t="s">
        <v>47</v>
      </c>
      <c r="Y685">
        <v>2</v>
      </c>
      <c r="Z685" t="s">
        <v>39</v>
      </c>
    </row>
    <row r="686" spans="1:26" x14ac:dyDescent="0.3">
      <c r="A686" t="s">
        <v>1256</v>
      </c>
      <c r="B686" s="2">
        <v>45917</v>
      </c>
      <c r="C686" t="s">
        <v>1257</v>
      </c>
      <c r="D686" t="s">
        <v>89</v>
      </c>
      <c r="E686" t="s">
        <v>43</v>
      </c>
      <c r="F686">
        <v>30</v>
      </c>
      <c r="G686" t="s">
        <v>30</v>
      </c>
      <c r="H686" t="s">
        <v>31</v>
      </c>
      <c r="I686" t="s">
        <v>30</v>
      </c>
      <c r="J686" t="s">
        <v>125</v>
      </c>
      <c r="K686">
        <v>5</v>
      </c>
      <c r="L686">
        <v>49125</v>
      </c>
      <c r="M686">
        <v>0</v>
      </c>
      <c r="N686">
        <v>0</v>
      </c>
      <c r="O686">
        <v>44212.5</v>
      </c>
      <c r="P686">
        <v>132</v>
      </c>
      <c r="Q686">
        <v>289969.5</v>
      </c>
      <c r="R686" t="s">
        <v>54</v>
      </c>
      <c r="S686" t="s">
        <v>63</v>
      </c>
      <c r="T686" t="s">
        <v>95</v>
      </c>
      <c r="U686" t="s">
        <v>96</v>
      </c>
      <c r="V686" t="s">
        <v>57</v>
      </c>
      <c r="W686">
        <v>2</v>
      </c>
      <c r="X686" t="s">
        <v>38</v>
      </c>
      <c r="Y686">
        <v>1</v>
      </c>
      <c r="Z686" t="s">
        <v>58</v>
      </c>
    </row>
    <row r="687" spans="1:26" x14ac:dyDescent="0.3">
      <c r="A687" t="s">
        <v>1258</v>
      </c>
      <c r="B687" s="2">
        <v>46090</v>
      </c>
      <c r="C687" t="s">
        <v>975</v>
      </c>
      <c r="D687" t="s">
        <v>61</v>
      </c>
      <c r="E687" t="s">
        <v>29</v>
      </c>
      <c r="F687">
        <v>56</v>
      </c>
      <c r="G687" t="s">
        <v>67</v>
      </c>
      <c r="H687" t="s">
        <v>68</v>
      </c>
      <c r="I687" t="s">
        <v>67</v>
      </c>
      <c r="J687" t="s">
        <v>69</v>
      </c>
      <c r="K687">
        <v>3</v>
      </c>
      <c r="L687">
        <v>40023</v>
      </c>
      <c r="M687">
        <v>5</v>
      </c>
      <c r="N687">
        <v>6003.45</v>
      </c>
      <c r="O687">
        <v>20531.8</v>
      </c>
      <c r="P687">
        <v>233</v>
      </c>
      <c r="Q687">
        <v>134830.35</v>
      </c>
      <c r="R687" t="s">
        <v>33</v>
      </c>
      <c r="S687" t="s">
        <v>63</v>
      </c>
      <c r="T687" t="s">
        <v>76</v>
      </c>
      <c r="U687" t="s">
        <v>77</v>
      </c>
      <c r="V687" t="s">
        <v>57</v>
      </c>
      <c r="W687">
        <v>1</v>
      </c>
      <c r="X687" t="s">
        <v>38</v>
      </c>
      <c r="Y687">
        <v>2</v>
      </c>
      <c r="Z687" t="s">
        <v>39</v>
      </c>
    </row>
    <row r="688" spans="1:26" x14ac:dyDescent="0.3">
      <c r="A688" t="s">
        <v>1259</v>
      </c>
      <c r="B688" s="2">
        <v>45849</v>
      </c>
      <c r="C688" t="s">
        <v>734</v>
      </c>
      <c r="D688" t="s">
        <v>73</v>
      </c>
      <c r="E688" t="s">
        <v>29</v>
      </c>
      <c r="F688">
        <v>56</v>
      </c>
      <c r="G688" t="s">
        <v>30</v>
      </c>
      <c r="H688" t="s">
        <v>31</v>
      </c>
      <c r="I688" t="s">
        <v>30</v>
      </c>
      <c r="J688" t="s">
        <v>75</v>
      </c>
      <c r="K688">
        <v>1</v>
      </c>
      <c r="L688">
        <v>11177</v>
      </c>
      <c r="M688">
        <v>20</v>
      </c>
      <c r="N688">
        <v>2235.4</v>
      </c>
      <c r="O688">
        <v>1609.49</v>
      </c>
      <c r="P688">
        <v>174</v>
      </c>
      <c r="Q688">
        <v>10725.09</v>
      </c>
      <c r="R688" t="s">
        <v>54</v>
      </c>
      <c r="S688" t="s">
        <v>63</v>
      </c>
      <c r="T688" t="s">
        <v>76</v>
      </c>
      <c r="U688" t="s">
        <v>77</v>
      </c>
      <c r="V688" t="s">
        <v>57</v>
      </c>
      <c r="W688">
        <v>10</v>
      </c>
      <c r="X688" t="s">
        <v>38</v>
      </c>
      <c r="Y688">
        <v>5</v>
      </c>
      <c r="Z688" t="s">
        <v>47</v>
      </c>
    </row>
    <row r="689" spans="1:26" x14ac:dyDescent="0.3">
      <c r="A689" t="s">
        <v>1260</v>
      </c>
      <c r="B689" s="2">
        <v>45783</v>
      </c>
      <c r="C689" t="s">
        <v>423</v>
      </c>
      <c r="D689" t="s">
        <v>61</v>
      </c>
      <c r="E689" t="s">
        <v>29</v>
      </c>
      <c r="F689">
        <v>44</v>
      </c>
      <c r="G689" t="s">
        <v>74</v>
      </c>
      <c r="H689" t="s">
        <v>31</v>
      </c>
      <c r="I689" t="s">
        <v>74</v>
      </c>
      <c r="J689" t="s">
        <v>69</v>
      </c>
      <c r="K689">
        <v>4</v>
      </c>
      <c r="L689">
        <v>43124</v>
      </c>
      <c r="M689">
        <v>15</v>
      </c>
      <c r="N689">
        <v>25874.400000000001</v>
      </c>
      <c r="O689">
        <v>26391.89</v>
      </c>
      <c r="P689">
        <v>187</v>
      </c>
      <c r="Q689">
        <v>173200.49</v>
      </c>
      <c r="R689" t="s">
        <v>33</v>
      </c>
      <c r="S689" t="s">
        <v>63</v>
      </c>
      <c r="T689" t="s">
        <v>103</v>
      </c>
      <c r="U689" t="s">
        <v>103</v>
      </c>
      <c r="V689" t="s">
        <v>57</v>
      </c>
      <c r="W689">
        <v>8</v>
      </c>
      <c r="X689" t="s">
        <v>47</v>
      </c>
      <c r="Y689">
        <v>3</v>
      </c>
      <c r="Z689" t="s">
        <v>91</v>
      </c>
    </row>
    <row r="690" spans="1:26" x14ac:dyDescent="0.3">
      <c r="A690" t="s">
        <v>1261</v>
      </c>
      <c r="B690" s="2">
        <v>46033</v>
      </c>
      <c r="C690" t="s">
        <v>1262</v>
      </c>
      <c r="D690" t="s">
        <v>108</v>
      </c>
      <c r="E690" t="s">
        <v>29</v>
      </c>
      <c r="F690">
        <v>51</v>
      </c>
      <c r="G690" t="s">
        <v>74</v>
      </c>
      <c r="H690" t="s">
        <v>31</v>
      </c>
      <c r="I690" t="s">
        <v>74</v>
      </c>
      <c r="J690" t="s">
        <v>201</v>
      </c>
      <c r="K690">
        <v>1</v>
      </c>
      <c r="L690">
        <v>1063</v>
      </c>
      <c r="M690">
        <v>5</v>
      </c>
      <c r="N690">
        <v>53.15</v>
      </c>
      <c r="O690">
        <v>181.77</v>
      </c>
      <c r="P690">
        <v>2</v>
      </c>
      <c r="Q690">
        <v>1193.6199999999999</v>
      </c>
      <c r="R690" t="s">
        <v>33</v>
      </c>
      <c r="S690" t="s">
        <v>34</v>
      </c>
      <c r="T690" t="s">
        <v>103</v>
      </c>
      <c r="U690" t="s">
        <v>103</v>
      </c>
      <c r="V690" t="s">
        <v>57</v>
      </c>
      <c r="W690">
        <v>6</v>
      </c>
      <c r="X690" t="s">
        <v>47</v>
      </c>
      <c r="Y690">
        <v>5</v>
      </c>
      <c r="Z690" t="s">
        <v>39</v>
      </c>
    </row>
    <row r="691" spans="1:26" x14ac:dyDescent="0.3">
      <c r="A691" t="s">
        <v>1263</v>
      </c>
      <c r="B691" s="2">
        <v>46039</v>
      </c>
      <c r="C691" t="s">
        <v>678</v>
      </c>
      <c r="D691" t="s">
        <v>80</v>
      </c>
      <c r="E691" t="s">
        <v>43</v>
      </c>
      <c r="F691">
        <v>34</v>
      </c>
      <c r="G691" t="s">
        <v>74</v>
      </c>
      <c r="H691" t="s">
        <v>31</v>
      </c>
      <c r="I691" t="s">
        <v>74</v>
      </c>
      <c r="J691" t="s">
        <v>102</v>
      </c>
      <c r="K691">
        <v>2</v>
      </c>
      <c r="L691">
        <v>862</v>
      </c>
      <c r="M691">
        <v>0</v>
      </c>
      <c r="N691">
        <v>0</v>
      </c>
      <c r="O691">
        <v>310.32</v>
      </c>
      <c r="P691">
        <v>38</v>
      </c>
      <c r="Q691">
        <v>2072.3200000000002</v>
      </c>
      <c r="R691" t="s">
        <v>54</v>
      </c>
      <c r="S691" t="s">
        <v>63</v>
      </c>
      <c r="T691" t="s">
        <v>70</v>
      </c>
      <c r="U691" t="s">
        <v>56</v>
      </c>
      <c r="V691" t="s">
        <v>57</v>
      </c>
      <c r="W691">
        <v>4</v>
      </c>
      <c r="X691" t="s">
        <v>47</v>
      </c>
      <c r="Y691">
        <v>5</v>
      </c>
      <c r="Z691" t="s">
        <v>47</v>
      </c>
    </row>
    <row r="692" spans="1:26" x14ac:dyDescent="0.3">
      <c r="A692" t="s">
        <v>1264</v>
      </c>
      <c r="B692" s="2">
        <v>46103</v>
      </c>
      <c r="C692" t="s">
        <v>1265</v>
      </c>
      <c r="D692" t="s">
        <v>89</v>
      </c>
      <c r="E692" t="s">
        <v>29</v>
      </c>
      <c r="F692">
        <v>18</v>
      </c>
      <c r="G692" t="s">
        <v>99</v>
      </c>
      <c r="H692" t="s">
        <v>52</v>
      </c>
      <c r="I692" t="s">
        <v>99</v>
      </c>
      <c r="J692" t="s">
        <v>150</v>
      </c>
      <c r="K692">
        <v>3</v>
      </c>
      <c r="L692">
        <v>48398</v>
      </c>
      <c r="M692">
        <v>0</v>
      </c>
      <c r="N692">
        <v>0</v>
      </c>
      <c r="O692">
        <v>26134.92</v>
      </c>
      <c r="P692">
        <v>450</v>
      </c>
      <c r="Q692">
        <v>171778.92</v>
      </c>
      <c r="R692" t="s">
        <v>83</v>
      </c>
      <c r="S692" t="s">
        <v>34</v>
      </c>
      <c r="T692" t="s">
        <v>46</v>
      </c>
      <c r="U692" t="s">
        <v>36</v>
      </c>
      <c r="V692" t="s">
        <v>37</v>
      </c>
      <c r="W692">
        <v>1</v>
      </c>
      <c r="X692" t="s">
        <v>47</v>
      </c>
      <c r="Y692">
        <v>5</v>
      </c>
      <c r="Z692" t="s">
        <v>91</v>
      </c>
    </row>
    <row r="693" spans="1:26" x14ac:dyDescent="0.3">
      <c r="A693" t="s">
        <v>1266</v>
      </c>
      <c r="B693" s="2">
        <v>45981</v>
      </c>
      <c r="C693" t="s">
        <v>1267</v>
      </c>
      <c r="D693" t="s">
        <v>111</v>
      </c>
      <c r="E693" t="s">
        <v>43</v>
      </c>
      <c r="F693">
        <v>57</v>
      </c>
      <c r="G693" t="s">
        <v>134</v>
      </c>
      <c r="H693" t="s">
        <v>31</v>
      </c>
      <c r="I693" t="s">
        <v>134</v>
      </c>
      <c r="J693" t="s">
        <v>102</v>
      </c>
      <c r="K693">
        <v>4</v>
      </c>
      <c r="L693">
        <v>39778</v>
      </c>
      <c r="M693">
        <v>10</v>
      </c>
      <c r="N693">
        <v>15911.2</v>
      </c>
      <c r="O693">
        <v>25776.14</v>
      </c>
      <c r="P693">
        <v>252</v>
      </c>
      <c r="Q693">
        <v>169228.94</v>
      </c>
      <c r="R693" t="s">
        <v>33</v>
      </c>
      <c r="S693" t="s">
        <v>34</v>
      </c>
      <c r="T693" t="s">
        <v>70</v>
      </c>
      <c r="U693" t="s">
        <v>56</v>
      </c>
      <c r="V693" t="s">
        <v>57</v>
      </c>
      <c r="W693">
        <v>6</v>
      </c>
      <c r="X693" t="s">
        <v>47</v>
      </c>
      <c r="Y693">
        <v>5</v>
      </c>
      <c r="Z693" t="s">
        <v>39</v>
      </c>
    </row>
    <row r="694" spans="1:26" x14ac:dyDescent="0.3">
      <c r="A694" t="s">
        <v>1268</v>
      </c>
      <c r="B694" s="2">
        <v>45859</v>
      </c>
      <c r="C694" t="s">
        <v>1269</v>
      </c>
      <c r="D694" t="s">
        <v>42</v>
      </c>
      <c r="E694" t="s">
        <v>29</v>
      </c>
      <c r="F694">
        <v>42</v>
      </c>
      <c r="G694" t="s">
        <v>99</v>
      </c>
      <c r="H694" t="s">
        <v>52</v>
      </c>
      <c r="I694" t="s">
        <v>99</v>
      </c>
      <c r="J694" t="s">
        <v>125</v>
      </c>
      <c r="K694">
        <v>2</v>
      </c>
      <c r="L694">
        <v>25407</v>
      </c>
      <c r="M694">
        <v>0</v>
      </c>
      <c r="N694">
        <v>0</v>
      </c>
      <c r="O694">
        <v>9146.52</v>
      </c>
      <c r="P694">
        <v>193</v>
      </c>
      <c r="Q694">
        <v>60153.52</v>
      </c>
      <c r="R694" t="s">
        <v>83</v>
      </c>
      <c r="S694" t="s">
        <v>34</v>
      </c>
      <c r="T694" t="s">
        <v>55</v>
      </c>
      <c r="U694" t="s">
        <v>56</v>
      </c>
      <c r="V694" t="s">
        <v>57</v>
      </c>
      <c r="W694">
        <v>5</v>
      </c>
      <c r="X694" t="s">
        <v>38</v>
      </c>
      <c r="Y694">
        <v>3</v>
      </c>
      <c r="Z694" t="s">
        <v>91</v>
      </c>
    </row>
    <row r="695" spans="1:26" x14ac:dyDescent="0.3">
      <c r="A695" t="s">
        <v>1270</v>
      </c>
      <c r="B695" s="2">
        <v>45761</v>
      </c>
      <c r="C695" t="s">
        <v>1271</v>
      </c>
      <c r="D695" t="s">
        <v>61</v>
      </c>
      <c r="E695" t="s">
        <v>43</v>
      </c>
      <c r="F695">
        <v>33</v>
      </c>
      <c r="G695" t="s">
        <v>67</v>
      </c>
      <c r="H695" t="s">
        <v>68</v>
      </c>
      <c r="I695" t="s">
        <v>67</v>
      </c>
      <c r="J695" t="s">
        <v>62</v>
      </c>
      <c r="K695">
        <v>1</v>
      </c>
      <c r="L695">
        <v>34030</v>
      </c>
      <c r="M695">
        <v>5</v>
      </c>
      <c r="N695">
        <v>1701.5</v>
      </c>
      <c r="O695">
        <v>5819.13</v>
      </c>
      <c r="P695">
        <v>148</v>
      </c>
      <c r="Q695">
        <v>38295.629999999997</v>
      </c>
      <c r="R695" t="s">
        <v>33</v>
      </c>
      <c r="S695" t="s">
        <v>34</v>
      </c>
      <c r="T695" t="s">
        <v>70</v>
      </c>
      <c r="U695" t="s">
        <v>56</v>
      </c>
      <c r="V695" t="s">
        <v>57</v>
      </c>
      <c r="W695">
        <v>5</v>
      </c>
      <c r="X695" t="s">
        <v>47</v>
      </c>
      <c r="Y695">
        <v>5</v>
      </c>
      <c r="Z695" t="s">
        <v>39</v>
      </c>
    </row>
    <row r="696" spans="1:26" x14ac:dyDescent="0.3">
      <c r="A696" t="s">
        <v>1272</v>
      </c>
      <c r="B696" s="2">
        <v>45761</v>
      </c>
      <c r="C696" t="s">
        <v>1273</v>
      </c>
      <c r="D696" t="s">
        <v>28</v>
      </c>
      <c r="E696" t="s">
        <v>29</v>
      </c>
      <c r="F696">
        <v>55</v>
      </c>
      <c r="G696" t="s">
        <v>44</v>
      </c>
      <c r="H696" t="s">
        <v>31</v>
      </c>
      <c r="I696" t="s">
        <v>44</v>
      </c>
      <c r="J696" t="s">
        <v>125</v>
      </c>
      <c r="K696">
        <v>2</v>
      </c>
      <c r="L696">
        <v>27846</v>
      </c>
      <c r="M696">
        <v>20</v>
      </c>
      <c r="N696">
        <v>11138.4</v>
      </c>
      <c r="O696">
        <v>8019.65</v>
      </c>
      <c r="P696">
        <v>421</v>
      </c>
      <c r="Q696">
        <v>52994.25</v>
      </c>
      <c r="R696" t="s">
        <v>83</v>
      </c>
      <c r="S696" t="s">
        <v>63</v>
      </c>
      <c r="T696" t="s">
        <v>103</v>
      </c>
      <c r="U696" t="s">
        <v>103</v>
      </c>
      <c r="V696" t="s">
        <v>57</v>
      </c>
      <c r="W696">
        <v>4</v>
      </c>
      <c r="X696" t="s">
        <v>47</v>
      </c>
      <c r="Y696">
        <v>5</v>
      </c>
      <c r="Z696" t="s">
        <v>91</v>
      </c>
    </row>
    <row r="697" spans="1:26" x14ac:dyDescent="0.3">
      <c r="A697" t="s">
        <v>1274</v>
      </c>
      <c r="B697" s="2">
        <v>45954</v>
      </c>
      <c r="C697" t="s">
        <v>848</v>
      </c>
      <c r="D697" t="s">
        <v>66</v>
      </c>
      <c r="E697" t="s">
        <v>43</v>
      </c>
      <c r="F697">
        <v>52</v>
      </c>
      <c r="G697" t="s">
        <v>134</v>
      </c>
      <c r="H697" t="s">
        <v>31</v>
      </c>
      <c r="I697" t="s">
        <v>134</v>
      </c>
      <c r="J697" t="s">
        <v>75</v>
      </c>
      <c r="K697">
        <v>1</v>
      </c>
      <c r="L697">
        <v>38289</v>
      </c>
      <c r="M697">
        <v>15</v>
      </c>
      <c r="N697">
        <v>5743.35</v>
      </c>
      <c r="O697">
        <v>5858.22</v>
      </c>
      <c r="P697">
        <v>315</v>
      </c>
      <c r="Q697">
        <v>38718.870000000003</v>
      </c>
      <c r="R697" t="s">
        <v>33</v>
      </c>
      <c r="S697" t="s">
        <v>63</v>
      </c>
      <c r="T697" t="s">
        <v>84</v>
      </c>
      <c r="U697" t="s">
        <v>85</v>
      </c>
      <c r="V697" t="s">
        <v>86</v>
      </c>
      <c r="W697">
        <v>3</v>
      </c>
      <c r="X697" t="s">
        <v>47</v>
      </c>
      <c r="Y697">
        <v>2</v>
      </c>
      <c r="Z697" t="s">
        <v>58</v>
      </c>
    </row>
    <row r="698" spans="1:26" x14ac:dyDescent="0.3">
      <c r="A698" t="s">
        <v>1275</v>
      </c>
      <c r="B698" s="2">
        <v>45931</v>
      </c>
      <c r="C698" t="s">
        <v>1276</v>
      </c>
      <c r="D698" t="s">
        <v>73</v>
      </c>
      <c r="E698" t="s">
        <v>29</v>
      </c>
      <c r="F698">
        <v>46</v>
      </c>
      <c r="G698" t="s">
        <v>44</v>
      </c>
      <c r="H698" t="s">
        <v>31</v>
      </c>
      <c r="I698" t="s">
        <v>44</v>
      </c>
      <c r="J698" t="s">
        <v>75</v>
      </c>
      <c r="K698">
        <v>3</v>
      </c>
      <c r="L698">
        <v>40712</v>
      </c>
      <c r="M698">
        <v>0</v>
      </c>
      <c r="N698">
        <v>0</v>
      </c>
      <c r="O698">
        <v>21984.48</v>
      </c>
      <c r="P698">
        <v>238</v>
      </c>
      <c r="Q698">
        <v>144358.48000000001</v>
      </c>
      <c r="R698" t="s">
        <v>33</v>
      </c>
      <c r="S698" t="s">
        <v>63</v>
      </c>
      <c r="T698" t="s">
        <v>95</v>
      </c>
      <c r="U698" t="s">
        <v>96</v>
      </c>
      <c r="V698" t="s">
        <v>57</v>
      </c>
      <c r="W698">
        <v>5</v>
      </c>
      <c r="X698" t="s">
        <v>38</v>
      </c>
      <c r="Y698">
        <v>5</v>
      </c>
      <c r="Z698" t="s">
        <v>58</v>
      </c>
    </row>
    <row r="699" spans="1:26" x14ac:dyDescent="0.3">
      <c r="A699" t="s">
        <v>1277</v>
      </c>
      <c r="B699" s="2">
        <v>45774</v>
      </c>
      <c r="C699" t="s">
        <v>671</v>
      </c>
      <c r="D699" t="s">
        <v>80</v>
      </c>
      <c r="E699" t="s">
        <v>29</v>
      </c>
      <c r="F699">
        <v>23</v>
      </c>
      <c r="G699" t="s">
        <v>44</v>
      </c>
      <c r="H699" t="s">
        <v>31</v>
      </c>
      <c r="I699" t="s">
        <v>44</v>
      </c>
      <c r="J699" t="s">
        <v>125</v>
      </c>
      <c r="K699">
        <v>1</v>
      </c>
      <c r="L699">
        <v>38286</v>
      </c>
      <c r="M699">
        <v>5</v>
      </c>
      <c r="N699">
        <v>1914.3</v>
      </c>
      <c r="O699">
        <v>6546.91</v>
      </c>
      <c r="P699">
        <v>264</v>
      </c>
      <c r="Q699">
        <v>43182.61</v>
      </c>
      <c r="R699" t="s">
        <v>54</v>
      </c>
      <c r="S699" t="s">
        <v>63</v>
      </c>
      <c r="T699" t="s">
        <v>35</v>
      </c>
      <c r="U699" t="s">
        <v>36</v>
      </c>
      <c r="V699" t="s">
        <v>37</v>
      </c>
      <c r="W699">
        <v>4</v>
      </c>
      <c r="X699" t="s">
        <v>47</v>
      </c>
      <c r="Y699">
        <v>4</v>
      </c>
      <c r="Z699" t="s">
        <v>91</v>
      </c>
    </row>
    <row r="700" spans="1:26" x14ac:dyDescent="0.3">
      <c r="A700" t="s">
        <v>1278</v>
      </c>
      <c r="B700" s="2">
        <v>45926</v>
      </c>
      <c r="C700" t="s">
        <v>1279</v>
      </c>
      <c r="D700" t="s">
        <v>50</v>
      </c>
      <c r="E700" t="s">
        <v>43</v>
      </c>
      <c r="F700">
        <v>21</v>
      </c>
      <c r="G700" t="s">
        <v>67</v>
      </c>
      <c r="H700" t="s">
        <v>68</v>
      </c>
      <c r="I700" t="s">
        <v>67</v>
      </c>
      <c r="J700" t="s">
        <v>150</v>
      </c>
      <c r="K700">
        <v>3</v>
      </c>
      <c r="L700">
        <v>38505</v>
      </c>
      <c r="M700">
        <v>10</v>
      </c>
      <c r="N700">
        <v>11551.5</v>
      </c>
      <c r="O700">
        <v>18713.43</v>
      </c>
      <c r="P700">
        <v>469</v>
      </c>
      <c r="Q700">
        <v>123145.93</v>
      </c>
      <c r="R700" t="s">
        <v>83</v>
      </c>
      <c r="S700" t="s">
        <v>34</v>
      </c>
      <c r="T700" t="s">
        <v>95</v>
      </c>
      <c r="U700" t="s">
        <v>96</v>
      </c>
      <c r="V700" t="s">
        <v>57</v>
      </c>
      <c r="W700">
        <v>7</v>
      </c>
      <c r="X700" t="s">
        <v>38</v>
      </c>
      <c r="Y700">
        <v>1</v>
      </c>
      <c r="Z700" t="s">
        <v>39</v>
      </c>
    </row>
    <row r="701" spans="1:26" x14ac:dyDescent="0.3">
      <c r="A701" t="s">
        <v>1280</v>
      </c>
      <c r="B701" s="2">
        <v>45835</v>
      </c>
      <c r="C701" t="s">
        <v>911</v>
      </c>
      <c r="D701" t="s">
        <v>50</v>
      </c>
      <c r="E701" t="s">
        <v>29</v>
      </c>
      <c r="F701">
        <v>41</v>
      </c>
      <c r="G701" t="s">
        <v>139</v>
      </c>
      <c r="H701" t="s">
        <v>31</v>
      </c>
      <c r="I701" t="s">
        <v>139</v>
      </c>
      <c r="J701" t="s">
        <v>75</v>
      </c>
      <c r="K701">
        <v>1</v>
      </c>
      <c r="L701">
        <v>37853</v>
      </c>
      <c r="M701">
        <v>20</v>
      </c>
      <c r="N701">
        <v>7570.6</v>
      </c>
      <c r="O701">
        <v>5450.83</v>
      </c>
      <c r="P701">
        <v>363</v>
      </c>
      <c r="Q701">
        <v>36096.230000000003</v>
      </c>
      <c r="R701" t="s">
        <v>54</v>
      </c>
      <c r="S701" t="s">
        <v>34</v>
      </c>
      <c r="T701" t="s">
        <v>84</v>
      </c>
      <c r="U701" t="s">
        <v>85</v>
      </c>
      <c r="V701" t="s">
        <v>86</v>
      </c>
      <c r="W701">
        <v>3</v>
      </c>
      <c r="X701" t="s">
        <v>38</v>
      </c>
      <c r="Y701">
        <v>1</v>
      </c>
      <c r="Z701" t="s">
        <v>58</v>
      </c>
    </row>
    <row r="702" spans="1:26" x14ac:dyDescent="0.3">
      <c r="A702" t="s">
        <v>1281</v>
      </c>
      <c r="B702" s="2">
        <v>45848</v>
      </c>
      <c r="C702" t="s">
        <v>1282</v>
      </c>
      <c r="D702" t="s">
        <v>111</v>
      </c>
      <c r="E702" t="s">
        <v>29</v>
      </c>
      <c r="F702">
        <v>46</v>
      </c>
      <c r="G702" t="s">
        <v>139</v>
      </c>
      <c r="H702" t="s">
        <v>31</v>
      </c>
      <c r="I702" t="s">
        <v>139</v>
      </c>
      <c r="J702" t="s">
        <v>53</v>
      </c>
      <c r="K702">
        <v>1</v>
      </c>
      <c r="L702">
        <v>23378</v>
      </c>
      <c r="M702">
        <v>5</v>
      </c>
      <c r="N702">
        <v>1168.9000000000001</v>
      </c>
      <c r="O702">
        <v>3997.64</v>
      </c>
      <c r="P702">
        <v>1</v>
      </c>
      <c r="Q702">
        <v>26207.74</v>
      </c>
      <c r="R702" t="s">
        <v>33</v>
      </c>
      <c r="S702" t="s">
        <v>34</v>
      </c>
      <c r="T702" t="s">
        <v>46</v>
      </c>
      <c r="U702" t="s">
        <v>36</v>
      </c>
      <c r="V702" t="s">
        <v>37</v>
      </c>
      <c r="W702">
        <v>5</v>
      </c>
      <c r="X702" t="s">
        <v>38</v>
      </c>
      <c r="Y702">
        <v>3</v>
      </c>
      <c r="Z702" t="s">
        <v>91</v>
      </c>
    </row>
    <row r="703" spans="1:26" x14ac:dyDescent="0.3">
      <c r="A703" t="s">
        <v>1283</v>
      </c>
      <c r="B703" s="2">
        <v>45869</v>
      </c>
      <c r="C703" t="s">
        <v>1284</v>
      </c>
      <c r="D703" t="s">
        <v>28</v>
      </c>
      <c r="E703" t="s">
        <v>43</v>
      </c>
      <c r="F703">
        <v>48</v>
      </c>
      <c r="G703" t="s">
        <v>99</v>
      </c>
      <c r="H703" t="s">
        <v>52</v>
      </c>
      <c r="I703" t="s">
        <v>99</v>
      </c>
      <c r="J703" t="s">
        <v>53</v>
      </c>
      <c r="K703">
        <v>2</v>
      </c>
      <c r="L703">
        <v>34921</v>
      </c>
      <c r="M703">
        <v>5</v>
      </c>
      <c r="N703">
        <v>3492.1</v>
      </c>
      <c r="O703">
        <v>11942.98</v>
      </c>
      <c r="P703">
        <v>248</v>
      </c>
      <c r="Q703">
        <v>78540.88</v>
      </c>
      <c r="R703" t="s">
        <v>33</v>
      </c>
      <c r="S703" t="s">
        <v>63</v>
      </c>
      <c r="T703" t="s">
        <v>95</v>
      </c>
      <c r="U703" t="s">
        <v>96</v>
      </c>
      <c r="V703" t="s">
        <v>57</v>
      </c>
      <c r="W703">
        <v>1</v>
      </c>
      <c r="X703" t="s">
        <v>38</v>
      </c>
      <c r="Y703">
        <v>2</v>
      </c>
      <c r="Z703" t="s">
        <v>39</v>
      </c>
    </row>
    <row r="704" spans="1:26" x14ac:dyDescent="0.3">
      <c r="A704" t="s">
        <v>1285</v>
      </c>
      <c r="B704" s="2">
        <v>45790</v>
      </c>
      <c r="C704" t="s">
        <v>1286</v>
      </c>
      <c r="D704" t="s">
        <v>61</v>
      </c>
      <c r="E704" t="s">
        <v>43</v>
      </c>
      <c r="F704">
        <v>39</v>
      </c>
      <c r="G704" t="s">
        <v>90</v>
      </c>
      <c r="H704" t="s">
        <v>31</v>
      </c>
      <c r="I704" t="s">
        <v>90</v>
      </c>
      <c r="J704" t="s">
        <v>62</v>
      </c>
      <c r="K704">
        <v>4</v>
      </c>
      <c r="L704">
        <v>17871</v>
      </c>
      <c r="M704">
        <v>5</v>
      </c>
      <c r="N704">
        <v>3574.2</v>
      </c>
      <c r="O704">
        <v>12223.76</v>
      </c>
      <c r="P704">
        <v>178</v>
      </c>
      <c r="Q704">
        <v>80311.56</v>
      </c>
      <c r="R704" t="s">
        <v>54</v>
      </c>
      <c r="S704" t="s">
        <v>63</v>
      </c>
      <c r="T704" t="s">
        <v>70</v>
      </c>
      <c r="U704" t="s">
        <v>56</v>
      </c>
      <c r="V704" t="s">
        <v>57</v>
      </c>
      <c r="W704">
        <v>8</v>
      </c>
      <c r="X704" t="s">
        <v>38</v>
      </c>
      <c r="Y704">
        <v>5</v>
      </c>
      <c r="Z704" t="s">
        <v>47</v>
      </c>
    </row>
    <row r="705" spans="1:26" x14ac:dyDescent="0.3">
      <c r="A705" t="s">
        <v>1287</v>
      </c>
      <c r="B705" s="2">
        <v>46003</v>
      </c>
      <c r="C705" t="s">
        <v>834</v>
      </c>
      <c r="D705" t="s">
        <v>80</v>
      </c>
      <c r="E705" t="s">
        <v>29</v>
      </c>
      <c r="F705">
        <v>46</v>
      </c>
      <c r="G705" t="s">
        <v>94</v>
      </c>
      <c r="H705" t="s">
        <v>31</v>
      </c>
      <c r="I705" t="s">
        <v>94</v>
      </c>
      <c r="J705" t="s">
        <v>53</v>
      </c>
      <c r="K705">
        <v>4</v>
      </c>
      <c r="L705">
        <v>45708</v>
      </c>
      <c r="M705">
        <v>20</v>
      </c>
      <c r="N705">
        <v>36566.400000000001</v>
      </c>
      <c r="O705">
        <v>26327.81</v>
      </c>
      <c r="P705">
        <v>230</v>
      </c>
      <c r="Q705">
        <v>172823.41</v>
      </c>
      <c r="R705" t="s">
        <v>33</v>
      </c>
      <c r="S705" t="s">
        <v>34</v>
      </c>
      <c r="T705" t="s">
        <v>103</v>
      </c>
      <c r="U705" t="s">
        <v>103</v>
      </c>
      <c r="V705" t="s">
        <v>57</v>
      </c>
      <c r="W705">
        <v>10</v>
      </c>
      <c r="X705" t="s">
        <v>47</v>
      </c>
      <c r="Y705">
        <v>4</v>
      </c>
      <c r="Z705" t="s">
        <v>47</v>
      </c>
    </row>
    <row r="706" spans="1:26" x14ac:dyDescent="0.3">
      <c r="A706" t="s">
        <v>1288</v>
      </c>
      <c r="B706" s="2">
        <v>45867</v>
      </c>
      <c r="C706" t="s">
        <v>1289</v>
      </c>
      <c r="D706" t="s">
        <v>61</v>
      </c>
      <c r="E706" t="s">
        <v>29</v>
      </c>
      <c r="F706">
        <v>45</v>
      </c>
      <c r="G706" t="s">
        <v>51</v>
      </c>
      <c r="H706" t="s">
        <v>52</v>
      </c>
      <c r="I706" t="s">
        <v>51</v>
      </c>
      <c r="J706" t="s">
        <v>102</v>
      </c>
      <c r="K706">
        <v>4</v>
      </c>
      <c r="L706">
        <v>30414</v>
      </c>
      <c r="M706">
        <v>5</v>
      </c>
      <c r="N706">
        <v>6082.8</v>
      </c>
      <c r="O706">
        <v>20803.18</v>
      </c>
      <c r="P706">
        <v>367</v>
      </c>
      <c r="Q706">
        <v>136743.38</v>
      </c>
      <c r="R706" t="s">
        <v>33</v>
      </c>
      <c r="S706" t="s">
        <v>63</v>
      </c>
      <c r="T706" t="s">
        <v>76</v>
      </c>
      <c r="U706" t="s">
        <v>77</v>
      </c>
      <c r="V706" t="s">
        <v>57</v>
      </c>
      <c r="W706">
        <v>8</v>
      </c>
      <c r="X706" t="s">
        <v>38</v>
      </c>
      <c r="Y706">
        <v>4</v>
      </c>
      <c r="Z706" t="s">
        <v>91</v>
      </c>
    </row>
    <row r="707" spans="1:26" x14ac:dyDescent="0.3">
      <c r="A707" t="s">
        <v>1290</v>
      </c>
      <c r="B707" s="2">
        <v>45963</v>
      </c>
      <c r="C707" t="s">
        <v>1291</v>
      </c>
      <c r="D707" t="s">
        <v>80</v>
      </c>
      <c r="E707" t="s">
        <v>43</v>
      </c>
      <c r="F707">
        <v>28</v>
      </c>
      <c r="G707" t="s">
        <v>90</v>
      </c>
      <c r="H707" t="s">
        <v>31</v>
      </c>
      <c r="I707" t="s">
        <v>90</v>
      </c>
      <c r="J707" t="s">
        <v>32</v>
      </c>
      <c r="K707">
        <v>3</v>
      </c>
      <c r="L707">
        <v>20894</v>
      </c>
      <c r="M707">
        <v>15</v>
      </c>
      <c r="N707">
        <v>9402.2999999999993</v>
      </c>
      <c r="O707">
        <v>9590.35</v>
      </c>
      <c r="P707">
        <v>68</v>
      </c>
      <c r="Q707">
        <v>62938.05</v>
      </c>
      <c r="R707" t="s">
        <v>54</v>
      </c>
      <c r="S707" t="s">
        <v>63</v>
      </c>
      <c r="T707" t="s">
        <v>35</v>
      </c>
      <c r="U707" t="s">
        <v>36</v>
      </c>
      <c r="V707" t="s">
        <v>37</v>
      </c>
      <c r="W707">
        <v>1</v>
      </c>
      <c r="X707" t="s">
        <v>47</v>
      </c>
      <c r="Y707">
        <v>5</v>
      </c>
      <c r="Z707" t="s">
        <v>58</v>
      </c>
    </row>
    <row r="708" spans="1:26" x14ac:dyDescent="0.3">
      <c r="A708" t="s">
        <v>1292</v>
      </c>
      <c r="B708" s="2">
        <v>46001</v>
      </c>
      <c r="C708" t="s">
        <v>1293</v>
      </c>
      <c r="D708" t="s">
        <v>66</v>
      </c>
      <c r="E708" t="s">
        <v>29</v>
      </c>
      <c r="F708">
        <v>35</v>
      </c>
      <c r="G708" t="s">
        <v>99</v>
      </c>
      <c r="H708" t="s">
        <v>52</v>
      </c>
      <c r="I708" t="s">
        <v>99</v>
      </c>
      <c r="J708" t="s">
        <v>150</v>
      </c>
      <c r="K708">
        <v>1</v>
      </c>
      <c r="L708">
        <v>9009</v>
      </c>
      <c r="M708">
        <v>15</v>
      </c>
      <c r="N708">
        <v>1351.35</v>
      </c>
      <c r="O708">
        <v>1378.38</v>
      </c>
      <c r="P708">
        <v>466</v>
      </c>
      <c r="Q708">
        <v>9502.0300000000007</v>
      </c>
      <c r="R708" t="s">
        <v>54</v>
      </c>
      <c r="S708" t="s">
        <v>63</v>
      </c>
      <c r="T708" t="s">
        <v>76</v>
      </c>
      <c r="U708" t="s">
        <v>77</v>
      </c>
      <c r="V708" t="s">
        <v>57</v>
      </c>
      <c r="W708">
        <v>7</v>
      </c>
      <c r="X708" t="s">
        <v>47</v>
      </c>
      <c r="Y708">
        <v>3</v>
      </c>
      <c r="Z708" t="s">
        <v>39</v>
      </c>
    </row>
    <row r="709" spans="1:26" x14ac:dyDescent="0.3">
      <c r="A709" t="s">
        <v>1294</v>
      </c>
      <c r="B709" s="2">
        <v>45876</v>
      </c>
      <c r="C709" t="s">
        <v>443</v>
      </c>
      <c r="D709" t="s">
        <v>42</v>
      </c>
      <c r="E709" t="s">
        <v>29</v>
      </c>
      <c r="F709">
        <v>36</v>
      </c>
      <c r="G709" t="s">
        <v>30</v>
      </c>
      <c r="H709" t="s">
        <v>31</v>
      </c>
      <c r="I709" t="s">
        <v>30</v>
      </c>
      <c r="J709" t="s">
        <v>75</v>
      </c>
      <c r="K709">
        <v>4</v>
      </c>
      <c r="L709">
        <v>40980</v>
      </c>
      <c r="M709">
        <v>20</v>
      </c>
      <c r="N709">
        <v>32784</v>
      </c>
      <c r="O709">
        <v>23604.48</v>
      </c>
      <c r="P709">
        <v>302</v>
      </c>
      <c r="Q709">
        <v>155042.48000000001</v>
      </c>
      <c r="R709" t="s">
        <v>54</v>
      </c>
      <c r="S709" t="s">
        <v>63</v>
      </c>
      <c r="T709" t="s">
        <v>95</v>
      </c>
      <c r="U709" t="s">
        <v>96</v>
      </c>
      <c r="V709" t="s">
        <v>57</v>
      </c>
      <c r="W709">
        <v>10</v>
      </c>
      <c r="X709" t="s">
        <v>47</v>
      </c>
      <c r="Y709">
        <v>3</v>
      </c>
      <c r="Z709" t="s">
        <v>39</v>
      </c>
    </row>
    <row r="710" spans="1:26" x14ac:dyDescent="0.3">
      <c r="A710" t="s">
        <v>1295</v>
      </c>
      <c r="B710" s="2">
        <v>45777</v>
      </c>
      <c r="C710" t="s">
        <v>1167</v>
      </c>
      <c r="D710" t="s">
        <v>89</v>
      </c>
      <c r="E710" t="s">
        <v>43</v>
      </c>
      <c r="F710">
        <v>53</v>
      </c>
      <c r="G710" t="s">
        <v>139</v>
      </c>
      <c r="H710" t="s">
        <v>31</v>
      </c>
      <c r="I710" t="s">
        <v>139</v>
      </c>
      <c r="J710" t="s">
        <v>125</v>
      </c>
      <c r="K710">
        <v>4</v>
      </c>
      <c r="L710">
        <v>17805</v>
      </c>
      <c r="M710">
        <v>5</v>
      </c>
      <c r="N710">
        <v>3561</v>
      </c>
      <c r="O710">
        <v>12178.62</v>
      </c>
      <c r="P710">
        <v>278</v>
      </c>
      <c r="Q710">
        <v>80115.62</v>
      </c>
      <c r="R710" t="s">
        <v>33</v>
      </c>
      <c r="S710" t="s">
        <v>63</v>
      </c>
      <c r="T710" t="s">
        <v>55</v>
      </c>
      <c r="U710" t="s">
        <v>56</v>
      </c>
      <c r="V710" t="s">
        <v>57</v>
      </c>
      <c r="W710">
        <v>2</v>
      </c>
      <c r="X710" t="s">
        <v>47</v>
      </c>
      <c r="Y710">
        <v>4</v>
      </c>
      <c r="Z710" t="s">
        <v>58</v>
      </c>
    </row>
    <row r="711" spans="1:26" x14ac:dyDescent="0.3">
      <c r="A711" t="s">
        <v>1296</v>
      </c>
      <c r="B711" s="2">
        <v>46051</v>
      </c>
      <c r="C711" t="s">
        <v>962</v>
      </c>
      <c r="D711" t="s">
        <v>50</v>
      </c>
      <c r="E711" t="s">
        <v>29</v>
      </c>
      <c r="F711">
        <v>56</v>
      </c>
      <c r="G711" t="s">
        <v>134</v>
      </c>
      <c r="H711" t="s">
        <v>31</v>
      </c>
      <c r="I711" t="s">
        <v>134</v>
      </c>
      <c r="J711" t="s">
        <v>150</v>
      </c>
      <c r="K711">
        <v>3</v>
      </c>
      <c r="L711">
        <v>27997</v>
      </c>
      <c r="M711">
        <v>10</v>
      </c>
      <c r="N711">
        <v>8399.1</v>
      </c>
      <c r="O711">
        <v>13606.54</v>
      </c>
      <c r="P711">
        <v>430</v>
      </c>
      <c r="Q711">
        <v>89628.44</v>
      </c>
      <c r="R711" t="s">
        <v>45</v>
      </c>
      <c r="S711" t="s">
        <v>34</v>
      </c>
      <c r="T711" t="s">
        <v>84</v>
      </c>
      <c r="U711" t="s">
        <v>85</v>
      </c>
      <c r="V711" t="s">
        <v>86</v>
      </c>
      <c r="W711">
        <v>7</v>
      </c>
      <c r="X711" t="s">
        <v>47</v>
      </c>
      <c r="Y711">
        <v>1</v>
      </c>
      <c r="Z711" t="s">
        <v>39</v>
      </c>
    </row>
    <row r="712" spans="1:26" x14ac:dyDescent="0.3">
      <c r="A712" t="s">
        <v>1297</v>
      </c>
      <c r="B712" s="2">
        <v>45854</v>
      </c>
      <c r="C712" t="s">
        <v>107</v>
      </c>
      <c r="D712" t="s">
        <v>66</v>
      </c>
      <c r="E712" t="s">
        <v>29</v>
      </c>
      <c r="F712">
        <v>58</v>
      </c>
      <c r="G712" t="s">
        <v>30</v>
      </c>
      <c r="H712" t="s">
        <v>31</v>
      </c>
      <c r="I712" t="s">
        <v>30</v>
      </c>
      <c r="J712" t="s">
        <v>125</v>
      </c>
      <c r="K712">
        <v>3</v>
      </c>
      <c r="L712">
        <v>16676</v>
      </c>
      <c r="M712">
        <v>5</v>
      </c>
      <c r="N712">
        <v>2501.4</v>
      </c>
      <c r="O712">
        <v>8554.7900000000009</v>
      </c>
      <c r="P712">
        <v>328</v>
      </c>
      <c r="Q712">
        <v>56409.39</v>
      </c>
      <c r="R712" t="s">
        <v>54</v>
      </c>
      <c r="S712" t="s">
        <v>63</v>
      </c>
      <c r="T712" t="s">
        <v>46</v>
      </c>
      <c r="U712" t="s">
        <v>36</v>
      </c>
      <c r="V712" t="s">
        <v>37</v>
      </c>
      <c r="W712">
        <v>1</v>
      </c>
      <c r="X712" t="s">
        <v>38</v>
      </c>
      <c r="Y712">
        <v>1</v>
      </c>
      <c r="Z712" t="s">
        <v>39</v>
      </c>
    </row>
    <row r="713" spans="1:26" x14ac:dyDescent="0.3">
      <c r="A713" t="s">
        <v>1298</v>
      </c>
      <c r="B713" s="2">
        <v>46046</v>
      </c>
      <c r="C713" t="s">
        <v>881</v>
      </c>
      <c r="D713" t="s">
        <v>80</v>
      </c>
      <c r="E713" t="s">
        <v>43</v>
      </c>
      <c r="F713">
        <v>50</v>
      </c>
      <c r="G713" t="s">
        <v>74</v>
      </c>
      <c r="H713" t="s">
        <v>31</v>
      </c>
      <c r="I713" t="s">
        <v>74</v>
      </c>
      <c r="J713" t="s">
        <v>32</v>
      </c>
      <c r="K713">
        <v>1</v>
      </c>
      <c r="L713">
        <v>29242</v>
      </c>
      <c r="M713">
        <v>20</v>
      </c>
      <c r="N713">
        <v>5848.4</v>
      </c>
      <c r="O713">
        <v>4210.8500000000004</v>
      </c>
      <c r="P713">
        <v>375</v>
      </c>
      <c r="Q713">
        <v>27979.45</v>
      </c>
      <c r="R713" t="s">
        <v>54</v>
      </c>
      <c r="S713" t="s">
        <v>63</v>
      </c>
      <c r="T713" t="s">
        <v>84</v>
      </c>
      <c r="U713" t="s">
        <v>85</v>
      </c>
      <c r="V713" t="s">
        <v>86</v>
      </c>
      <c r="W713">
        <v>3</v>
      </c>
      <c r="X713" t="s">
        <v>38</v>
      </c>
      <c r="Y713">
        <v>4</v>
      </c>
      <c r="Z713" t="s">
        <v>58</v>
      </c>
    </row>
    <row r="714" spans="1:26" x14ac:dyDescent="0.3">
      <c r="A714" t="s">
        <v>1299</v>
      </c>
      <c r="B714" s="2">
        <v>45858</v>
      </c>
      <c r="C714" t="s">
        <v>509</v>
      </c>
      <c r="D714" t="s">
        <v>50</v>
      </c>
      <c r="E714" t="s">
        <v>29</v>
      </c>
      <c r="F714">
        <v>41</v>
      </c>
      <c r="G714" t="s">
        <v>94</v>
      </c>
      <c r="H714" t="s">
        <v>31</v>
      </c>
      <c r="I714" t="s">
        <v>94</v>
      </c>
      <c r="J714" t="s">
        <v>32</v>
      </c>
      <c r="K714">
        <v>4</v>
      </c>
      <c r="L714">
        <v>11472</v>
      </c>
      <c r="M714">
        <v>5</v>
      </c>
      <c r="N714">
        <v>2294.4</v>
      </c>
      <c r="O714">
        <v>7846.85</v>
      </c>
      <c r="P714">
        <v>166</v>
      </c>
      <c r="Q714">
        <v>51606.45</v>
      </c>
      <c r="R714" t="s">
        <v>33</v>
      </c>
      <c r="S714" t="s">
        <v>63</v>
      </c>
      <c r="T714" t="s">
        <v>46</v>
      </c>
      <c r="U714" t="s">
        <v>36</v>
      </c>
      <c r="V714" t="s">
        <v>37</v>
      </c>
      <c r="W714">
        <v>7</v>
      </c>
      <c r="X714" t="s">
        <v>47</v>
      </c>
      <c r="Y714">
        <v>2</v>
      </c>
      <c r="Z714" t="s">
        <v>58</v>
      </c>
    </row>
    <row r="715" spans="1:26" x14ac:dyDescent="0.3">
      <c r="A715" t="s">
        <v>1300</v>
      </c>
      <c r="B715" s="2">
        <v>45818</v>
      </c>
      <c r="C715" t="s">
        <v>1301</v>
      </c>
      <c r="D715" t="s">
        <v>50</v>
      </c>
      <c r="E715" t="s">
        <v>29</v>
      </c>
      <c r="F715">
        <v>59</v>
      </c>
      <c r="G715" t="s">
        <v>90</v>
      </c>
      <c r="H715" t="s">
        <v>31</v>
      </c>
      <c r="I715" t="s">
        <v>90</v>
      </c>
      <c r="J715" t="s">
        <v>53</v>
      </c>
      <c r="K715">
        <v>1</v>
      </c>
      <c r="L715">
        <v>47287</v>
      </c>
      <c r="M715">
        <v>0</v>
      </c>
      <c r="N715">
        <v>0</v>
      </c>
      <c r="O715">
        <v>8511.66</v>
      </c>
      <c r="P715">
        <v>494</v>
      </c>
      <c r="Q715">
        <v>56292.66</v>
      </c>
      <c r="R715" t="s">
        <v>45</v>
      </c>
      <c r="S715" t="s">
        <v>63</v>
      </c>
      <c r="T715" t="s">
        <v>76</v>
      </c>
      <c r="U715" t="s">
        <v>77</v>
      </c>
      <c r="V715" t="s">
        <v>57</v>
      </c>
      <c r="W715">
        <v>6</v>
      </c>
      <c r="X715" t="s">
        <v>38</v>
      </c>
      <c r="Y715">
        <v>1</v>
      </c>
      <c r="Z715" t="s">
        <v>58</v>
      </c>
    </row>
    <row r="716" spans="1:26" x14ac:dyDescent="0.3">
      <c r="A716" t="s">
        <v>1302</v>
      </c>
      <c r="B716" s="2">
        <v>45884</v>
      </c>
      <c r="C716" t="s">
        <v>447</v>
      </c>
      <c r="D716" t="s">
        <v>73</v>
      </c>
      <c r="E716" t="s">
        <v>29</v>
      </c>
      <c r="F716">
        <v>54</v>
      </c>
      <c r="G716" t="s">
        <v>67</v>
      </c>
      <c r="H716" t="s">
        <v>68</v>
      </c>
      <c r="I716" t="s">
        <v>67</v>
      </c>
      <c r="J716" t="s">
        <v>62</v>
      </c>
      <c r="K716">
        <v>1</v>
      </c>
      <c r="L716">
        <v>27319</v>
      </c>
      <c r="M716">
        <v>20</v>
      </c>
      <c r="N716">
        <v>5463.8</v>
      </c>
      <c r="O716">
        <v>3933.94</v>
      </c>
      <c r="P716">
        <v>240</v>
      </c>
      <c r="Q716">
        <v>26029.14</v>
      </c>
      <c r="R716" t="s">
        <v>54</v>
      </c>
      <c r="S716" t="s">
        <v>63</v>
      </c>
      <c r="T716" t="s">
        <v>76</v>
      </c>
      <c r="U716" t="s">
        <v>77</v>
      </c>
      <c r="V716" t="s">
        <v>57</v>
      </c>
      <c r="W716">
        <v>3</v>
      </c>
      <c r="X716" t="s">
        <v>38</v>
      </c>
      <c r="Y716">
        <v>2</v>
      </c>
      <c r="Z716" t="s">
        <v>58</v>
      </c>
    </row>
    <row r="717" spans="1:26" x14ac:dyDescent="0.3">
      <c r="A717" t="s">
        <v>1303</v>
      </c>
      <c r="B717" s="2">
        <v>45765</v>
      </c>
      <c r="C717" t="s">
        <v>1304</v>
      </c>
      <c r="D717" t="s">
        <v>61</v>
      </c>
      <c r="E717" t="s">
        <v>43</v>
      </c>
      <c r="F717">
        <v>23</v>
      </c>
      <c r="G717" t="s">
        <v>134</v>
      </c>
      <c r="H717" t="s">
        <v>31</v>
      </c>
      <c r="I717" t="s">
        <v>134</v>
      </c>
      <c r="J717" t="s">
        <v>150</v>
      </c>
      <c r="K717">
        <v>2</v>
      </c>
      <c r="L717">
        <v>23777</v>
      </c>
      <c r="M717">
        <v>5</v>
      </c>
      <c r="N717">
        <v>2377.6999999999998</v>
      </c>
      <c r="O717">
        <v>8131.73</v>
      </c>
      <c r="P717">
        <v>196</v>
      </c>
      <c r="Q717">
        <v>53504.03</v>
      </c>
      <c r="R717" t="s">
        <v>83</v>
      </c>
      <c r="S717" t="s">
        <v>34</v>
      </c>
      <c r="T717" t="s">
        <v>84</v>
      </c>
      <c r="U717" t="s">
        <v>85</v>
      </c>
      <c r="V717" t="s">
        <v>86</v>
      </c>
      <c r="W717">
        <v>10</v>
      </c>
      <c r="X717" t="s">
        <v>47</v>
      </c>
      <c r="Y717">
        <v>2</v>
      </c>
      <c r="Z717" t="s">
        <v>47</v>
      </c>
    </row>
    <row r="718" spans="1:26" x14ac:dyDescent="0.3">
      <c r="A718" t="s">
        <v>1305</v>
      </c>
      <c r="B718" s="2">
        <v>45853</v>
      </c>
      <c r="C718" t="s">
        <v>1306</v>
      </c>
      <c r="D718" t="s">
        <v>80</v>
      </c>
      <c r="E718" t="s">
        <v>43</v>
      </c>
      <c r="F718">
        <v>49</v>
      </c>
      <c r="G718" t="s">
        <v>67</v>
      </c>
      <c r="H718" t="s">
        <v>68</v>
      </c>
      <c r="I718" t="s">
        <v>67</v>
      </c>
      <c r="J718" t="s">
        <v>32</v>
      </c>
      <c r="K718">
        <v>2</v>
      </c>
      <c r="L718">
        <v>47273</v>
      </c>
      <c r="M718">
        <v>15</v>
      </c>
      <c r="N718">
        <v>14181.9</v>
      </c>
      <c r="O718">
        <v>14465.54</v>
      </c>
      <c r="P718">
        <v>460</v>
      </c>
      <c r="Q718">
        <v>95289.64</v>
      </c>
      <c r="R718" t="s">
        <v>45</v>
      </c>
      <c r="S718" t="s">
        <v>34</v>
      </c>
      <c r="T718" t="s">
        <v>76</v>
      </c>
      <c r="U718" t="s">
        <v>77</v>
      </c>
      <c r="V718" t="s">
        <v>57</v>
      </c>
      <c r="W718">
        <v>2</v>
      </c>
      <c r="X718" t="s">
        <v>47</v>
      </c>
      <c r="Y718">
        <v>5</v>
      </c>
      <c r="Z718" t="s">
        <v>91</v>
      </c>
    </row>
    <row r="719" spans="1:26" x14ac:dyDescent="0.3">
      <c r="A719" t="s">
        <v>1307</v>
      </c>
      <c r="B719" s="2">
        <v>45948</v>
      </c>
      <c r="C719" t="s">
        <v>133</v>
      </c>
      <c r="D719" t="s">
        <v>50</v>
      </c>
      <c r="E719" t="s">
        <v>29</v>
      </c>
      <c r="F719">
        <v>55</v>
      </c>
      <c r="G719" t="s">
        <v>139</v>
      </c>
      <c r="H719" t="s">
        <v>31</v>
      </c>
      <c r="I719" t="s">
        <v>139</v>
      </c>
      <c r="J719" t="s">
        <v>69</v>
      </c>
      <c r="K719">
        <v>4</v>
      </c>
      <c r="L719">
        <v>5695</v>
      </c>
      <c r="M719">
        <v>5</v>
      </c>
      <c r="N719">
        <v>1139</v>
      </c>
      <c r="O719">
        <v>3895.38</v>
      </c>
      <c r="P719">
        <v>183</v>
      </c>
      <c r="Q719">
        <v>25719.38</v>
      </c>
      <c r="R719" t="s">
        <v>45</v>
      </c>
      <c r="S719" t="s">
        <v>63</v>
      </c>
      <c r="T719" t="s">
        <v>70</v>
      </c>
      <c r="U719" t="s">
        <v>56</v>
      </c>
      <c r="V719" t="s">
        <v>57</v>
      </c>
      <c r="W719">
        <v>9</v>
      </c>
      <c r="X719" t="s">
        <v>38</v>
      </c>
      <c r="Y719">
        <v>4</v>
      </c>
      <c r="Z719" t="s">
        <v>91</v>
      </c>
    </row>
    <row r="720" spans="1:26" x14ac:dyDescent="0.3">
      <c r="A720" t="s">
        <v>1308</v>
      </c>
      <c r="B720" s="2">
        <v>46032</v>
      </c>
      <c r="C720" t="s">
        <v>1309</v>
      </c>
      <c r="D720" t="s">
        <v>28</v>
      </c>
      <c r="E720" t="s">
        <v>29</v>
      </c>
      <c r="F720">
        <v>33</v>
      </c>
      <c r="G720" t="s">
        <v>30</v>
      </c>
      <c r="H720" t="s">
        <v>31</v>
      </c>
      <c r="I720" t="s">
        <v>30</v>
      </c>
      <c r="J720" t="s">
        <v>62</v>
      </c>
      <c r="K720">
        <v>4</v>
      </c>
      <c r="L720">
        <v>25749</v>
      </c>
      <c r="M720">
        <v>0</v>
      </c>
      <c r="N720">
        <v>0</v>
      </c>
      <c r="O720">
        <v>18539.28</v>
      </c>
      <c r="P720">
        <v>488</v>
      </c>
      <c r="Q720">
        <v>122023.28</v>
      </c>
      <c r="R720" t="s">
        <v>45</v>
      </c>
      <c r="S720" t="s">
        <v>63</v>
      </c>
      <c r="T720" t="s">
        <v>46</v>
      </c>
      <c r="U720" t="s">
        <v>36</v>
      </c>
      <c r="V720" t="s">
        <v>37</v>
      </c>
      <c r="W720">
        <v>6</v>
      </c>
      <c r="X720" t="s">
        <v>47</v>
      </c>
      <c r="Y720">
        <v>1</v>
      </c>
      <c r="Z720" t="s">
        <v>47</v>
      </c>
    </row>
    <row r="721" spans="1:26" x14ac:dyDescent="0.3">
      <c r="A721" t="s">
        <v>1310</v>
      </c>
      <c r="B721" s="2">
        <v>46094</v>
      </c>
      <c r="C721" t="s">
        <v>1117</v>
      </c>
      <c r="D721" t="s">
        <v>73</v>
      </c>
      <c r="E721" t="s">
        <v>43</v>
      </c>
      <c r="F721">
        <v>48</v>
      </c>
      <c r="G721" t="s">
        <v>67</v>
      </c>
      <c r="H721" t="s">
        <v>68</v>
      </c>
      <c r="I721" t="s">
        <v>67</v>
      </c>
      <c r="J721" t="s">
        <v>53</v>
      </c>
      <c r="K721">
        <v>3</v>
      </c>
      <c r="L721">
        <v>20383</v>
      </c>
      <c r="M721">
        <v>20</v>
      </c>
      <c r="N721">
        <v>12229.8</v>
      </c>
      <c r="O721">
        <v>8805.4599999999991</v>
      </c>
      <c r="P721">
        <v>320</v>
      </c>
      <c r="Q721">
        <v>58044.66</v>
      </c>
      <c r="R721" t="s">
        <v>83</v>
      </c>
      <c r="S721" t="s">
        <v>63</v>
      </c>
      <c r="T721" t="s">
        <v>35</v>
      </c>
      <c r="U721" t="s">
        <v>36</v>
      </c>
      <c r="V721" t="s">
        <v>37</v>
      </c>
      <c r="W721">
        <v>1</v>
      </c>
      <c r="X721" t="s">
        <v>47</v>
      </c>
      <c r="Y721">
        <v>2</v>
      </c>
      <c r="Z721" t="s">
        <v>39</v>
      </c>
    </row>
    <row r="722" spans="1:26" x14ac:dyDescent="0.3">
      <c r="A722" t="s">
        <v>1311</v>
      </c>
      <c r="B722" s="2">
        <v>45809</v>
      </c>
      <c r="C722" t="s">
        <v>660</v>
      </c>
      <c r="D722" t="s">
        <v>50</v>
      </c>
      <c r="E722" t="s">
        <v>43</v>
      </c>
      <c r="F722">
        <v>34</v>
      </c>
      <c r="G722" t="s">
        <v>44</v>
      </c>
      <c r="H722" t="s">
        <v>31</v>
      </c>
      <c r="I722" t="s">
        <v>44</v>
      </c>
      <c r="J722" t="s">
        <v>32</v>
      </c>
      <c r="K722">
        <v>4</v>
      </c>
      <c r="L722">
        <v>44550</v>
      </c>
      <c r="M722">
        <v>10</v>
      </c>
      <c r="N722">
        <v>17820</v>
      </c>
      <c r="O722">
        <v>28868.400000000001</v>
      </c>
      <c r="P722">
        <v>449</v>
      </c>
      <c r="Q722">
        <v>189697.4</v>
      </c>
      <c r="R722" t="s">
        <v>33</v>
      </c>
      <c r="S722" t="s">
        <v>63</v>
      </c>
      <c r="T722" t="s">
        <v>35</v>
      </c>
      <c r="U722" t="s">
        <v>36</v>
      </c>
      <c r="V722" t="s">
        <v>37</v>
      </c>
      <c r="W722">
        <v>7</v>
      </c>
      <c r="X722" t="s">
        <v>38</v>
      </c>
      <c r="Y722">
        <v>3</v>
      </c>
      <c r="Z722" t="s">
        <v>47</v>
      </c>
    </row>
    <row r="723" spans="1:26" x14ac:dyDescent="0.3">
      <c r="A723" t="s">
        <v>1312</v>
      </c>
      <c r="B723" s="2">
        <v>45988</v>
      </c>
      <c r="C723" t="s">
        <v>1313</v>
      </c>
      <c r="D723" t="s">
        <v>61</v>
      </c>
      <c r="E723" t="s">
        <v>43</v>
      </c>
      <c r="F723">
        <v>35</v>
      </c>
      <c r="G723" t="s">
        <v>139</v>
      </c>
      <c r="H723" t="s">
        <v>31</v>
      </c>
      <c r="I723" t="s">
        <v>139</v>
      </c>
      <c r="J723" t="s">
        <v>112</v>
      </c>
      <c r="K723">
        <v>3</v>
      </c>
      <c r="L723">
        <v>17487</v>
      </c>
      <c r="M723">
        <v>20</v>
      </c>
      <c r="N723">
        <v>10492.2</v>
      </c>
      <c r="O723">
        <v>7554.38</v>
      </c>
      <c r="P723">
        <v>447</v>
      </c>
      <c r="Q723">
        <v>49970.18</v>
      </c>
      <c r="R723" t="s">
        <v>83</v>
      </c>
      <c r="S723" t="s">
        <v>34</v>
      </c>
      <c r="T723" t="s">
        <v>70</v>
      </c>
      <c r="U723" t="s">
        <v>56</v>
      </c>
      <c r="V723" t="s">
        <v>57</v>
      </c>
      <c r="W723">
        <v>10</v>
      </c>
      <c r="X723" t="s">
        <v>38</v>
      </c>
      <c r="Y723">
        <v>5</v>
      </c>
      <c r="Z723" t="s">
        <v>39</v>
      </c>
    </row>
    <row r="724" spans="1:26" x14ac:dyDescent="0.3">
      <c r="A724" t="s">
        <v>1314</v>
      </c>
      <c r="B724" s="2">
        <v>46017</v>
      </c>
      <c r="C724" t="s">
        <v>1239</v>
      </c>
      <c r="D724" t="s">
        <v>73</v>
      </c>
      <c r="E724" t="s">
        <v>29</v>
      </c>
      <c r="F724">
        <v>20</v>
      </c>
      <c r="G724" t="s">
        <v>44</v>
      </c>
      <c r="H724" t="s">
        <v>31</v>
      </c>
      <c r="I724" t="s">
        <v>44</v>
      </c>
      <c r="J724" t="s">
        <v>75</v>
      </c>
      <c r="K724">
        <v>3</v>
      </c>
      <c r="L724">
        <v>32893</v>
      </c>
      <c r="M724">
        <v>5</v>
      </c>
      <c r="N724">
        <v>4933.95</v>
      </c>
      <c r="O724">
        <v>16874.11</v>
      </c>
      <c r="P724">
        <v>386</v>
      </c>
      <c r="Q724">
        <v>111005.16</v>
      </c>
      <c r="R724" t="s">
        <v>54</v>
      </c>
      <c r="S724" t="s">
        <v>63</v>
      </c>
      <c r="T724" t="s">
        <v>35</v>
      </c>
      <c r="U724" t="s">
        <v>36</v>
      </c>
      <c r="V724" t="s">
        <v>37</v>
      </c>
      <c r="W724">
        <v>7</v>
      </c>
      <c r="X724" t="s">
        <v>38</v>
      </c>
      <c r="Y724">
        <v>4</v>
      </c>
      <c r="Z724" t="s">
        <v>47</v>
      </c>
    </row>
    <row r="725" spans="1:26" x14ac:dyDescent="0.3">
      <c r="A725" t="s">
        <v>1315</v>
      </c>
      <c r="B725" s="2">
        <v>45898</v>
      </c>
      <c r="C725" t="s">
        <v>1167</v>
      </c>
      <c r="D725" t="s">
        <v>80</v>
      </c>
      <c r="E725" t="s">
        <v>43</v>
      </c>
      <c r="F725">
        <v>33</v>
      </c>
      <c r="G725" t="s">
        <v>99</v>
      </c>
      <c r="H725" t="s">
        <v>52</v>
      </c>
      <c r="I725" t="s">
        <v>99</v>
      </c>
      <c r="J725" t="s">
        <v>112</v>
      </c>
      <c r="K725">
        <v>2</v>
      </c>
      <c r="L725">
        <v>48999</v>
      </c>
      <c r="M725">
        <v>10</v>
      </c>
      <c r="N725">
        <v>9799.7999999999993</v>
      </c>
      <c r="O725">
        <v>15875.68</v>
      </c>
      <c r="P725">
        <v>136</v>
      </c>
      <c r="Q725">
        <v>104209.88</v>
      </c>
      <c r="R725" t="s">
        <v>54</v>
      </c>
      <c r="S725" t="s">
        <v>63</v>
      </c>
      <c r="T725" t="s">
        <v>35</v>
      </c>
      <c r="U725" t="s">
        <v>36</v>
      </c>
      <c r="V725" t="s">
        <v>37</v>
      </c>
      <c r="W725">
        <v>7</v>
      </c>
      <c r="X725" t="s">
        <v>38</v>
      </c>
      <c r="Y725">
        <v>1</v>
      </c>
      <c r="Z725" t="s">
        <v>39</v>
      </c>
    </row>
    <row r="726" spans="1:26" x14ac:dyDescent="0.3">
      <c r="A726" t="s">
        <v>1316</v>
      </c>
      <c r="B726" s="2">
        <v>45788</v>
      </c>
      <c r="C726" t="s">
        <v>1317</v>
      </c>
      <c r="D726" t="s">
        <v>80</v>
      </c>
      <c r="E726" t="s">
        <v>43</v>
      </c>
      <c r="F726">
        <v>54</v>
      </c>
      <c r="G726" t="s">
        <v>139</v>
      </c>
      <c r="H726" t="s">
        <v>31</v>
      </c>
      <c r="I726" t="s">
        <v>139</v>
      </c>
      <c r="J726" t="s">
        <v>201</v>
      </c>
      <c r="K726">
        <v>5</v>
      </c>
      <c r="L726">
        <v>21651</v>
      </c>
      <c r="M726">
        <v>15</v>
      </c>
      <c r="N726">
        <v>16238.25</v>
      </c>
      <c r="O726">
        <v>16563.009999999998</v>
      </c>
      <c r="P726">
        <v>226</v>
      </c>
      <c r="Q726">
        <v>108805.75999999999</v>
      </c>
      <c r="R726" t="s">
        <v>54</v>
      </c>
      <c r="S726" t="s">
        <v>34</v>
      </c>
      <c r="T726" t="s">
        <v>70</v>
      </c>
      <c r="U726" t="s">
        <v>56</v>
      </c>
      <c r="V726" t="s">
        <v>57</v>
      </c>
      <c r="W726">
        <v>2</v>
      </c>
      <c r="X726" t="s">
        <v>38</v>
      </c>
      <c r="Y726">
        <v>3</v>
      </c>
      <c r="Z726" t="s">
        <v>39</v>
      </c>
    </row>
    <row r="727" spans="1:26" x14ac:dyDescent="0.3">
      <c r="A727" t="s">
        <v>1318</v>
      </c>
      <c r="B727" s="2">
        <v>46112</v>
      </c>
      <c r="C727" t="s">
        <v>609</v>
      </c>
      <c r="D727" t="s">
        <v>108</v>
      </c>
      <c r="E727" t="s">
        <v>43</v>
      </c>
      <c r="F727">
        <v>21</v>
      </c>
      <c r="G727" t="s">
        <v>134</v>
      </c>
      <c r="H727" t="s">
        <v>31</v>
      </c>
      <c r="I727" t="s">
        <v>134</v>
      </c>
      <c r="J727" t="s">
        <v>75</v>
      </c>
      <c r="K727">
        <v>3</v>
      </c>
      <c r="L727">
        <v>33508</v>
      </c>
      <c r="M727">
        <v>10</v>
      </c>
      <c r="N727">
        <v>10052.4</v>
      </c>
      <c r="O727">
        <v>16284.89</v>
      </c>
      <c r="P727">
        <v>103</v>
      </c>
      <c r="Q727">
        <v>106859.49</v>
      </c>
      <c r="R727" t="s">
        <v>33</v>
      </c>
      <c r="S727" t="s">
        <v>63</v>
      </c>
      <c r="T727" t="s">
        <v>46</v>
      </c>
      <c r="U727" t="s">
        <v>36</v>
      </c>
      <c r="V727" t="s">
        <v>37</v>
      </c>
      <c r="W727">
        <v>5</v>
      </c>
      <c r="X727" t="s">
        <v>47</v>
      </c>
      <c r="Y727">
        <v>1</v>
      </c>
      <c r="Z727" t="s">
        <v>47</v>
      </c>
    </row>
    <row r="728" spans="1:26" x14ac:dyDescent="0.3">
      <c r="A728" t="s">
        <v>1319</v>
      </c>
      <c r="B728" s="2">
        <v>45924</v>
      </c>
      <c r="C728" t="s">
        <v>906</v>
      </c>
      <c r="D728" t="s">
        <v>42</v>
      </c>
      <c r="E728" t="s">
        <v>29</v>
      </c>
      <c r="F728">
        <v>41</v>
      </c>
      <c r="G728" t="s">
        <v>139</v>
      </c>
      <c r="H728" t="s">
        <v>31</v>
      </c>
      <c r="I728" t="s">
        <v>139</v>
      </c>
      <c r="J728" t="s">
        <v>150</v>
      </c>
      <c r="K728">
        <v>2</v>
      </c>
      <c r="L728">
        <v>43281</v>
      </c>
      <c r="M728">
        <v>5</v>
      </c>
      <c r="N728">
        <v>4328.1000000000004</v>
      </c>
      <c r="O728">
        <v>14802.1</v>
      </c>
      <c r="P728">
        <v>87</v>
      </c>
      <c r="Q728">
        <v>97123</v>
      </c>
      <c r="R728" t="s">
        <v>45</v>
      </c>
      <c r="S728" t="s">
        <v>63</v>
      </c>
      <c r="T728" t="s">
        <v>35</v>
      </c>
      <c r="U728" t="s">
        <v>36</v>
      </c>
      <c r="V728" t="s">
        <v>37</v>
      </c>
      <c r="W728">
        <v>7</v>
      </c>
      <c r="X728" t="s">
        <v>47</v>
      </c>
      <c r="Y728">
        <v>1</v>
      </c>
      <c r="Z728" t="s">
        <v>47</v>
      </c>
    </row>
    <row r="729" spans="1:26" x14ac:dyDescent="0.3">
      <c r="A729" t="s">
        <v>1320</v>
      </c>
      <c r="B729" s="2">
        <v>45852</v>
      </c>
      <c r="C729" t="s">
        <v>851</v>
      </c>
      <c r="D729" t="s">
        <v>66</v>
      </c>
      <c r="E729" t="s">
        <v>29</v>
      </c>
      <c r="F729">
        <v>30</v>
      </c>
      <c r="G729" t="s">
        <v>30</v>
      </c>
      <c r="H729" t="s">
        <v>31</v>
      </c>
      <c r="I729" t="s">
        <v>30</v>
      </c>
      <c r="J729" t="s">
        <v>112</v>
      </c>
      <c r="K729">
        <v>2</v>
      </c>
      <c r="L729">
        <v>41547</v>
      </c>
      <c r="M729">
        <v>10</v>
      </c>
      <c r="N729">
        <v>8309.4</v>
      </c>
      <c r="O729">
        <v>13461.23</v>
      </c>
      <c r="P729">
        <v>154</v>
      </c>
      <c r="Q729">
        <v>88399.83</v>
      </c>
      <c r="R729" t="s">
        <v>45</v>
      </c>
      <c r="S729" t="s">
        <v>63</v>
      </c>
      <c r="T729" t="s">
        <v>70</v>
      </c>
      <c r="U729" t="s">
        <v>56</v>
      </c>
      <c r="V729" t="s">
        <v>57</v>
      </c>
      <c r="W729">
        <v>4</v>
      </c>
      <c r="X729" t="s">
        <v>38</v>
      </c>
      <c r="Y729">
        <v>3</v>
      </c>
      <c r="Z729" t="s">
        <v>58</v>
      </c>
    </row>
    <row r="730" spans="1:26" x14ac:dyDescent="0.3">
      <c r="A730" t="s">
        <v>1321</v>
      </c>
      <c r="B730" s="2">
        <v>45974</v>
      </c>
      <c r="C730" t="s">
        <v>1322</v>
      </c>
      <c r="D730" t="s">
        <v>61</v>
      </c>
      <c r="E730" t="s">
        <v>29</v>
      </c>
      <c r="F730">
        <v>26</v>
      </c>
      <c r="G730" t="s">
        <v>74</v>
      </c>
      <c r="H730" t="s">
        <v>31</v>
      </c>
      <c r="I730" t="s">
        <v>74</v>
      </c>
      <c r="J730" t="s">
        <v>125</v>
      </c>
      <c r="K730">
        <v>3</v>
      </c>
      <c r="L730">
        <v>27978</v>
      </c>
      <c r="M730">
        <v>5</v>
      </c>
      <c r="N730">
        <v>4196.7</v>
      </c>
      <c r="O730">
        <v>14352.71</v>
      </c>
      <c r="P730">
        <v>109</v>
      </c>
      <c r="Q730">
        <v>94199.01</v>
      </c>
      <c r="R730" t="s">
        <v>54</v>
      </c>
      <c r="S730" t="s">
        <v>63</v>
      </c>
      <c r="T730" t="s">
        <v>35</v>
      </c>
      <c r="U730" t="s">
        <v>36</v>
      </c>
      <c r="V730" t="s">
        <v>37</v>
      </c>
      <c r="W730">
        <v>7</v>
      </c>
      <c r="X730" t="s">
        <v>38</v>
      </c>
      <c r="Y730">
        <v>2</v>
      </c>
      <c r="Z730" t="s">
        <v>47</v>
      </c>
    </row>
    <row r="731" spans="1:26" x14ac:dyDescent="0.3">
      <c r="A731" t="s">
        <v>1323</v>
      </c>
      <c r="B731" s="2">
        <v>45962</v>
      </c>
      <c r="C731" t="s">
        <v>1324</v>
      </c>
      <c r="D731" t="s">
        <v>61</v>
      </c>
      <c r="E731" t="s">
        <v>43</v>
      </c>
      <c r="F731">
        <v>28</v>
      </c>
      <c r="G731" t="s">
        <v>134</v>
      </c>
      <c r="H731" t="s">
        <v>31</v>
      </c>
      <c r="I731" t="s">
        <v>134</v>
      </c>
      <c r="J731" t="s">
        <v>201</v>
      </c>
      <c r="K731">
        <v>1</v>
      </c>
      <c r="L731">
        <v>45792</v>
      </c>
      <c r="M731">
        <v>20</v>
      </c>
      <c r="N731">
        <v>9158.4</v>
      </c>
      <c r="O731">
        <v>6594.05</v>
      </c>
      <c r="P731">
        <v>224</v>
      </c>
      <c r="Q731">
        <v>43451.65</v>
      </c>
      <c r="R731" t="s">
        <v>33</v>
      </c>
      <c r="S731" t="s">
        <v>63</v>
      </c>
      <c r="T731" t="s">
        <v>95</v>
      </c>
      <c r="U731" t="s">
        <v>96</v>
      </c>
      <c r="V731" t="s">
        <v>57</v>
      </c>
      <c r="W731">
        <v>6</v>
      </c>
      <c r="X731" t="s">
        <v>47</v>
      </c>
      <c r="Y731">
        <v>3</v>
      </c>
      <c r="Z731" t="s">
        <v>58</v>
      </c>
    </row>
    <row r="732" spans="1:26" x14ac:dyDescent="0.3">
      <c r="A732" t="s">
        <v>1325</v>
      </c>
      <c r="B732" s="2">
        <v>46030</v>
      </c>
      <c r="C732" t="s">
        <v>223</v>
      </c>
      <c r="D732" t="s">
        <v>61</v>
      </c>
      <c r="E732" t="s">
        <v>29</v>
      </c>
      <c r="F732">
        <v>46</v>
      </c>
      <c r="G732" t="s">
        <v>99</v>
      </c>
      <c r="H732" t="s">
        <v>52</v>
      </c>
      <c r="I732" t="s">
        <v>99</v>
      </c>
      <c r="J732" t="s">
        <v>32</v>
      </c>
      <c r="K732">
        <v>3</v>
      </c>
      <c r="L732">
        <v>42112</v>
      </c>
      <c r="M732">
        <v>10</v>
      </c>
      <c r="N732">
        <v>12633.6</v>
      </c>
      <c r="O732">
        <v>20466.43</v>
      </c>
      <c r="P732">
        <v>357</v>
      </c>
      <c r="Q732">
        <v>134525.82999999999</v>
      </c>
      <c r="R732" t="s">
        <v>54</v>
      </c>
      <c r="S732" t="s">
        <v>34</v>
      </c>
      <c r="T732" t="s">
        <v>95</v>
      </c>
      <c r="U732" t="s">
        <v>96</v>
      </c>
      <c r="V732" t="s">
        <v>57</v>
      </c>
      <c r="W732">
        <v>8</v>
      </c>
      <c r="X732" t="s">
        <v>38</v>
      </c>
      <c r="Y732">
        <v>5</v>
      </c>
      <c r="Z732" t="s">
        <v>91</v>
      </c>
    </row>
    <row r="733" spans="1:26" x14ac:dyDescent="0.3">
      <c r="A733" t="s">
        <v>1326</v>
      </c>
      <c r="B733" s="2">
        <v>45963</v>
      </c>
      <c r="C733" t="s">
        <v>983</v>
      </c>
      <c r="D733" t="s">
        <v>89</v>
      </c>
      <c r="E733" t="s">
        <v>43</v>
      </c>
      <c r="F733">
        <v>42</v>
      </c>
      <c r="G733" t="s">
        <v>99</v>
      </c>
      <c r="H733" t="s">
        <v>52</v>
      </c>
      <c r="I733" t="s">
        <v>99</v>
      </c>
      <c r="J733" t="s">
        <v>150</v>
      </c>
      <c r="K733">
        <v>1</v>
      </c>
      <c r="L733">
        <v>9485</v>
      </c>
      <c r="M733">
        <v>15</v>
      </c>
      <c r="N733">
        <v>1422.75</v>
      </c>
      <c r="O733">
        <v>1451.2</v>
      </c>
      <c r="P733">
        <v>167</v>
      </c>
      <c r="Q733">
        <v>9680.4500000000007</v>
      </c>
      <c r="R733" t="s">
        <v>33</v>
      </c>
      <c r="S733" t="s">
        <v>34</v>
      </c>
      <c r="T733" t="s">
        <v>84</v>
      </c>
      <c r="U733" t="s">
        <v>85</v>
      </c>
      <c r="V733" t="s">
        <v>86</v>
      </c>
      <c r="W733">
        <v>1</v>
      </c>
      <c r="X733" t="s">
        <v>38</v>
      </c>
      <c r="Y733">
        <v>1</v>
      </c>
      <c r="Z733" t="s">
        <v>58</v>
      </c>
    </row>
    <row r="734" spans="1:26" x14ac:dyDescent="0.3">
      <c r="A734" t="s">
        <v>1327</v>
      </c>
      <c r="B734" s="2">
        <v>45891</v>
      </c>
      <c r="C734" t="s">
        <v>1328</v>
      </c>
      <c r="D734" t="s">
        <v>28</v>
      </c>
      <c r="E734" t="s">
        <v>43</v>
      </c>
      <c r="F734">
        <v>53</v>
      </c>
      <c r="G734" t="s">
        <v>30</v>
      </c>
      <c r="H734" t="s">
        <v>31</v>
      </c>
      <c r="I734" t="s">
        <v>30</v>
      </c>
      <c r="J734" t="s">
        <v>102</v>
      </c>
      <c r="K734">
        <v>3</v>
      </c>
      <c r="L734">
        <v>3588</v>
      </c>
      <c r="M734">
        <v>15</v>
      </c>
      <c r="N734">
        <v>1614.6</v>
      </c>
      <c r="O734">
        <v>1646.89</v>
      </c>
      <c r="P734">
        <v>206</v>
      </c>
      <c r="Q734">
        <v>11002.29</v>
      </c>
      <c r="R734" t="s">
        <v>54</v>
      </c>
      <c r="S734" t="s">
        <v>34</v>
      </c>
      <c r="T734" t="s">
        <v>103</v>
      </c>
      <c r="U734" t="s">
        <v>103</v>
      </c>
      <c r="V734" t="s">
        <v>57</v>
      </c>
      <c r="W734">
        <v>10</v>
      </c>
      <c r="X734" t="s">
        <v>38</v>
      </c>
      <c r="Y734">
        <v>4</v>
      </c>
      <c r="Z734" t="s">
        <v>47</v>
      </c>
    </row>
    <row r="735" spans="1:26" x14ac:dyDescent="0.3">
      <c r="A735" t="s">
        <v>1329</v>
      </c>
      <c r="B735" s="2">
        <v>45848</v>
      </c>
      <c r="C735" t="s">
        <v>824</v>
      </c>
      <c r="D735" t="s">
        <v>61</v>
      </c>
      <c r="E735" t="s">
        <v>43</v>
      </c>
      <c r="F735">
        <v>56</v>
      </c>
      <c r="G735" t="s">
        <v>51</v>
      </c>
      <c r="H735" t="s">
        <v>52</v>
      </c>
      <c r="I735" t="s">
        <v>51</v>
      </c>
      <c r="J735" t="s">
        <v>53</v>
      </c>
      <c r="K735">
        <v>1</v>
      </c>
      <c r="L735">
        <v>44046</v>
      </c>
      <c r="M735">
        <v>20</v>
      </c>
      <c r="N735">
        <v>8809.2000000000007</v>
      </c>
      <c r="O735">
        <v>6342.62</v>
      </c>
      <c r="P735">
        <v>311</v>
      </c>
      <c r="Q735">
        <v>41890.42</v>
      </c>
      <c r="R735" t="s">
        <v>54</v>
      </c>
      <c r="S735" t="s">
        <v>34</v>
      </c>
      <c r="T735" t="s">
        <v>103</v>
      </c>
      <c r="U735" t="s">
        <v>103</v>
      </c>
      <c r="V735" t="s">
        <v>57</v>
      </c>
      <c r="W735">
        <v>5</v>
      </c>
      <c r="X735" t="s">
        <v>47</v>
      </c>
      <c r="Y735">
        <v>4</v>
      </c>
      <c r="Z735" t="s">
        <v>91</v>
      </c>
    </row>
    <row r="736" spans="1:26" x14ac:dyDescent="0.3">
      <c r="A736" t="s">
        <v>1330</v>
      </c>
      <c r="B736" s="2">
        <v>45970</v>
      </c>
      <c r="C736" t="s">
        <v>1331</v>
      </c>
      <c r="D736" t="s">
        <v>89</v>
      </c>
      <c r="E736" t="s">
        <v>43</v>
      </c>
      <c r="F736">
        <v>25</v>
      </c>
      <c r="G736" t="s">
        <v>51</v>
      </c>
      <c r="H736" t="s">
        <v>52</v>
      </c>
      <c r="I736" t="s">
        <v>51</v>
      </c>
      <c r="J736" t="s">
        <v>150</v>
      </c>
      <c r="K736">
        <v>5</v>
      </c>
      <c r="L736">
        <v>6165</v>
      </c>
      <c r="M736">
        <v>20</v>
      </c>
      <c r="N736">
        <v>6165</v>
      </c>
      <c r="O736">
        <v>4438.8</v>
      </c>
      <c r="P736">
        <v>424</v>
      </c>
      <c r="Q736">
        <v>29522.799999999999</v>
      </c>
      <c r="R736" t="s">
        <v>83</v>
      </c>
      <c r="S736" t="s">
        <v>34</v>
      </c>
      <c r="T736" t="s">
        <v>103</v>
      </c>
      <c r="U736" t="s">
        <v>103</v>
      </c>
      <c r="V736" t="s">
        <v>57</v>
      </c>
      <c r="W736">
        <v>8</v>
      </c>
      <c r="X736" t="s">
        <v>38</v>
      </c>
      <c r="Y736">
        <v>5</v>
      </c>
      <c r="Z736" t="s">
        <v>58</v>
      </c>
    </row>
    <row r="737" spans="1:26" x14ac:dyDescent="0.3">
      <c r="A737" t="s">
        <v>1332</v>
      </c>
      <c r="B737" s="2">
        <v>45939</v>
      </c>
      <c r="C737" t="s">
        <v>948</v>
      </c>
      <c r="D737" t="s">
        <v>80</v>
      </c>
      <c r="E737" t="s">
        <v>29</v>
      </c>
      <c r="F737">
        <v>59</v>
      </c>
      <c r="G737" t="s">
        <v>90</v>
      </c>
      <c r="H737" t="s">
        <v>31</v>
      </c>
      <c r="I737" t="s">
        <v>90</v>
      </c>
      <c r="J737" t="s">
        <v>62</v>
      </c>
      <c r="K737">
        <v>4</v>
      </c>
      <c r="L737">
        <v>2086</v>
      </c>
      <c r="M737">
        <v>20</v>
      </c>
      <c r="N737">
        <v>1668.8</v>
      </c>
      <c r="O737">
        <v>1201.54</v>
      </c>
      <c r="P737">
        <v>360</v>
      </c>
      <c r="Q737">
        <v>8236.74</v>
      </c>
      <c r="R737" t="s">
        <v>45</v>
      </c>
      <c r="S737" t="s">
        <v>63</v>
      </c>
      <c r="T737" t="s">
        <v>103</v>
      </c>
      <c r="U737" t="s">
        <v>103</v>
      </c>
      <c r="V737" t="s">
        <v>57</v>
      </c>
      <c r="W737">
        <v>2</v>
      </c>
      <c r="X737" t="s">
        <v>47</v>
      </c>
      <c r="Y737">
        <v>4</v>
      </c>
      <c r="Z737" t="s">
        <v>91</v>
      </c>
    </row>
    <row r="738" spans="1:26" x14ac:dyDescent="0.3">
      <c r="A738" t="s">
        <v>1333</v>
      </c>
      <c r="B738" s="2">
        <v>45859</v>
      </c>
      <c r="C738" t="s">
        <v>746</v>
      </c>
      <c r="D738" t="s">
        <v>111</v>
      </c>
      <c r="E738" t="s">
        <v>43</v>
      </c>
      <c r="F738">
        <v>47</v>
      </c>
      <c r="G738" t="s">
        <v>51</v>
      </c>
      <c r="H738" t="s">
        <v>52</v>
      </c>
      <c r="I738" t="s">
        <v>51</v>
      </c>
      <c r="J738" t="s">
        <v>112</v>
      </c>
      <c r="K738">
        <v>1</v>
      </c>
      <c r="L738">
        <v>1296</v>
      </c>
      <c r="M738">
        <v>15</v>
      </c>
      <c r="N738">
        <v>194.4</v>
      </c>
      <c r="O738">
        <v>198.29</v>
      </c>
      <c r="P738">
        <v>410</v>
      </c>
      <c r="Q738">
        <v>1709.89</v>
      </c>
      <c r="R738" t="s">
        <v>54</v>
      </c>
      <c r="S738" t="s">
        <v>34</v>
      </c>
      <c r="T738" t="s">
        <v>84</v>
      </c>
      <c r="U738" t="s">
        <v>85</v>
      </c>
      <c r="V738" t="s">
        <v>86</v>
      </c>
      <c r="W738">
        <v>5</v>
      </c>
      <c r="X738" t="s">
        <v>38</v>
      </c>
      <c r="Y738">
        <v>3</v>
      </c>
      <c r="Z738" t="s">
        <v>58</v>
      </c>
    </row>
    <row r="739" spans="1:26" x14ac:dyDescent="0.3">
      <c r="A739" t="s">
        <v>1334</v>
      </c>
      <c r="B739" s="2">
        <v>46077</v>
      </c>
      <c r="C739" t="s">
        <v>193</v>
      </c>
      <c r="D739" t="s">
        <v>108</v>
      </c>
      <c r="E739" t="s">
        <v>29</v>
      </c>
      <c r="F739">
        <v>26</v>
      </c>
      <c r="G739" t="s">
        <v>30</v>
      </c>
      <c r="H739" t="s">
        <v>31</v>
      </c>
      <c r="I739" t="s">
        <v>30</v>
      </c>
      <c r="J739" t="s">
        <v>53</v>
      </c>
      <c r="K739">
        <v>1</v>
      </c>
      <c r="L739">
        <v>43602</v>
      </c>
      <c r="M739">
        <v>15</v>
      </c>
      <c r="N739">
        <v>6540.3</v>
      </c>
      <c r="O739">
        <v>6671.11</v>
      </c>
      <c r="P739">
        <v>396</v>
      </c>
      <c r="Q739">
        <v>44128.81</v>
      </c>
      <c r="R739" t="s">
        <v>83</v>
      </c>
      <c r="S739" t="s">
        <v>34</v>
      </c>
      <c r="T739" t="s">
        <v>35</v>
      </c>
      <c r="U739" t="s">
        <v>36</v>
      </c>
      <c r="V739" t="s">
        <v>37</v>
      </c>
      <c r="W739">
        <v>1</v>
      </c>
      <c r="X739" t="s">
        <v>47</v>
      </c>
      <c r="Y739">
        <v>5</v>
      </c>
      <c r="Z739" t="s">
        <v>47</v>
      </c>
    </row>
    <row r="740" spans="1:26" x14ac:dyDescent="0.3">
      <c r="A740" t="s">
        <v>1335</v>
      </c>
      <c r="B740" s="2">
        <v>45795</v>
      </c>
      <c r="C740" t="s">
        <v>1336</v>
      </c>
      <c r="D740" t="s">
        <v>111</v>
      </c>
      <c r="E740" t="s">
        <v>29</v>
      </c>
      <c r="F740">
        <v>25</v>
      </c>
      <c r="G740" t="s">
        <v>67</v>
      </c>
      <c r="H740" t="s">
        <v>68</v>
      </c>
      <c r="I740" t="s">
        <v>67</v>
      </c>
      <c r="J740" t="s">
        <v>75</v>
      </c>
      <c r="K740">
        <v>3</v>
      </c>
      <c r="L740">
        <v>8837</v>
      </c>
      <c r="M740">
        <v>20</v>
      </c>
      <c r="N740">
        <v>5302.2</v>
      </c>
      <c r="O740">
        <v>3817.58</v>
      </c>
      <c r="P740">
        <v>344</v>
      </c>
      <c r="Q740">
        <v>25370.38</v>
      </c>
      <c r="R740" t="s">
        <v>54</v>
      </c>
      <c r="S740" t="s">
        <v>34</v>
      </c>
      <c r="T740" t="s">
        <v>103</v>
      </c>
      <c r="U740" t="s">
        <v>103</v>
      </c>
      <c r="V740" t="s">
        <v>57</v>
      </c>
      <c r="W740">
        <v>8</v>
      </c>
      <c r="X740" t="s">
        <v>47</v>
      </c>
      <c r="Y740">
        <v>3</v>
      </c>
      <c r="Z740" t="s">
        <v>47</v>
      </c>
    </row>
    <row r="741" spans="1:26" x14ac:dyDescent="0.3">
      <c r="A741" t="s">
        <v>1337</v>
      </c>
      <c r="B741" s="2">
        <v>45886</v>
      </c>
      <c r="C741" t="s">
        <v>338</v>
      </c>
      <c r="D741" t="s">
        <v>80</v>
      </c>
      <c r="E741" t="s">
        <v>29</v>
      </c>
      <c r="F741">
        <v>23</v>
      </c>
      <c r="G741" t="s">
        <v>74</v>
      </c>
      <c r="H741" t="s">
        <v>31</v>
      </c>
      <c r="I741" t="s">
        <v>74</v>
      </c>
      <c r="J741" t="s">
        <v>102</v>
      </c>
      <c r="K741">
        <v>5</v>
      </c>
      <c r="L741">
        <v>10552</v>
      </c>
      <c r="M741">
        <v>0</v>
      </c>
      <c r="N741">
        <v>0</v>
      </c>
      <c r="O741">
        <v>9496.7999999999993</v>
      </c>
      <c r="P741">
        <v>290</v>
      </c>
      <c r="Q741">
        <v>62546.8</v>
      </c>
      <c r="R741" t="s">
        <v>83</v>
      </c>
      <c r="S741" t="s">
        <v>34</v>
      </c>
      <c r="T741" t="s">
        <v>84</v>
      </c>
      <c r="U741" t="s">
        <v>85</v>
      </c>
      <c r="V741" t="s">
        <v>86</v>
      </c>
      <c r="W741">
        <v>8</v>
      </c>
      <c r="X741" t="s">
        <v>38</v>
      </c>
      <c r="Y741">
        <v>3</v>
      </c>
      <c r="Z741" t="s">
        <v>58</v>
      </c>
    </row>
    <row r="742" spans="1:26" x14ac:dyDescent="0.3">
      <c r="A742" t="s">
        <v>1338</v>
      </c>
      <c r="B742" s="2">
        <v>45922</v>
      </c>
      <c r="C742" t="s">
        <v>1048</v>
      </c>
      <c r="D742" t="s">
        <v>108</v>
      </c>
      <c r="E742" t="s">
        <v>29</v>
      </c>
      <c r="F742">
        <v>52</v>
      </c>
      <c r="G742" t="s">
        <v>44</v>
      </c>
      <c r="H742" t="s">
        <v>31</v>
      </c>
      <c r="I742" t="s">
        <v>44</v>
      </c>
      <c r="J742" t="s">
        <v>112</v>
      </c>
      <c r="K742">
        <v>3</v>
      </c>
      <c r="L742">
        <v>31793</v>
      </c>
      <c r="M742">
        <v>10</v>
      </c>
      <c r="N742">
        <v>9537.9</v>
      </c>
      <c r="O742">
        <v>15451.4</v>
      </c>
      <c r="P742">
        <v>433</v>
      </c>
      <c r="Q742">
        <v>101725.5</v>
      </c>
      <c r="R742" t="s">
        <v>54</v>
      </c>
      <c r="S742" t="s">
        <v>34</v>
      </c>
      <c r="T742" t="s">
        <v>103</v>
      </c>
      <c r="U742" t="s">
        <v>103</v>
      </c>
      <c r="V742" t="s">
        <v>57</v>
      </c>
      <c r="W742">
        <v>7</v>
      </c>
      <c r="X742" t="s">
        <v>38</v>
      </c>
      <c r="Y742">
        <v>2</v>
      </c>
      <c r="Z742" t="s">
        <v>47</v>
      </c>
    </row>
    <row r="743" spans="1:26" x14ac:dyDescent="0.3">
      <c r="A743" t="s">
        <v>1339</v>
      </c>
      <c r="B743" s="2">
        <v>46031</v>
      </c>
      <c r="C743" t="s">
        <v>834</v>
      </c>
      <c r="D743" t="s">
        <v>28</v>
      </c>
      <c r="E743" t="s">
        <v>29</v>
      </c>
      <c r="F743">
        <v>24</v>
      </c>
      <c r="G743" t="s">
        <v>94</v>
      </c>
      <c r="H743" t="s">
        <v>31</v>
      </c>
      <c r="I743" t="s">
        <v>94</v>
      </c>
      <c r="J743" t="s">
        <v>53</v>
      </c>
      <c r="K743">
        <v>4</v>
      </c>
      <c r="L743">
        <v>49840</v>
      </c>
      <c r="M743">
        <v>10</v>
      </c>
      <c r="N743">
        <v>19936</v>
      </c>
      <c r="O743">
        <v>32296.32</v>
      </c>
      <c r="P743">
        <v>58</v>
      </c>
      <c r="Q743">
        <v>211778.32</v>
      </c>
      <c r="R743" t="s">
        <v>45</v>
      </c>
      <c r="S743" t="s">
        <v>63</v>
      </c>
      <c r="T743" t="s">
        <v>103</v>
      </c>
      <c r="U743" t="s">
        <v>103</v>
      </c>
      <c r="V743" t="s">
        <v>57</v>
      </c>
      <c r="W743">
        <v>6</v>
      </c>
      <c r="X743" t="s">
        <v>47</v>
      </c>
      <c r="Y743">
        <v>2</v>
      </c>
      <c r="Z743" t="s">
        <v>39</v>
      </c>
    </row>
    <row r="744" spans="1:26" x14ac:dyDescent="0.3">
      <c r="A744" t="s">
        <v>1340</v>
      </c>
      <c r="B744" s="2">
        <v>45840</v>
      </c>
      <c r="C744" t="s">
        <v>172</v>
      </c>
      <c r="D744" t="s">
        <v>61</v>
      </c>
      <c r="E744" t="s">
        <v>43</v>
      </c>
      <c r="F744">
        <v>53</v>
      </c>
      <c r="G744" t="s">
        <v>99</v>
      </c>
      <c r="H744" t="s">
        <v>52</v>
      </c>
      <c r="I744" t="s">
        <v>99</v>
      </c>
      <c r="J744" t="s">
        <v>75</v>
      </c>
      <c r="K744">
        <v>4</v>
      </c>
      <c r="L744">
        <v>5564</v>
      </c>
      <c r="M744">
        <v>20</v>
      </c>
      <c r="N744">
        <v>4451.2</v>
      </c>
      <c r="O744">
        <v>3204.86</v>
      </c>
      <c r="P744">
        <v>166</v>
      </c>
      <c r="Q744">
        <v>21175.66</v>
      </c>
      <c r="R744" t="s">
        <v>54</v>
      </c>
      <c r="S744" t="s">
        <v>34</v>
      </c>
      <c r="T744" t="s">
        <v>95</v>
      </c>
      <c r="U744" t="s">
        <v>96</v>
      </c>
      <c r="V744" t="s">
        <v>57</v>
      </c>
      <c r="W744">
        <v>10</v>
      </c>
      <c r="X744" t="s">
        <v>47</v>
      </c>
      <c r="Y744">
        <v>4</v>
      </c>
      <c r="Z744" t="s">
        <v>58</v>
      </c>
    </row>
    <row r="745" spans="1:26" x14ac:dyDescent="0.3">
      <c r="A745" t="s">
        <v>1341</v>
      </c>
      <c r="B745" s="2">
        <v>46071</v>
      </c>
      <c r="C745" t="s">
        <v>191</v>
      </c>
      <c r="D745" t="s">
        <v>42</v>
      </c>
      <c r="E745" t="s">
        <v>29</v>
      </c>
      <c r="F745">
        <v>35</v>
      </c>
      <c r="G745" t="s">
        <v>94</v>
      </c>
      <c r="H745" t="s">
        <v>31</v>
      </c>
      <c r="I745" t="s">
        <v>94</v>
      </c>
      <c r="J745" t="s">
        <v>75</v>
      </c>
      <c r="K745">
        <v>2</v>
      </c>
      <c r="L745">
        <v>8094</v>
      </c>
      <c r="M745">
        <v>5</v>
      </c>
      <c r="N745">
        <v>809.4</v>
      </c>
      <c r="O745">
        <v>2768.15</v>
      </c>
      <c r="P745">
        <v>400</v>
      </c>
      <c r="Q745">
        <v>18546.75</v>
      </c>
      <c r="R745" t="s">
        <v>33</v>
      </c>
      <c r="S745" t="s">
        <v>34</v>
      </c>
      <c r="T745" t="s">
        <v>76</v>
      </c>
      <c r="U745" t="s">
        <v>77</v>
      </c>
      <c r="V745" t="s">
        <v>57</v>
      </c>
      <c r="W745">
        <v>9</v>
      </c>
      <c r="X745" t="s">
        <v>47</v>
      </c>
      <c r="Y745">
        <v>5</v>
      </c>
      <c r="Z745" t="s">
        <v>47</v>
      </c>
    </row>
    <row r="746" spans="1:26" x14ac:dyDescent="0.3">
      <c r="A746" t="s">
        <v>1342</v>
      </c>
      <c r="B746" s="2">
        <v>46112</v>
      </c>
      <c r="C746" t="s">
        <v>1343</v>
      </c>
      <c r="D746" t="s">
        <v>108</v>
      </c>
      <c r="E746" t="s">
        <v>43</v>
      </c>
      <c r="F746">
        <v>41</v>
      </c>
      <c r="G746" t="s">
        <v>139</v>
      </c>
      <c r="H746" t="s">
        <v>31</v>
      </c>
      <c r="I746" t="s">
        <v>139</v>
      </c>
      <c r="J746" t="s">
        <v>69</v>
      </c>
      <c r="K746">
        <v>1</v>
      </c>
      <c r="L746">
        <v>32513</v>
      </c>
      <c r="M746">
        <v>5</v>
      </c>
      <c r="N746">
        <v>1625.65</v>
      </c>
      <c r="O746">
        <v>5559.72</v>
      </c>
      <c r="P746">
        <v>141</v>
      </c>
      <c r="Q746">
        <v>36588.07</v>
      </c>
      <c r="R746" t="s">
        <v>33</v>
      </c>
      <c r="S746" t="s">
        <v>63</v>
      </c>
      <c r="T746" t="s">
        <v>35</v>
      </c>
      <c r="U746" t="s">
        <v>36</v>
      </c>
      <c r="V746" t="s">
        <v>37</v>
      </c>
      <c r="W746">
        <v>8</v>
      </c>
      <c r="X746" t="s">
        <v>38</v>
      </c>
      <c r="Y746">
        <v>5</v>
      </c>
      <c r="Z746" t="s">
        <v>58</v>
      </c>
    </row>
    <row r="747" spans="1:26" x14ac:dyDescent="0.3">
      <c r="A747" t="s">
        <v>1344</v>
      </c>
      <c r="B747" s="2">
        <v>46078</v>
      </c>
      <c r="C747" t="s">
        <v>1345</v>
      </c>
      <c r="D747" t="s">
        <v>42</v>
      </c>
      <c r="E747" t="s">
        <v>43</v>
      </c>
      <c r="F747">
        <v>30</v>
      </c>
      <c r="G747" t="s">
        <v>74</v>
      </c>
      <c r="H747" t="s">
        <v>31</v>
      </c>
      <c r="I747" t="s">
        <v>74</v>
      </c>
      <c r="J747" t="s">
        <v>53</v>
      </c>
      <c r="K747">
        <v>3</v>
      </c>
      <c r="L747">
        <v>21815</v>
      </c>
      <c r="M747">
        <v>0</v>
      </c>
      <c r="N747">
        <v>0</v>
      </c>
      <c r="O747">
        <v>11780.1</v>
      </c>
      <c r="P747">
        <v>171</v>
      </c>
      <c r="Q747">
        <v>77396.100000000006</v>
      </c>
      <c r="R747" t="s">
        <v>54</v>
      </c>
      <c r="S747" t="s">
        <v>34</v>
      </c>
      <c r="T747" t="s">
        <v>95</v>
      </c>
      <c r="U747" t="s">
        <v>96</v>
      </c>
      <c r="V747" t="s">
        <v>57</v>
      </c>
      <c r="W747">
        <v>1</v>
      </c>
      <c r="X747" t="s">
        <v>38</v>
      </c>
      <c r="Y747">
        <v>4</v>
      </c>
      <c r="Z747" t="s">
        <v>39</v>
      </c>
    </row>
    <row r="748" spans="1:26" x14ac:dyDescent="0.3">
      <c r="A748" t="s">
        <v>1346</v>
      </c>
      <c r="B748" s="2">
        <v>45775</v>
      </c>
      <c r="C748" t="s">
        <v>528</v>
      </c>
      <c r="D748" t="s">
        <v>50</v>
      </c>
      <c r="E748" t="s">
        <v>29</v>
      </c>
      <c r="F748">
        <v>22</v>
      </c>
      <c r="G748" t="s">
        <v>139</v>
      </c>
      <c r="H748" t="s">
        <v>31</v>
      </c>
      <c r="I748" t="s">
        <v>139</v>
      </c>
      <c r="J748" t="s">
        <v>69</v>
      </c>
      <c r="K748">
        <v>5</v>
      </c>
      <c r="L748">
        <v>35936</v>
      </c>
      <c r="M748">
        <v>0</v>
      </c>
      <c r="N748">
        <v>0</v>
      </c>
      <c r="O748">
        <v>32342.400000000001</v>
      </c>
      <c r="P748">
        <v>301</v>
      </c>
      <c r="Q748">
        <v>212323.4</v>
      </c>
      <c r="R748" t="s">
        <v>33</v>
      </c>
      <c r="S748" t="s">
        <v>34</v>
      </c>
      <c r="T748" t="s">
        <v>46</v>
      </c>
      <c r="U748" t="s">
        <v>36</v>
      </c>
      <c r="V748" t="s">
        <v>37</v>
      </c>
      <c r="W748">
        <v>2</v>
      </c>
      <c r="X748" t="s">
        <v>47</v>
      </c>
      <c r="Y748">
        <v>3</v>
      </c>
      <c r="Z748" t="s">
        <v>47</v>
      </c>
    </row>
    <row r="749" spans="1:26" x14ac:dyDescent="0.3">
      <c r="A749" t="s">
        <v>1347</v>
      </c>
      <c r="B749" s="2">
        <v>46029</v>
      </c>
      <c r="C749" t="s">
        <v>906</v>
      </c>
      <c r="D749" t="s">
        <v>66</v>
      </c>
      <c r="E749" t="s">
        <v>29</v>
      </c>
      <c r="F749">
        <v>24</v>
      </c>
      <c r="G749" t="s">
        <v>99</v>
      </c>
      <c r="H749" t="s">
        <v>52</v>
      </c>
      <c r="I749" t="s">
        <v>99</v>
      </c>
      <c r="J749" t="s">
        <v>112</v>
      </c>
      <c r="K749">
        <v>2</v>
      </c>
      <c r="L749">
        <v>44948</v>
      </c>
      <c r="M749">
        <v>20</v>
      </c>
      <c r="N749">
        <v>17979.2</v>
      </c>
      <c r="O749">
        <v>12945.02</v>
      </c>
      <c r="P749">
        <v>53</v>
      </c>
      <c r="Q749">
        <v>84914.82</v>
      </c>
      <c r="R749" t="s">
        <v>33</v>
      </c>
      <c r="S749" t="s">
        <v>63</v>
      </c>
      <c r="T749" t="s">
        <v>76</v>
      </c>
      <c r="U749" t="s">
        <v>77</v>
      </c>
      <c r="V749" t="s">
        <v>57</v>
      </c>
      <c r="W749">
        <v>5</v>
      </c>
      <c r="X749" t="s">
        <v>38</v>
      </c>
      <c r="Y749">
        <v>1</v>
      </c>
      <c r="Z749" t="s">
        <v>47</v>
      </c>
    </row>
    <row r="750" spans="1:26" x14ac:dyDescent="0.3">
      <c r="A750" t="s">
        <v>1348</v>
      </c>
      <c r="B750" s="2">
        <v>45928</v>
      </c>
      <c r="C750" t="s">
        <v>330</v>
      </c>
      <c r="D750" t="s">
        <v>42</v>
      </c>
      <c r="E750" t="s">
        <v>29</v>
      </c>
      <c r="F750">
        <v>38</v>
      </c>
      <c r="G750" t="s">
        <v>94</v>
      </c>
      <c r="H750" t="s">
        <v>31</v>
      </c>
      <c r="I750" t="s">
        <v>94</v>
      </c>
      <c r="J750" t="s">
        <v>75</v>
      </c>
      <c r="K750">
        <v>1</v>
      </c>
      <c r="L750">
        <v>34893</v>
      </c>
      <c r="M750">
        <v>20</v>
      </c>
      <c r="N750">
        <v>6978.6</v>
      </c>
      <c r="O750">
        <v>5024.59</v>
      </c>
      <c r="P750">
        <v>137</v>
      </c>
      <c r="Q750">
        <v>33075.99</v>
      </c>
      <c r="R750" t="s">
        <v>54</v>
      </c>
      <c r="S750" t="s">
        <v>34</v>
      </c>
      <c r="T750" t="s">
        <v>35</v>
      </c>
      <c r="U750" t="s">
        <v>36</v>
      </c>
      <c r="V750" t="s">
        <v>37</v>
      </c>
      <c r="W750">
        <v>2</v>
      </c>
      <c r="X750" t="s">
        <v>38</v>
      </c>
      <c r="Y750">
        <v>2</v>
      </c>
      <c r="Z750" t="s">
        <v>47</v>
      </c>
    </row>
    <row r="751" spans="1:26" x14ac:dyDescent="0.3">
      <c r="A751" t="s">
        <v>1349</v>
      </c>
      <c r="B751" s="2">
        <v>46104</v>
      </c>
      <c r="C751" t="s">
        <v>353</v>
      </c>
      <c r="D751" t="s">
        <v>108</v>
      </c>
      <c r="E751" t="s">
        <v>43</v>
      </c>
      <c r="F751">
        <v>54</v>
      </c>
      <c r="G751" t="s">
        <v>99</v>
      </c>
      <c r="H751" t="s">
        <v>52</v>
      </c>
      <c r="I751" t="s">
        <v>99</v>
      </c>
      <c r="J751" t="s">
        <v>150</v>
      </c>
      <c r="K751">
        <v>5</v>
      </c>
      <c r="L751">
        <v>37161</v>
      </c>
      <c r="M751">
        <v>15</v>
      </c>
      <c r="N751">
        <v>27870.75</v>
      </c>
      <c r="O751">
        <v>28428.16</v>
      </c>
      <c r="P751">
        <v>83</v>
      </c>
      <c r="Q751">
        <v>186445.42</v>
      </c>
      <c r="R751" t="s">
        <v>54</v>
      </c>
      <c r="S751" t="s">
        <v>34</v>
      </c>
      <c r="T751" t="s">
        <v>103</v>
      </c>
      <c r="U751" t="s">
        <v>103</v>
      </c>
      <c r="V751" t="s">
        <v>57</v>
      </c>
      <c r="W751">
        <v>8</v>
      </c>
      <c r="X751" t="s">
        <v>38</v>
      </c>
      <c r="Y751">
        <v>5</v>
      </c>
      <c r="Z751" t="s">
        <v>58</v>
      </c>
    </row>
    <row r="752" spans="1:26" x14ac:dyDescent="0.3">
      <c r="A752" t="s">
        <v>1350</v>
      </c>
      <c r="B752" s="2">
        <v>46117</v>
      </c>
      <c r="C752" t="s">
        <v>1351</v>
      </c>
      <c r="D752" t="s">
        <v>61</v>
      </c>
      <c r="E752" t="s">
        <v>29</v>
      </c>
      <c r="F752">
        <v>43</v>
      </c>
      <c r="G752" t="s">
        <v>51</v>
      </c>
      <c r="H752" t="s">
        <v>52</v>
      </c>
      <c r="I752" t="s">
        <v>51</v>
      </c>
      <c r="J752" t="s">
        <v>69</v>
      </c>
      <c r="K752">
        <v>3</v>
      </c>
      <c r="L752">
        <v>30146</v>
      </c>
      <c r="M752">
        <v>10</v>
      </c>
      <c r="N752">
        <v>9043.7999999999993</v>
      </c>
      <c r="O752">
        <v>14650.96</v>
      </c>
      <c r="P752">
        <v>175</v>
      </c>
      <c r="Q752">
        <v>96220.160000000003</v>
      </c>
      <c r="R752" t="s">
        <v>83</v>
      </c>
      <c r="S752" t="s">
        <v>63</v>
      </c>
      <c r="T752" t="s">
        <v>55</v>
      </c>
      <c r="U752" t="s">
        <v>56</v>
      </c>
      <c r="V752" t="s">
        <v>57</v>
      </c>
      <c r="W752">
        <v>1</v>
      </c>
      <c r="X752" t="s">
        <v>38</v>
      </c>
      <c r="Y752">
        <v>4</v>
      </c>
      <c r="Z752" t="s">
        <v>58</v>
      </c>
    </row>
    <row r="753" spans="1:26" x14ac:dyDescent="0.3">
      <c r="A753" t="s">
        <v>1352</v>
      </c>
      <c r="B753" s="2">
        <v>45759</v>
      </c>
      <c r="C753" t="s">
        <v>1005</v>
      </c>
      <c r="D753" t="s">
        <v>66</v>
      </c>
      <c r="E753" t="s">
        <v>29</v>
      </c>
      <c r="F753">
        <v>55</v>
      </c>
      <c r="G753" t="s">
        <v>30</v>
      </c>
      <c r="H753" t="s">
        <v>31</v>
      </c>
      <c r="I753" t="s">
        <v>30</v>
      </c>
      <c r="J753" t="s">
        <v>125</v>
      </c>
      <c r="K753">
        <v>5</v>
      </c>
      <c r="L753">
        <v>22055</v>
      </c>
      <c r="M753">
        <v>0</v>
      </c>
      <c r="N753">
        <v>0</v>
      </c>
      <c r="O753">
        <v>19849.5</v>
      </c>
      <c r="P753">
        <v>490</v>
      </c>
      <c r="Q753">
        <v>130614.5</v>
      </c>
      <c r="R753" t="s">
        <v>54</v>
      </c>
      <c r="S753" t="s">
        <v>34</v>
      </c>
      <c r="T753" t="s">
        <v>35</v>
      </c>
      <c r="U753" t="s">
        <v>36</v>
      </c>
      <c r="V753" t="s">
        <v>37</v>
      </c>
      <c r="W753">
        <v>1</v>
      </c>
      <c r="X753" t="s">
        <v>38</v>
      </c>
      <c r="Y753">
        <v>3</v>
      </c>
      <c r="Z753" t="s">
        <v>91</v>
      </c>
    </row>
    <row r="754" spans="1:26" x14ac:dyDescent="0.3">
      <c r="A754" t="s">
        <v>1353</v>
      </c>
      <c r="B754" s="2">
        <v>46009</v>
      </c>
      <c r="C754" t="s">
        <v>767</v>
      </c>
      <c r="D754" t="s">
        <v>28</v>
      </c>
      <c r="E754" t="s">
        <v>43</v>
      </c>
      <c r="F754">
        <v>31</v>
      </c>
      <c r="G754" t="s">
        <v>99</v>
      </c>
      <c r="H754" t="s">
        <v>52</v>
      </c>
      <c r="I754" t="s">
        <v>99</v>
      </c>
      <c r="J754" t="s">
        <v>75</v>
      </c>
      <c r="K754">
        <v>1</v>
      </c>
      <c r="L754">
        <v>43437</v>
      </c>
      <c r="M754">
        <v>5</v>
      </c>
      <c r="N754">
        <v>2171.85</v>
      </c>
      <c r="O754">
        <v>7427.73</v>
      </c>
      <c r="P754">
        <v>286</v>
      </c>
      <c r="Q754">
        <v>48978.879999999997</v>
      </c>
      <c r="R754" t="s">
        <v>54</v>
      </c>
      <c r="S754" t="s">
        <v>34</v>
      </c>
      <c r="T754" t="s">
        <v>55</v>
      </c>
      <c r="U754" t="s">
        <v>56</v>
      </c>
      <c r="V754" t="s">
        <v>57</v>
      </c>
      <c r="W754">
        <v>9</v>
      </c>
      <c r="X754" t="s">
        <v>38</v>
      </c>
      <c r="Y754">
        <v>3</v>
      </c>
      <c r="Z754" t="s">
        <v>58</v>
      </c>
    </row>
    <row r="755" spans="1:26" x14ac:dyDescent="0.3">
      <c r="A755" t="s">
        <v>1354</v>
      </c>
      <c r="B755" s="2">
        <v>45903</v>
      </c>
      <c r="C755" t="s">
        <v>279</v>
      </c>
      <c r="D755" t="s">
        <v>80</v>
      </c>
      <c r="E755" t="s">
        <v>29</v>
      </c>
      <c r="F755">
        <v>18</v>
      </c>
      <c r="G755" t="s">
        <v>51</v>
      </c>
      <c r="H755" t="s">
        <v>52</v>
      </c>
      <c r="I755" t="s">
        <v>51</v>
      </c>
      <c r="J755" t="s">
        <v>201</v>
      </c>
      <c r="K755">
        <v>1</v>
      </c>
      <c r="L755">
        <v>16469</v>
      </c>
      <c r="M755">
        <v>20</v>
      </c>
      <c r="N755">
        <v>3293.8</v>
      </c>
      <c r="O755">
        <v>2371.54</v>
      </c>
      <c r="P755">
        <v>266</v>
      </c>
      <c r="Q755">
        <v>15812.74</v>
      </c>
      <c r="R755" t="s">
        <v>54</v>
      </c>
      <c r="S755" t="s">
        <v>34</v>
      </c>
      <c r="T755" t="s">
        <v>103</v>
      </c>
      <c r="U755" t="s">
        <v>103</v>
      </c>
      <c r="V755" t="s">
        <v>57</v>
      </c>
      <c r="W755">
        <v>7</v>
      </c>
      <c r="X755" t="s">
        <v>38</v>
      </c>
      <c r="Y755">
        <v>4</v>
      </c>
      <c r="Z755" t="s">
        <v>47</v>
      </c>
    </row>
    <row r="756" spans="1:26" x14ac:dyDescent="0.3">
      <c r="A756" t="s">
        <v>1355</v>
      </c>
      <c r="B756" s="2">
        <v>46070</v>
      </c>
      <c r="C756" t="s">
        <v>1356</v>
      </c>
      <c r="D756" t="s">
        <v>111</v>
      </c>
      <c r="E756" t="s">
        <v>29</v>
      </c>
      <c r="F756">
        <v>48</v>
      </c>
      <c r="G756" t="s">
        <v>51</v>
      </c>
      <c r="H756" t="s">
        <v>52</v>
      </c>
      <c r="I756" t="s">
        <v>51</v>
      </c>
      <c r="J756" t="s">
        <v>150</v>
      </c>
      <c r="K756">
        <v>1</v>
      </c>
      <c r="L756">
        <v>44498</v>
      </c>
      <c r="M756">
        <v>10</v>
      </c>
      <c r="N756">
        <v>4449.8</v>
      </c>
      <c r="O756">
        <v>7208.68</v>
      </c>
      <c r="P756">
        <v>101</v>
      </c>
      <c r="Q756">
        <v>47357.88</v>
      </c>
      <c r="R756" t="s">
        <v>45</v>
      </c>
      <c r="S756" t="s">
        <v>34</v>
      </c>
      <c r="T756" t="s">
        <v>76</v>
      </c>
      <c r="U756" t="s">
        <v>77</v>
      </c>
      <c r="V756" t="s">
        <v>57</v>
      </c>
      <c r="W756">
        <v>7</v>
      </c>
      <c r="X756" t="s">
        <v>38</v>
      </c>
      <c r="Y756">
        <v>2</v>
      </c>
      <c r="Z756" t="s">
        <v>47</v>
      </c>
    </row>
    <row r="757" spans="1:26" x14ac:dyDescent="0.3">
      <c r="A757" t="s">
        <v>1357</v>
      </c>
      <c r="B757" s="2">
        <v>45968</v>
      </c>
      <c r="C757" t="s">
        <v>1187</v>
      </c>
      <c r="D757" t="s">
        <v>28</v>
      </c>
      <c r="E757" t="s">
        <v>29</v>
      </c>
      <c r="F757">
        <v>33</v>
      </c>
      <c r="G757" t="s">
        <v>134</v>
      </c>
      <c r="H757" t="s">
        <v>31</v>
      </c>
      <c r="I757" t="s">
        <v>134</v>
      </c>
      <c r="J757" t="s">
        <v>102</v>
      </c>
      <c r="K757">
        <v>5</v>
      </c>
      <c r="L757">
        <v>31205</v>
      </c>
      <c r="M757">
        <v>10</v>
      </c>
      <c r="N757">
        <v>15602.5</v>
      </c>
      <c r="O757">
        <v>25276.05</v>
      </c>
      <c r="P757">
        <v>301</v>
      </c>
      <c r="Q757">
        <v>165999.54999999999</v>
      </c>
      <c r="R757" t="s">
        <v>54</v>
      </c>
      <c r="S757" t="s">
        <v>63</v>
      </c>
      <c r="T757" t="s">
        <v>55</v>
      </c>
      <c r="U757" t="s">
        <v>56</v>
      </c>
      <c r="V757" t="s">
        <v>57</v>
      </c>
      <c r="W757">
        <v>5</v>
      </c>
      <c r="X757" t="s">
        <v>38</v>
      </c>
      <c r="Y757">
        <v>3</v>
      </c>
      <c r="Z757" t="s">
        <v>39</v>
      </c>
    </row>
    <row r="758" spans="1:26" x14ac:dyDescent="0.3">
      <c r="A758" t="s">
        <v>1358</v>
      </c>
      <c r="B758" s="2">
        <v>45892</v>
      </c>
      <c r="C758" t="s">
        <v>287</v>
      </c>
      <c r="D758" t="s">
        <v>61</v>
      </c>
      <c r="E758" t="s">
        <v>43</v>
      </c>
      <c r="F758">
        <v>41</v>
      </c>
      <c r="G758" t="s">
        <v>51</v>
      </c>
      <c r="H758" t="s">
        <v>52</v>
      </c>
      <c r="I758" t="s">
        <v>51</v>
      </c>
      <c r="J758" t="s">
        <v>112</v>
      </c>
      <c r="K758">
        <v>2</v>
      </c>
      <c r="L758">
        <v>48901</v>
      </c>
      <c r="M758">
        <v>0</v>
      </c>
      <c r="N758">
        <v>0</v>
      </c>
      <c r="O758">
        <v>17604.36</v>
      </c>
      <c r="P758">
        <v>80</v>
      </c>
      <c r="Q758">
        <v>115486.36</v>
      </c>
      <c r="R758" t="s">
        <v>83</v>
      </c>
      <c r="S758" t="s">
        <v>63</v>
      </c>
      <c r="T758" t="s">
        <v>55</v>
      </c>
      <c r="U758" t="s">
        <v>56</v>
      </c>
      <c r="V758" t="s">
        <v>57</v>
      </c>
      <c r="W758">
        <v>8</v>
      </c>
      <c r="X758" t="s">
        <v>47</v>
      </c>
      <c r="Y758">
        <v>4</v>
      </c>
      <c r="Z758" t="s">
        <v>58</v>
      </c>
    </row>
    <row r="759" spans="1:26" x14ac:dyDescent="0.3">
      <c r="A759" t="s">
        <v>1359</v>
      </c>
      <c r="B759" s="2">
        <v>46079</v>
      </c>
      <c r="C759" t="s">
        <v>956</v>
      </c>
      <c r="D759" t="s">
        <v>28</v>
      </c>
      <c r="E759" t="s">
        <v>29</v>
      </c>
      <c r="F759">
        <v>27</v>
      </c>
      <c r="G759" t="s">
        <v>44</v>
      </c>
      <c r="H759" t="s">
        <v>31</v>
      </c>
      <c r="I759" t="s">
        <v>44</v>
      </c>
      <c r="J759" t="s">
        <v>125</v>
      </c>
      <c r="K759">
        <v>3</v>
      </c>
      <c r="L759">
        <v>2214</v>
      </c>
      <c r="M759">
        <v>20</v>
      </c>
      <c r="N759">
        <v>1328.4</v>
      </c>
      <c r="O759">
        <v>956.45</v>
      </c>
      <c r="P759">
        <v>182</v>
      </c>
      <c r="Q759">
        <v>6452.05</v>
      </c>
      <c r="R759" t="s">
        <v>83</v>
      </c>
      <c r="S759" t="s">
        <v>34</v>
      </c>
      <c r="T759" t="s">
        <v>35</v>
      </c>
      <c r="U759" t="s">
        <v>36</v>
      </c>
      <c r="V759" t="s">
        <v>37</v>
      </c>
      <c r="W759">
        <v>4</v>
      </c>
      <c r="X759" t="s">
        <v>47</v>
      </c>
      <c r="Y759">
        <v>2</v>
      </c>
      <c r="Z759" t="s">
        <v>91</v>
      </c>
    </row>
    <row r="760" spans="1:26" x14ac:dyDescent="0.3">
      <c r="A760" t="s">
        <v>1360</v>
      </c>
      <c r="B760" s="2">
        <v>45967</v>
      </c>
      <c r="C760" t="s">
        <v>1361</v>
      </c>
      <c r="D760" t="s">
        <v>89</v>
      </c>
      <c r="E760" t="s">
        <v>43</v>
      </c>
      <c r="F760">
        <v>59</v>
      </c>
      <c r="G760" t="s">
        <v>30</v>
      </c>
      <c r="H760" t="s">
        <v>31</v>
      </c>
      <c r="I760" t="s">
        <v>30</v>
      </c>
      <c r="J760" t="s">
        <v>53</v>
      </c>
      <c r="K760">
        <v>5</v>
      </c>
      <c r="L760">
        <v>37151</v>
      </c>
      <c r="M760">
        <v>5</v>
      </c>
      <c r="N760">
        <v>9287.75</v>
      </c>
      <c r="O760">
        <v>31764.1</v>
      </c>
      <c r="P760">
        <v>164</v>
      </c>
      <c r="Q760">
        <v>208395.36</v>
      </c>
      <c r="R760" t="s">
        <v>33</v>
      </c>
      <c r="S760" t="s">
        <v>34</v>
      </c>
      <c r="T760" t="s">
        <v>76</v>
      </c>
      <c r="U760" t="s">
        <v>77</v>
      </c>
      <c r="V760" t="s">
        <v>57</v>
      </c>
      <c r="W760">
        <v>4</v>
      </c>
      <c r="X760" t="s">
        <v>47</v>
      </c>
      <c r="Y760">
        <v>2</v>
      </c>
      <c r="Z760" t="s">
        <v>91</v>
      </c>
    </row>
    <row r="761" spans="1:26" x14ac:dyDescent="0.3">
      <c r="A761" t="s">
        <v>1362</v>
      </c>
      <c r="B761" s="2">
        <v>45893</v>
      </c>
      <c r="C761" t="s">
        <v>977</v>
      </c>
      <c r="D761" t="s">
        <v>66</v>
      </c>
      <c r="E761" t="s">
        <v>43</v>
      </c>
      <c r="F761">
        <v>37</v>
      </c>
      <c r="G761" t="s">
        <v>74</v>
      </c>
      <c r="H761" t="s">
        <v>31</v>
      </c>
      <c r="I761" t="s">
        <v>74</v>
      </c>
      <c r="J761" t="s">
        <v>75</v>
      </c>
      <c r="K761">
        <v>3</v>
      </c>
      <c r="L761">
        <v>37260</v>
      </c>
      <c r="M761">
        <v>0</v>
      </c>
      <c r="N761">
        <v>0</v>
      </c>
      <c r="O761">
        <v>20120.400000000001</v>
      </c>
      <c r="P761">
        <v>17</v>
      </c>
      <c r="Q761">
        <v>131917.4</v>
      </c>
      <c r="R761" t="s">
        <v>45</v>
      </c>
      <c r="S761" t="s">
        <v>34</v>
      </c>
      <c r="T761" t="s">
        <v>95</v>
      </c>
      <c r="U761" t="s">
        <v>96</v>
      </c>
      <c r="V761" t="s">
        <v>57</v>
      </c>
      <c r="W761">
        <v>2</v>
      </c>
      <c r="X761" t="s">
        <v>38</v>
      </c>
      <c r="Y761">
        <v>3</v>
      </c>
      <c r="Z761" t="s">
        <v>58</v>
      </c>
    </row>
    <row r="762" spans="1:26" x14ac:dyDescent="0.3">
      <c r="A762" t="s">
        <v>1363</v>
      </c>
      <c r="B762" s="2">
        <v>45847</v>
      </c>
      <c r="C762" t="s">
        <v>344</v>
      </c>
      <c r="D762" t="s">
        <v>89</v>
      </c>
      <c r="E762" t="s">
        <v>29</v>
      </c>
      <c r="F762">
        <v>19</v>
      </c>
      <c r="G762" t="s">
        <v>139</v>
      </c>
      <c r="H762" t="s">
        <v>31</v>
      </c>
      <c r="I762" t="s">
        <v>139</v>
      </c>
      <c r="J762" t="s">
        <v>102</v>
      </c>
      <c r="K762">
        <v>1</v>
      </c>
      <c r="L762">
        <v>47891</v>
      </c>
      <c r="M762">
        <v>0</v>
      </c>
      <c r="N762">
        <v>0</v>
      </c>
      <c r="O762">
        <v>8620.3799999999992</v>
      </c>
      <c r="P762">
        <v>382</v>
      </c>
      <c r="Q762">
        <v>56893.38</v>
      </c>
      <c r="R762" t="s">
        <v>45</v>
      </c>
      <c r="S762" t="s">
        <v>63</v>
      </c>
      <c r="T762" t="s">
        <v>35</v>
      </c>
      <c r="U762" t="s">
        <v>36</v>
      </c>
      <c r="V762" t="s">
        <v>37</v>
      </c>
      <c r="W762">
        <v>3</v>
      </c>
      <c r="X762" t="s">
        <v>38</v>
      </c>
      <c r="Y762">
        <v>2</v>
      </c>
      <c r="Z762" t="s">
        <v>91</v>
      </c>
    </row>
    <row r="763" spans="1:26" x14ac:dyDescent="0.3">
      <c r="A763" t="s">
        <v>1364</v>
      </c>
      <c r="B763" s="2">
        <v>46070</v>
      </c>
      <c r="C763" t="s">
        <v>404</v>
      </c>
      <c r="D763" t="s">
        <v>80</v>
      </c>
      <c r="E763" t="s">
        <v>29</v>
      </c>
      <c r="F763">
        <v>55</v>
      </c>
      <c r="G763" t="s">
        <v>74</v>
      </c>
      <c r="H763" t="s">
        <v>31</v>
      </c>
      <c r="I763" t="s">
        <v>74</v>
      </c>
      <c r="J763" t="s">
        <v>53</v>
      </c>
      <c r="K763">
        <v>5</v>
      </c>
      <c r="L763">
        <v>16719</v>
      </c>
      <c r="M763">
        <v>5</v>
      </c>
      <c r="N763">
        <v>4179.75</v>
      </c>
      <c r="O763">
        <v>14294.74</v>
      </c>
      <c r="P763">
        <v>308</v>
      </c>
      <c r="Q763">
        <v>94017.99</v>
      </c>
      <c r="R763" t="s">
        <v>45</v>
      </c>
      <c r="S763" t="s">
        <v>34</v>
      </c>
      <c r="T763" t="s">
        <v>70</v>
      </c>
      <c r="U763" t="s">
        <v>56</v>
      </c>
      <c r="V763" t="s">
        <v>57</v>
      </c>
      <c r="W763">
        <v>10</v>
      </c>
      <c r="X763" t="s">
        <v>38</v>
      </c>
      <c r="Y763">
        <v>2</v>
      </c>
      <c r="Z763" t="s">
        <v>47</v>
      </c>
    </row>
    <row r="764" spans="1:26" x14ac:dyDescent="0.3">
      <c r="A764" t="s">
        <v>1365</v>
      </c>
      <c r="B764" s="2">
        <v>45771</v>
      </c>
      <c r="C764" t="s">
        <v>1366</v>
      </c>
      <c r="D764" t="s">
        <v>89</v>
      </c>
      <c r="E764" t="s">
        <v>43</v>
      </c>
      <c r="F764">
        <v>29</v>
      </c>
      <c r="G764" t="s">
        <v>51</v>
      </c>
      <c r="H764" t="s">
        <v>52</v>
      </c>
      <c r="I764" t="s">
        <v>51</v>
      </c>
      <c r="J764" t="s">
        <v>102</v>
      </c>
      <c r="K764">
        <v>2</v>
      </c>
      <c r="L764">
        <v>35205</v>
      </c>
      <c r="M764">
        <v>0</v>
      </c>
      <c r="N764">
        <v>0</v>
      </c>
      <c r="O764">
        <v>12673.8</v>
      </c>
      <c r="P764">
        <v>27</v>
      </c>
      <c r="Q764">
        <v>83110.8</v>
      </c>
      <c r="R764" t="s">
        <v>54</v>
      </c>
      <c r="S764" t="s">
        <v>34</v>
      </c>
      <c r="T764" t="s">
        <v>35</v>
      </c>
      <c r="U764" t="s">
        <v>36</v>
      </c>
      <c r="V764" t="s">
        <v>37</v>
      </c>
      <c r="W764">
        <v>7</v>
      </c>
      <c r="X764" t="s">
        <v>38</v>
      </c>
      <c r="Y764">
        <v>1</v>
      </c>
      <c r="Z764" t="s">
        <v>47</v>
      </c>
    </row>
    <row r="765" spans="1:26" x14ac:dyDescent="0.3">
      <c r="A765" t="s">
        <v>1367</v>
      </c>
      <c r="B765" s="2">
        <v>45782</v>
      </c>
      <c r="C765" t="s">
        <v>310</v>
      </c>
      <c r="D765" t="s">
        <v>42</v>
      </c>
      <c r="E765" t="s">
        <v>29</v>
      </c>
      <c r="F765">
        <v>56</v>
      </c>
      <c r="G765" t="s">
        <v>44</v>
      </c>
      <c r="H765" t="s">
        <v>31</v>
      </c>
      <c r="I765" t="s">
        <v>44</v>
      </c>
      <c r="J765" t="s">
        <v>150</v>
      </c>
      <c r="K765">
        <v>5</v>
      </c>
      <c r="L765">
        <v>1924</v>
      </c>
      <c r="M765">
        <v>10</v>
      </c>
      <c r="N765">
        <v>962</v>
      </c>
      <c r="O765">
        <v>1558.44</v>
      </c>
      <c r="P765">
        <v>474</v>
      </c>
      <c r="Q765">
        <v>10690.44</v>
      </c>
      <c r="R765" t="s">
        <v>83</v>
      </c>
      <c r="S765" t="s">
        <v>63</v>
      </c>
      <c r="T765" t="s">
        <v>70</v>
      </c>
      <c r="U765" t="s">
        <v>56</v>
      </c>
      <c r="V765" t="s">
        <v>57</v>
      </c>
      <c r="W765">
        <v>1</v>
      </c>
      <c r="X765" t="s">
        <v>47</v>
      </c>
      <c r="Y765">
        <v>3</v>
      </c>
      <c r="Z765" t="s">
        <v>47</v>
      </c>
    </row>
    <row r="766" spans="1:26" x14ac:dyDescent="0.3">
      <c r="A766" t="s">
        <v>1368</v>
      </c>
      <c r="B766" s="2">
        <v>45949</v>
      </c>
      <c r="C766" t="s">
        <v>1369</v>
      </c>
      <c r="D766" t="s">
        <v>50</v>
      </c>
      <c r="E766" t="s">
        <v>29</v>
      </c>
      <c r="F766">
        <v>40</v>
      </c>
      <c r="G766" t="s">
        <v>90</v>
      </c>
      <c r="H766" t="s">
        <v>31</v>
      </c>
      <c r="I766" t="s">
        <v>90</v>
      </c>
      <c r="J766" t="s">
        <v>102</v>
      </c>
      <c r="K766">
        <v>5</v>
      </c>
      <c r="L766">
        <v>1111</v>
      </c>
      <c r="M766">
        <v>10</v>
      </c>
      <c r="N766">
        <v>555.5</v>
      </c>
      <c r="O766">
        <v>899.91</v>
      </c>
      <c r="P766">
        <v>32</v>
      </c>
      <c r="Q766">
        <v>5931.41</v>
      </c>
      <c r="R766" t="s">
        <v>54</v>
      </c>
      <c r="S766" t="s">
        <v>34</v>
      </c>
      <c r="T766" t="s">
        <v>55</v>
      </c>
      <c r="U766" t="s">
        <v>56</v>
      </c>
      <c r="V766" t="s">
        <v>57</v>
      </c>
      <c r="W766">
        <v>2</v>
      </c>
      <c r="X766" t="s">
        <v>38</v>
      </c>
      <c r="Y766">
        <v>4</v>
      </c>
      <c r="Z766" t="s">
        <v>47</v>
      </c>
    </row>
    <row r="767" spans="1:26" x14ac:dyDescent="0.3">
      <c r="A767" t="s">
        <v>1370</v>
      </c>
      <c r="B767" s="2">
        <v>46082</v>
      </c>
      <c r="C767" t="s">
        <v>209</v>
      </c>
      <c r="D767" t="s">
        <v>73</v>
      </c>
      <c r="E767" t="s">
        <v>29</v>
      </c>
      <c r="F767">
        <v>55</v>
      </c>
      <c r="G767" t="s">
        <v>134</v>
      </c>
      <c r="H767" t="s">
        <v>31</v>
      </c>
      <c r="I767" t="s">
        <v>134</v>
      </c>
      <c r="J767" t="s">
        <v>32</v>
      </c>
      <c r="K767">
        <v>3</v>
      </c>
      <c r="L767">
        <v>4451</v>
      </c>
      <c r="M767">
        <v>10</v>
      </c>
      <c r="N767">
        <v>1335.3</v>
      </c>
      <c r="O767">
        <v>2163.19</v>
      </c>
      <c r="P767">
        <v>484</v>
      </c>
      <c r="Q767">
        <v>14664.89</v>
      </c>
      <c r="R767" t="s">
        <v>33</v>
      </c>
      <c r="S767" t="s">
        <v>63</v>
      </c>
      <c r="T767" t="s">
        <v>95</v>
      </c>
      <c r="U767" t="s">
        <v>96</v>
      </c>
      <c r="V767" t="s">
        <v>57</v>
      </c>
      <c r="W767">
        <v>8</v>
      </c>
      <c r="X767" t="s">
        <v>38</v>
      </c>
      <c r="Y767">
        <v>1</v>
      </c>
      <c r="Z767" t="s">
        <v>91</v>
      </c>
    </row>
    <row r="768" spans="1:26" x14ac:dyDescent="0.3">
      <c r="A768" t="s">
        <v>1371</v>
      </c>
      <c r="B768" s="2">
        <v>46072</v>
      </c>
      <c r="C768" t="s">
        <v>568</v>
      </c>
      <c r="D768" t="s">
        <v>80</v>
      </c>
      <c r="E768" t="s">
        <v>29</v>
      </c>
      <c r="F768">
        <v>51</v>
      </c>
      <c r="G768" t="s">
        <v>90</v>
      </c>
      <c r="H768" t="s">
        <v>31</v>
      </c>
      <c r="I768" t="s">
        <v>90</v>
      </c>
      <c r="J768" t="s">
        <v>150</v>
      </c>
      <c r="K768">
        <v>1</v>
      </c>
      <c r="L768">
        <v>44909</v>
      </c>
      <c r="M768">
        <v>20</v>
      </c>
      <c r="N768">
        <v>8981.7999999999993</v>
      </c>
      <c r="O768">
        <v>6466.9</v>
      </c>
      <c r="P768">
        <v>384</v>
      </c>
      <c r="Q768">
        <v>42778.1</v>
      </c>
      <c r="R768" t="s">
        <v>45</v>
      </c>
      <c r="S768" t="s">
        <v>34</v>
      </c>
      <c r="T768" t="s">
        <v>103</v>
      </c>
      <c r="U768" t="s">
        <v>103</v>
      </c>
      <c r="V768" t="s">
        <v>57</v>
      </c>
      <c r="W768">
        <v>9</v>
      </c>
      <c r="X768" t="s">
        <v>47</v>
      </c>
      <c r="Y768">
        <v>1</v>
      </c>
      <c r="Z768" t="s">
        <v>91</v>
      </c>
    </row>
    <row r="769" spans="1:26" x14ac:dyDescent="0.3">
      <c r="A769" t="s">
        <v>1372</v>
      </c>
      <c r="B769" s="2">
        <v>45841</v>
      </c>
      <c r="C769" t="s">
        <v>658</v>
      </c>
      <c r="D769" t="s">
        <v>66</v>
      </c>
      <c r="E769" t="s">
        <v>43</v>
      </c>
      <c r="F769">
        <v>29</v>
      </c>
      <c r="G769" t="s">
        <v>90</v>
      </c>
      <c r="H769" t="s">
        <v>31</v>
      </c>
      <c r="I769" t="s">
        <v>90</v>
      </c>
      <c r="J769" t="s">
        <v>112</v>
      </c>
      <c r="K769">
        <v>4</v>
      </c>
      <c r="L769">
        <v>43820</v>
      </c>
      <c r="M769">
        <v>10</v>
      </c>
      <c r="N769">
        <v>17528</v>
      </c>
      <c r="O769">
        <v>28395.360000000001</v>
      </c>
      <c r="P769">
        <v>157</v>
      </c>
      <c r="Q769">
        <v>186304.36</v>
      </c>
      <c r="R769" t="s">
        <v>45</v>
      </c>
      <c r="S769" t="s">
        <v>63</v>
      </c>
      <c r="T769" t="s">
        <v>84</v>
      </c>
      <c r="U769" t="s">
        <v>85</v>
      </c>
      <c r="V769" t="s">
        <v>86</v>
      </c>
      <c r="W769">
        <v>10</v>
      </c>
      <c r="X769" t="s">
        <v>47</v>
      </c>
      <c r="Y769">
        <v>4</v>
      </c>
      <c r="Z769" t="s">
        <v>91</v>
      </c>
    </row>
    <row r="770" spans="1:26" x14ac:dyDescent="0.3">
      <c r="A770" t="s">
        <v>1373</v>
      </c>
      <c r="B770" s="2">
        <v>45862</v>
      </c>
      <c r="C770" t="s">
        <v>1374</v>
      </c>
      <c r="D770" t="s">
        <v>42</v>
      </c>
      <c r="E770" t="s">
        <v>29</v>
      </c>
      <c r="F770">
        <v>40</v>
      </c>
      <c r="G770" t="s">
        <v>51</v>
      </c>
      <c r="H770" t="s">
        <v>52</v>
      </c>
      <c r="I770" t="s">
        <v>51</v>
      </c>
      <c r="J770" t="s">
        <v>201</v>
      </c>
      <c r="K770">
        <v>3</v>
      </c>
      <c r="L770">
        <v>13810</v>
      </c>
      <c r="M770">
        <v>10</v>
      </c>
      <c r="N770">
        <v>4143</v>
      </c>
      <c r="O770">
        <v>6711.66</v>
      </c>
      <c r="P770">
        <v>258</v>
      </c>
      <c r="Q770">
        <v>44256.66</v>
      </c>
      <c r="R770" t="s">
        <v>54</v>
      </c>
      <c r="S770" t="s">
        <v>34</v>
      </c>
      <c r="T770" t="s">
        <v>95</v>
      </c>
      <c r="U770" t="s">
        <v>96</v>
      </c>
      <c r="V770" t="s">
        <v>57</v>
      </c>
      <c r="W770">
        <v>9</v>
      </c>
      <c r="X770" t="s">
        <v>38</v>
      </c>
      <c r="Y770">
        <v>1</v>
      </c>
      <c r="Z770" t="s">
        <v>39</v>
      </c>
    </row>
    <row r="771" spans="1:26" x14ac:dyDescent="0.3">
      <c r="A771" t="s">
        <v>1375</v>
      </c>
      <c r="B771" s="2">
        <v>46047</v>
      </c>
      <c r="C771" t="s">
        <v>1162</v>
      </c>
      <c r="D771" t="s">
        <v>61</v>
      </c>
      <c r="E771" t="s">
        <v>43</v>
      </c>
      <c r="F771">
        <v>40</v>
      </c>
      <c r="G771" t="s">
        <v>44</v>
      </c>
      <c r="H771" t="s">
        <v>31</v>
      </c>
      <c r="I771" t="s">
        <v>44</v>
      </c>
      <c r="J771" t="s">
        <v>32</v>
      </c>
      <c r="K771">
        <v>2</v>
      </c>
      <c r="L771">
        <v>46551</v>
      </c>
      <c r="M771">
        <v>15</v>
      </c>
      <c r="N771">
        <v>13965.3</v>
      </c>
      <c r="O771">
        <v>14244.61</v>
      </c>
      <c r="P771">
        <v>269</v>
      </c>
      <c r="Q771">
        <v>93650.31</v>
      </c>
      <c r="R771" t="s">
        <v>45</v>
      </c>
      <c r="S771" t="s">
        <v>63</v>
      </c>
      <c r="T771" t="s">
        <v>95</v>
      </c>
      <c r="U771" t="s">
        <v>96</v>
      </c>
      <c r="V771" t="s">
        <v>57</v>
      </c>
      <c r="W771">
        <v>10</v>
      </c>
      <c r="X771" t="s">
        <v>38</v>
      </c>
      <c r="Y771">
        <v>3</v>
      </c>
      <c r="Z771" t="s">
        <v>58</v>
      </c>
    </row>
    <row r="772" spans="1:26" x14ac:dyDescent="0.3">
      <c r="A772" t="s">
        <v>1376</v>
      </c>
      <c r="B772" s="2">
        <v>46024</v>
      </c>
      <c r="C772" t="s">
        <v>365</v>
      </c>
      <c r="D772" t="s">
        <v>89</v>
      </c>
      <c r="E772" t="s">
        <v>29</v>
      </c>
      <c r="F772">
        <v>51</v>
      </c>
      <c r="G772" t="s">
        <v>30</v>
      </c>
      <c r="H772" t="s">
        <v>31</v>
      </c>
      <c r="I772" t="s">
        <v>30</v>
      </c>
      <c r="J772" t="s">
        <v>62</v>
      </c>
      <c r="K772">
        <v>1</v>
      </c>
      <c r="L772">
        <v>39927</v>
      </c>
      <c r="M772">
        <v>20</v>
      </c>
      <c r="N772">
        <v>7985.4</v>
      </c>
      <c r="O772">
        <v>5749.49</v>
      </c>
      <c r="P772">
        <v>5</v>
      </c>
      <c r="Q772">
        <v>37696.089999999997</v>
      </c>
      <c r="R772" t="s">
        <v>45</v>
      </c>
      <c r="S772" t="s">
        <v>34</v>
      </c>
      <c r="T772" t="s">
        <v>76</v>
      </c>
      <c r="U772" t="s">
        <v>77</v>
      </c>
      <c r="V772" t="s">
        <v>57</v>
      </c>
      <c r="W772">
        <v>1</v>
      </c>
      <c r="X772" t="s">
        <v>38</v>
      </c>
      <c r="Y772">
        <v>5</v>
      </c>
      <c r="Z772" t="s">
        <v>91</v>
      </c>
    </row>
    <row r="773" spans="1:26" x14ac:dyDescent="0.3">
      <c r="A773" t="s">
        <v>1377</v>
      </c>
      <c r="B773" s="2">
        <v>45966</v>
      </c>
      <c r="C773" t="s">
        <v>1378</v>
      </c>
      <c r="D773" t="s">
        <v>89</v>
      </c>
      <c r="E773" t="s">
        <v>29</v>
      </c>
      <c r="F773">
        <v>24</v>
      </c>
      <c r="G773" t="s">
        <v>99</v>
      </c>
      <c r="H773" t="s">
        <v>52</v>
      </c>
      <c r="I773" t="s">
        <v>99</v>
      </c>
      <c r="J773" t="s">
        <v>53</v>
      </c>
      <c r="K773">
        <v>4</v>
      </c>
      <c r="L773">
        <v>26531</v>
      </c>
      <c r="M773">
        <v>15</v>
      </c>
      <c r="N773">
        <v>15918.6</v>
      </c>
      <c r="O773">
        <v>16236.97</v>
      </c>
      <c r="P773">
        <v>424</v>
      </c>
      <c r="Q773">
        <v>106866.37</v>
      </c>
      <c r="R773" t="s">
        <v>83</v>
      </c>
      <c r="S773" t="s">
        <v>34</v>
      </c>
      <c r="T773" t="s">
        <v>55</v>
      </c>
      <c r="U773" t="s">
        <v>56</v>
      </c>
      <c r="V773" t="s">
        <v>57</v>
      </c>
      <c r="W773">
        <v>4</v>
      </c>
      <c r="X773" t="s">
        <v>38</v>
      </c>
      <c r="Y773">
        <v>4</v>
      </c>
      <c r="Z773" t="s">
        <v>91</v>
      </c>
    </row>
    <row r="774" spans="1:26" x14ac:dyDescent="0.3">
      <c r="A774" t="s">
        <v>1379</v>
      </c>
      <c r="B774" s="2">
        <v>45874</v>
      </c>
      <c r="C774" t="s">
        <v>523</v>
      </c>
      <c r="D774" t="s">
        <v>42</v>
      </c>
      <c r="E774" t="s">
        <v>29</v>
      </c>
      <c r="F774">
        <v>50</v>
      </c>
      <c r="G774" t="s">
        <v>67</v>
      </c>
      <c r="H774" t="s">
        <v>68</v>
      </c>
      <c r="I774" t="s">
        <v>67</v>
      </c>
      <c r="J774" t="s">
        <v>53</v>
      </c>
      <c r="K774">
        <v>3</v>
      </c>
      <c r="L774">
        <v>17924</v>
      </c>
      <c r="M774">
        <v>5</v>
      </c>
      <c r="N774">
        <v>2688.6</v>
      </c>
      <c r="O774">
        <v>9195.01</v>
      </c>
      <c r="P774">
        <v>37</v>
      </c>
      <c r="Q774">
        <v>60315.41</v>
      </c>
      <c r="R774" t="s">
        <v>45</v>
      </c>
      <c r="S774" t="s">
        <v>63</v>
      </c>
      <c r="T774" t="s">
        <v>46</v>
      </c>
      <c r="U774" t="s">
        <v>36</v>
      </c>
      <c r="V774" t="s">
        <v>37</v>
      </c>
      <c r="W774">
        <v>8</v>
      </c>
      <c r="X774" t="s">
        <v>47</v>
      </c>
      <c r="Y774">
        <v>1</v>
      </c>
      <c r="Z774" t="s">
        <v>58</v>
      </c>
    </row>
    <row r="775" spans="1:26" x14ac:dyDescent="0.3">
      <c r="A775" t="s">
        <v>1380</v>
      </c>
      <c r="B775" s="2">
        <v>45921</v>
      </c>
      <c r="C775" t="s">
        <v>631</v>
      </c>
      <c r="D775" t="s">
        <v>28</v>
      </c>
      <c r="E775" t="s">
        <v>29</v>
      </c>
      <c r="F775">
        <v>26</v>
      </c>
      <c r="G775" t="s">
        <v>134</v>
      </c>
      <c r="H775" t="s">
        <v>31</v>
      </c>
      <c r="I775" t="s">
        <v>134</v>
      </c>
      <c r="J775" t="s">
        <v>62</v>
      </c>
      <c r="K775">
        <v>5</v>
      </c>
      <c r="L775">
        <v>14793</v>
      </c>
      <c r="M775">
        <v>0</v>
      </c>
      <c r="N775">
        <v>0</v>
      </c>
      <c r="O775">
        <v>13313.7</v>
      </c>
      <c r="P775">
        <v>61</v>
      </c>
      <c r="Q775">
        <v>87339.7</v>
      </c>
      <c r="R775" t="s">
        <v>83</v>
      </c>
      <c r="S775" t="s">
        <v>63</v>
      </c>
      <c r="T775" t="s">
        <v>55</v>
      </c>
      <c r="U775" t="s">
        <v>56</v>
      </c>
      <c r="V775" t="s">
        <v>57</v>
      </c>
      <c r="W775">
        <v>4</v>
      </c>
      <c r="X775" t="s">
        <v>38</v>
      </c>
      <c r="Y775">
        <v>5</v>
      </c>
      <c r="Z775" t="s">
        <v>39</v>
      </c>
    </row>
    <row r="776" spans="1:26" x14ac:dyDescent="0.3">
      <c r="A776" t="s">
        <v>1381</v>
      </c>
      <c r="B776" s="2">
        <v>45866</v>
      </c>
      <c r="C776" t="s">
        <v>722</v>
      </c>
      <c r="D776" t="s">
        <v>111</v>
      </c>
      <c r="E776" t="s">
        <v>43</v>
      </c>
      <c r="F776">
        <v>26</v>
      </c>
      <c r="G776" t="s">
        <v>44</v>
      </c>
      <c r="H776" t="s">
        <v>31</v>
      </c>
      <c r="I776" t="s">
        <v>44</v>
      </c>
      <c r="J776" t="s">
        <v>62</v>
      </c>
      <c r="K776">
        <v>5</v>
      </c>
      <c r="L776">
        <v>47888</v>
      </c>
      <c r="M776">
        <v>10</v>
      </c>
      <c r="N776">
        <v>23944</v>
      </c>
      <c r="O776">
        <v>38789.279999999999</v>
      </c>
      <c r="P776">
        <v>381</v>
      </c>
      <c r="Q776">
        <v>254666.28</v>
      </c>
      <c r="R776" t="s">
        <v>54</v>
      </c>
      <c r="S776" t="s">
        <v>63</v>
      </c>
      <c r="T776" t="s">
        <v>46</v>
      </c>
      <c r="U776" t="s">
        <v>36</v>
      </c>
      <c r="V776" t="s">
        <v>37</v>
      </c>
      <c r="W776">
        <v>1</v>
      </c>
      <c r="X776" t="s">
        <v>38</v>
      </c>
      <c r="Y776">
        <v>3</v>
      </c>
      <c r="Z776" t="s">
        <v>58</v>
      </c>
    </row>
    <row r="777" spans="1:26" x14ac:dyDescent="0.3">
      <c r="A777" t="s">
        <v>1382</v>
      </c>
      <c r="B777" s="2">
        <v>45774</v>
      </c>
      <c r="C777" t="s">
        <v>149</v>
      </c>
      <c r="D777" t="s">
        <v>28</v>
      </c>
      <c r="E777" t="s">
        <v>43</v>
      </c>
      <c r="F777">
        <v>42</v>
      </c>
      <c r="G777" t="s">
        <v>139</v>
      </c>
      <c r="H777" t="s">
        <v>31</v>
      </c>
      <c r="I777" t="s">
        <v>139</v>
      </c>
      <c r="J777" t="s">
        <v>102</v>
      </c>
      <c r="K777">
        <v>4</v>
      </c>
      <c r="L777">
        <v>9646</v>
      </c>
      <c r="M777">
        <v>5</v>
      </c>
      <c r="N777">
        <v>1929.2</v>
      </c>
      <c r="O777">
        <v>6597.86</v>
      </c>
      <c r="P777">
        <v>331</v>
      </c>
      <c r="Q777">
        <v>43583.66</v>
      </c>
      <c r="R777" t="s">
        <v>54</v>
      </c>
      <c r="S777" t="s">
        <v>63</v>
      </c>
      <c r="T777" t="s">
        <v>95</v>
      </c>
      <c r="U777" t="s">
        <v>96</v>
      </c>
      <c r="V777" t="s">
        <v>57</v>
      </c>
      <c r="W777">
        <v>8</v>
      </c>
      <c r="X777" t="s">
        <v>47</v>
      </c>
      <c r="Y777">
        <v>5</v>
      </c>
      <c r="Z777" t="s">
        <v>47</v>
      </c>
    </row>
    <row r="778" spans="1:26" x14ac:dyDescent="0.3">
      <c r="A778" t="s">
        <v>1383</v>
      </c>
      <c r="B778" s="2">
        <v>45805</v>
      </c>
      <c r="C778" t="s">
        <v>451</v>
      </c>
      <c r="D778" t="s">
        <v>61</v>
      </c>
      <c r="E778" t="s">
        <v>29</v>
      </c>
      <c r="F778">
        <v>38</v>
      </c>
      <c r="G778" t="s">
        <v>74</v>
      </c>
      <c r="H778" t="s">
        <v>31</v>
      </c>
      <c r="I778" t="s">
        <v>74</v>
      </c>
      <c r="J778" t="s">
        <v>102</v>
      </c>
      <c r="K778">
        <v>4</v>
      </c>
      <c r="L778">
        <v>4941</v>
      </c>
      <c r="M778">
        <v>20</v>
      </c>
      <c r="N778">
        <v>3952.8</v>
      </c>
      <c r="O778">
        <v>2846.02</v>
      </c>
      <c r="P778">
        <v>305</v>
      </c>
      <c r="Q778">
        <v>18962.22</v>
      </c>
      <c r="R778" t="s">
        <v>33</v>
      </c>
      <c r="S778" t="s">
        <v>63</v>
      </c>
      <c r="T778" t="s">
        <v>35</v>
      </c>
      <c r="U778" t="s">
        <v>36</v>
      </c>
      <c r="V778" t="s">
        <v>37</v>
      </c>
      <c r="W778">
        <v>9</v>
      </c>
      <c r="X778" t="s">
        <v>38</v>
      </c>
      <c r="Y778">
        <v>1</v>
      </c>
      <c r="Z778" t="s">
        <v>39</v>
      </c>
    </row>
    <row r="779" spans="1:26" x14ac:dyDescent="0.3">
      <c r="A779" t="s">
        <v>1384</v>
      </c>
      <c r="B779" s="2">
        <v>45849</v>
      </c>
      <c r="C779" t="s">
        <v>1237</v>
      </c>
      <c r="D779" t="s">
        <v>28</v>
      </c>
      <c r="E779" t="s">
        <v>29</v>
      </c>
      <c r="F779">
        <v>52</v>
      </c>
      <c r="G779" t="s">
        <v>99</v>
      </c>
      <c r="H779" t="s">
        <v>52</v>
      </c>
      <c r="I779" t="s">
        <v>99</v>
      </c>
      <c r="J779" t="s">
        <v>62</v>
      </c>
      <c r="K779">
        <v>3</v>
      </c>
      <c r="L779">
        <v>39057</v>
      </c>
      <c r="M779">
        <v>10</v>
      </c>
      <c r="N779">
        <v>11717.1</v>
      </c>
      <c r="O779">
        <v>18981.7</v>
      </c>
      <c r="P779">
        <v>493</v>
      </c>
      <c r="Q779">
        <v>124928.6</v>
      </c>
      <c r="R779" t="s">
        <v>54</v>
      </c>
      <c r="S779" t="s">
        <v>63</v>
      </c>
      <c r="T779" t="s">
        <v>84</v>
      </c>
      <c r="U779" t="s">
        <v>85</v>
      </c>
      <c r="V779" t="s">
        <v>86</v>
      </c>
      <c r="W779">
        <v>1</v>
      </c>
      <c r="X779" t="s">
        <v>38</v>
      </c>
      <c r="Y779">
        <v>3</v>
      </c>
      <c r="Z779" t="s">
        <v>58</v>
      </c>
    </row>
    <row r="780" spans="1:26" x14ac:dyDescent="0.3">
      <c r="A780" t="s">
        <v>1385</v>
      </c>
      <c r="B780" s="2">
        <v>45840</v>
      </c>
      <c r="C780" t="s">
        <v>814</v>
      </c>
      <c r="D780" t="s">
        <v>28</v>
      </c>
      <c r="E780" t="s">
        <v>29</v>
      </c>
      <c r="F780">
        <v>49</v>
      </c>
      <c r="G780" t="s">
        <v>30</v>
      </c>
      <c r="H780" t="s">
        <v>31</v>
      </c>
      <c r="I780" t="s">
        <v>30</v>
      </c>
      <c r="J780" t="s">
        <v>125</v>
      </c>
      <c r="K780">
        <v>3</v>
      </c>
      <c r="L780">
        <v>1818</v>
      </c>
      <c r="M780">
        <v>10</v>
      </c>
      <c r="N780">
        <v>545.4</v>
      </c>
      <c r="O780">
        <v>883.55</v>
      </c>
      <c r="P780">
        <v>304</v>
      </c>
      <c r="Q780">
        <v>6096.15</v>
      </c>
      <c r="R780" t="s">
        <v>54</v>
      </c>
      <c r="S780" t="s">
        <v>63</v>
      </c>
      <c r="T780" t="s">
        <v>70</v>
      </c>
      <c r="U780" t="s">
        <v>56</v>
      </c>
      <c r="V780" t="s">
        <v>57</v>
      </c>
      <c r="W780">
        <v>2</v>
      </c>
      <c r="X780" t="s">
        <v>38</v>
      </c>
      <c r="Y780">
        <v>4</v>
      </c>
      <c r="Z780" t="s">
        <v>91</v>
      </c>
    </row>
    <row r="781" spans="1:26" x14ac:dyDescent="0.3">
      <c r="A781" t="s">
        <v>1386</v>
      </c>
      <c r="B781" s="2">
        <v>46108</v>
      </c>
      <c r="C781" t="s">
        <v>1387</v>
      </c>
      <c r="D781" t="s">
        <v>66</v>
      </c>
      <c r="E781" t="s">
        <v>43</v>
      </c>
      <c r="F781">
        <v>18</v>
      </c>
      <c r="G781" t="s">
        <v>90</v>
      </c>
      <c r="H781" t="s">
        <v>31</v>
      </c>
      <c r="I781" t="s">
        <v>90</v>
      </c>
      <c r="J781" t="s">
        <v>102</v>
      </c>
      <c r="K781">
        <v>2</v>
      </c>
      <c r="L781">
        <v>18717</v>
      </c>
      <c r="M781">
        <v>10</v>
      </c>
      <c r="N781">
        <v>3743.4</v>
      </c>
      <c r="O781">
        <v>6064.31</v>
      </c>
      <c r="P781">
        <v>4</v>
      </c>
      <c r="Q781">
        <v>39758.910000000003</v>
      </c>
      <c r="R781" t="s">
        <v>83</v>
      </c>
      <c r="S781" t="s">
        <v>34</v>
      </c>
      <c r="T781" t="s">
        <v>46</v>
      </c>
      <c r="U781" t="s">
        <v>36</v>
      </c>
      <c r="V781" t="s">
        <v>37</v>
      </c>
      <c r="W781">
        <v>3</v>
      </c>
      <c r="X781" t="s">
        <v>47</v>
      </c>
      <c r="Y781">
        <v>1</v>
      </c>
      <c r="Z781" t="s">
        <v>91</v>
      </c>
    </row>
    <row r="782" spans="1:26" x14ac:dyDescent="0.3">
      <c r="A782" t="s">
        <v>1388</v>
      </c>
      <c r="B782" s="2">
        <v>46054</v>
      </c>
      <c r="C782" t="s">
        <v>101</v>
      </c>
      <c r="D782" t="s">
        <v>89</v>
      </c>
      <c r="E782" t="s">
        <v>43</v>
      </c>
      <c r="F782">
        <v>21</v>
      </c>
      <c r="G782" t="s">
        <v>51</v>
      </c>
      <c r="H782" t="s">
        <v>52</v>
      </c>
      <c r="I782" t="s">
        <v>51</v>
      </c>
      <c r="J782" t="s">
        <v>69</v>
      </c>
      <c r="K782">
        <v>4</v>
      </c>
      <c r="L782">
        <v>14573</v>
      </c>
      <c r="M782">
        <v>0</v>
      </c>
      <c r="N782">
        <v>0</v>
      </c>
      <c r="O782">
        <v>10492.56</v>
      </c>
      <c r="P782">
        <v>385</v>
      </c>
      <c r="Q782">
        <v>69169.56</v>
      </c>
      <c r="R782" t="s">
        <v>54</v>
      </c>
      <c r="S782" t="s">
        <v>63</v>
      </c>
      <c r="T782" t="s">
        <v>95</v>
      </c>
      <c r="U782" t="s">
        <v>96</v>
      </c>
      <c r="V782" t="s">
        <v>57</v>
      </c>
      <c r="W782">
        <v>10</v>
      </c>
      <c r="X782" t="s">
        <v>38</v>
      </c>
      <c r="Y782">
        <v>3</v>
      </c>
      <c r="Z782" t="s">
        <v>91</v>
      </c>
    </row>
    <row r="783" spans="1:26" x14ac:dyDescent="0.3">
      <c r="A783" t="s">
        <v>1389</v>
      </c>
      <c r="B783" s="2">
        <v>45956</v>
      </c>
      <c r="C783" t="s">
        <v>1390</v>
      </c>
      <c r="D783" t="s">
        <v>50</v>
      </c>
      <c r="E783" t="s">
        <v>43</v>
      </c>
      <c r="F783">
        <v>54</v>
      </c>
      <c r="G783" t="s">
        <v>134</v>
      </c>
      <c r="H783" t="s">
        <v>31</v>
      </c>
      <c r="I783" t="s">
        <v>134</v>
      </c>
      <c r="J783" t="s">
        <v>102</v>
      </c>
      <c r="K783">
        <v>4</v>
      </c>
      <c r="L783">
        <v>11813</v>
      </c>
      <c r="M783">
        <v>10</v>
      </c>
      <c r="N783">
        <v>4725.2</v>
      </c>
      <c r="O783">
        <v>7654.82</v>
      </c>
      <c r="P783">
        <v>205</v>
      </c>
      <c r="Q783">
        <v>50386.62</v>
      </c>
      <c r="R783" t="s">
        <v>83</v>
      </c>
      <c r="S783" t="s">
        <v>63</v>
      </c>
      <c r="T783" t="s">
        <v>76</v>
      </c>
      <c r="U783" t="s">
        <v>77</v>
      </c>
      <c r="V783" t="s">
        <v>57</v>
      </c>
      <c r="W783">
        <v>9</v>
      </c>
      <c r="X783" t="s">
        <v>38</v>
      </c>
      <c r="Y783">
        <v>2</v>
      </c>
      <c r="Z783" t="s">
        <v>47</v>
      </c>
    </row>
    <row r="784" spans="1:26" x14ac:dyDescent="0.3">
      <c r="A784" t="s">
        <v>1391</v>
      </c>
      <c r="B784" s="2">
        <v>45854</v>
      </c>
      <c r="C784" t="s">
        <v>1392</v>
      </c>
      <c r="D784" t="s">
        <v>108</v>
      </c>
      <c r="E784" t="s">
        <v>43</v>
      </c>
      <c r="F784">
        <v>32</v>
      </c>
      <c r="G784" t="s">
        <v>30</v>
      </c>
      <c r="H784" t="s">
        <v>31</v>
      </c>
      <c r="I784" t="s">
        <v>30</v>
      </c>
      <c r="J784" t="s">
        <v>62</v>
      </c>
      <c r="K784">
        <v>1</v>
      </c>
      <c r="L784">
        <v>8738</v>
      </c>
      <c r="M784">
        <v>5</v>
      </c>
      <c r="N784">
        <v>436.9</v>
      </c>
      <c r="O784">
        <v>1494.2</v>
      </c>
      <c r="P784">
        <v>184</v>
      </c>
      <c r="Q784">
        <v>9979.2999999999993</v>
      </c>
      <c r="R784" t="s">
        <v>83</v>
      </c>
      <c r="S784" t="s">
        <v>63</v>
      </c>
      <c r="T784" t="s">
        <v>103</v>
      </c>
      <c r="U784" t="s">
        <v>103</v>
      </c>
      <c r="V784" t="s">
        <v>57</v>
      </c>
      <c r="W784">
        <v>7</v>
      </c>
      <c r="X784" t="s">
        <v>38</v>
      </c>
      <c r="Y784">
        <v>4</v>
      </c>
      <c r="Z784" t="s">
        <v>91</v>
      </c>
    </row>
    <row r="785" spans="1:26" x14ac:dyDescent="0.3">
      <c r="A785" t="s">
        <v>1393</v>
      </c>
      <c r="B785" s="2">
        <v>45963</v>
      </c>
      <c r="C785" t="s">
        <v>323</v>
      </c>
      <c r="D785" t="s">
        <v>111</v>
      </c>
      <c r="E785" t="s">
        <v>43</v>
      </c>
      <c r="F785">
        <v>29</v>
      </c>
      <c r="G785" t="s">
        <v>30</v>
      </c>
      <c r="H785" t="s">
        <v>31</v>
      </c>
      <c r="I785" t="s">
        <v>30</v>
      </c>
      <c r="J785" t="s">
        <v>32</v>
      </c>
      <c r="K785">
        <v>4</v>
      </c>
      <c r="L785">
        <v>1489</v>
      </c>
      <c r="M785">
        <v>20</v>
      </c>
      <c r="N785">
        <v>1191.2</v>
      </c>
      <c r="O785">
        <v>857.66</v>
      </c>
      <c r="P785">
        <v>442</v>
      </c>
      <c r="Q785">
        <v>6064.46</v>
      </c>
      <c r="R785" t="s">
        <v>45</v>
      </c>
      <c r="S785" t="s">
        <v>63</v>
      </c>
      <c r="T785" t="s">
        <v>76</v>
      </c>
      <c r="U785" t="s">
        <v>77</v>
      </c>
      <c r="V785" t="s">
        <v>57</v>
      </c>
      <c r="W785">
        <v>5</v>
      </c>
      <c r="X785" t="s">
        <v>47</v>
      </c>
      <c r="Y785">
        <v>5</v>
      </c>
      <c r="Z785" t="s">
        <v>39</v>
      </c>
    </row>
    <row r="786" spans="1:26" x14ac:dyDescent="0.3">
      <c r="A786" t="s">
        <v>1394</v>
      </c>
      <c r="B786" s="2">
        <v>46083</v>
      </c>
      <c r="C786" t="s">
        <v>1063</v>
      </c>
      <c r="D786" t="s">
        <v>89</v>
      </c>
      <c r="E786" t="s">
        <v>43</v>
      </c>
      <c r="F786">
        <v>29</v>
      </c>
      <c r="G786" t="s">
        <v>99</v>
      </c>
      <c r="H786" t="s">
        <v>52</v>
      </c>
      <c r="I786" t="s">
        <v>99</v>
      </c>
      <c r="J786" t="s">
        <v>62</v>
      </c>
      <c r="K786">
        <v>1</v>
      </c>
      <c r="L786">
        <v>9101</v>
      </c>
      <c r="M786">
        <v>5</v>
      </c>
      <c r="N786">
        <v>455.05</v>
      </c>
      <c r="O786">
        <v>1556.27</v>
      </c>
      <c r="P786">
        <v>408</v>
      </c>
      <c r="Q786">
        <v>10610.22</v>
      </c>
      <c r="R786" t="s">
        <v>83</v>
      </c>
      <c r="S786" t="s">
        <v>63</v>
      </c>
      <c r="T786" t="s">
        <v>84</v>
      </c>
      <c r="U786" t="s">
        <v>85</v>
      </c>
      <c r="V786" t="s">
        <v>86</v>
      </c>
      <c r="W786">
        <v>2</v>
      </c>
      <c r="X786" t="s">
        <v>47</v>
      </c>
      <c r="Y786">
        <v>3</v>
      </c>
      <c r="Z786" t="s">
        <v>91</v>
      </c>
    </row>
    <row r="787" spans="1:26" x14ac:dyDescent="0.3">
      <c r="A787" t="s">
        <v>1395</v>
      </c>
      <c r="B787" s="2">
        <v>46105</v>
      </c>
      <c r="C787" t="s">
        <v>521</v>
      </c>
      <c r="D787" t="s">
        <v>42</v>
      </c>
      <c r="E787" t="s">
        <v>43</v>
      </c>
      <c r="F787">
        <v>58</v>
      </c>
      <c r="G787" t="s">
        <v>51</v>
      </c>
      <c r="H787" t="s">
        <v>52</v>
      </c>
      <c r="I787" t="s">
        <v>51</v>
      </c>
      <c r="J787" t="s">
        <v>112</v>
      </c>
      <c r="K787">
        <v>3</v>
      </c>
      <c r="L787">
        <v>28364</v>
      </c>
      <c r="M787">
        <v>20</v>
      </c>
      <c r="N787">
        <v>17018.400000000001</v>
      </c>
      <c r="O787">
        <v>12253.25</v>
      </c>
      <c r="P787">
        <v>411</v>
      </c>
      <c r="Q787">
        <v>80737.850000000006</v>
      </c>
      <c r="R787" t="s">
        <v>83</v>
      </c>
      <c r="S787" t="s">
        <v>34</v>
      </c>
      <c r="T787" t="s">
        <v>76</v>
      </c>
      <c r="U787" t="s">
        <v>77</v>
      </c>
      <c r="V787" t="s">
        <v>57</v>
      </c>
      <c r="W787">
        <v>7</v>
      </c>
      <c r="X787" t="s">
        <v>47</v>
      </c>
      <c r="Y787">
        <v>4</v>
      </c>
      <c r="Z787" t="s">
        <v>47</v>
      </c>
    </row>
    <row r="788" spans="1:26" x14ac:dyDescent="0.3">
      <c r="A788" t="s">
        <v>1396</v>
      </c>
      <c r="B788" s="2">
        <v>46029</v>
      </c>
      <c r="C788" t="s">
        <v>1397</v>
      </c>
      <c r="D788" t="s">
        <v>42</v>
      </c>
      <c r="E788" t="s">
        <v>43</v>
      </c>
      <c r="F788">
        <v>25</v>
      </c>
      <c r="G788" t="s">
        <v>74</v>
      </c>
      <c r="H788" t="s">
        <v>31</v>
      </c>
      <c r="I788" t="s">
        <v>74</v>
      </c>
      <c r="J788" t="s">
        <v>62</v>
      </c>
      <c r="K788">
        <v>3</v>
      </c>
      <c r="L788">
        <v>26567</v>
      </c>
      <c r="M788">
        <v>20</v>
      </c>
      <c r="N788">
        <v>15940.2</v>
      </c>
      <c r="O788">
        <v>11476.94</v>
      </c>
      <c r="P788">
        <v>289</v>
      </c>
      <c r="Q788">
        <v>75526.740000000005</v>
      </c>
      <c r="R788" t="s">
        <v>54</v>
      </c>
      <c r="S788" t="s">
        <v>63</v>
      </c>
      <c r="T788" t="s">
        <v>103</v>
      </c>
      <c r="U788" t="s">
        <v>103</v>
      </c>
      <c r="V788" t="s">
        <v>57</v>
      </c>
      <c r="W788">
        <v>8</v>
      </c>
      <c r="X788" t="s">
        <v>47</v>
      </c>
      <c r="Y788">
        <v>2</v>
      </c>
      <c r="Z788" t="s">
        <v>47</v>
      </c>
    </row>
    <row r="789" spans="1:26" x14ac:dyDescent="0.3">
      <c r="A789" t="s">
        <v>1398</v>
      </c>
      <c r="B789" s="2">
        <v>46026</v>
      </c>
      <c r="C789" t="s">
        <v>1399</v>
      </c>
      <c r="D789" t="s">
        <v>50</v>
      </c>
      <c r="E789" t="s">
        <v>43</v>
      </c>
      <c r="F789">
        <v>40</v>
      </c>
      <c r="G789" t="s">
        <v>74</v>
      </c>
      <c r="H789" t="s">
        <v>31</v>
      </c>
      <c r="I789" t="s">
        <v>74</v>
      </c>
      <c r="J789" t="s">
        <v>32</v>
      </c>
      <c r="K789">
        <v>4</v>
      </c>
      <c r="L789">
        <v>36398</v>
      </c>
      <c r="M789">
        <v>20</v>
      </c>
      <c r="N789">
        <v>29118.400000000001</v>
      </c>
      <c r="O789">
        <v>20965.25</v>
      </c>
      <c r="P789">
        <v>62</v>
      </c>
      <c r="Q789">
        <v>137500.85</v>
      </c>
      <c r="R789" t="s">
        <v>33</v>
      </c>
      <c r="S789" t="s">
        <v>63</v>
      </c>
      <c r="T789" t="s">
        <v>103</v>
      </c>
      <c r="U789" t="s">
        <v>103</v>
      </c>
      <c r="V789" t="s">
        <v>57</v>
      </c>
      <c r="W789">
        <v>8</v>
      </c>
      <c r="X789" t="s">
        <v>38</v>
      </c>
      <c r="Y789">
        <v>2</v>
      </c>
      <c r="Z789" t="s">
        <v>47</v>
      </c>
    </row>
    <row r="790" spans="1:26" x14ac:dyDescent="0.3">
      <c r="A790" t="s">
        <v>1400</v>
      </c>
      <c r="B790" s="2">
        <v>45858</v>
      </c>
      <c r="C790" t="s">
        <v>1401</v>
      </c>
      <c r="D790" t="s">
        <v>42</v>
      </c>
      <c r="E790" t="s">
        <v>29</v>
      </c>
      <c r="F790">
        <v>26</v>
      </c>
      <c r="G790" t="s">
        <v>139</v>
      </c>
      <c r="H790" t="s">
        <v>31</v>
      </c>
      <c r="I790" t="s">
        <v>139</v>
      </c>
      <c r="J790" t="s">
        <v>125</v>
      </c>
      <c r="K790">
        <v>3</v>
      </c>
      <c r="L790">
        <v>5708</v>
      </c>
      <c r="M790">
        <v>10</v>
      </c>
      <c r="N790">
        <v>1712.4</v>
      </c>
      <c r="O790">
        <v>2774.09</v>
      </c>
      <c r="P790">
        <v>270</v>
      </c>
      <c r="Q790">
        <v>18455.689999999999</v>
      </c>
      <c r="R790" t="s">
        <v>83</v>
      </c>
      <c r="S790" t="s">
        <v>34</v>
      </c>
      <c r="T790" t="s">
        <v>55</v>
      </c>
      <c r="U790" t="s">
        <v>56</v>
      </c>
      <c r="V790" t="s">
        <v>57</v>
      </c>
      <c r="W790">
        <v>2</v>
      </c>
      <c r="X790" t="s">
        <v>47</v>
      </c>
      <c r="Y790">
        <v>1</v>
      </c>
      <c r="Z790" t="s">
        <v>91</v>
      </c>
    </row>
    <row r="791" spans="1:26" x14ac:dyDescent="0.3">
      <c r="A791" t="s">
        <v>1402</v>
      </c>
      <c r="B791" s="2">
        <v>45757</v>
      </c>
      <c r="C791" t="s">
        <v>162</v>
      </c>
      <c r="D791" t="s">
        <v>50</v>
      </c>
      <c r="E791" t="s">
        <v>43</v>
      </c>
      <c r="F791">
        <v>34</v>
      </c>
      <c r="G791" t="s">
        <v>44</v>
      </c>
      <c r="H791" t="s">
        <v>31</v>
      </c>
      <c r="I791" t="s">
        <v>44</v>
      </c>
      <c r="J791" t="s">
        <v>112</v>
      </c>
      <c r="K791">
        <v>5</v>
      </c>
      <c r="L791">
        <v>41929</v>
      </c>
      <c r="M791">
        <v>10</v>
      </c>
      <c r="N791">
        <v>20964.5</v>
      </c>
      <c r="O791">
        <v>33962.49</v>
      </c>
      <c r="P791">
        <v>167</v>
      </c>
      <c r="Q791">
        <v>222809.99</v>
      </c>
      <c r="R791" t="s">
        <v>45</v>
      </c>
      <c r="S791" t="s">
        <v>63</v>
      </c>
      <c r="T791" t="s">
        <v>95</v>
      </c>
      <c r="U791" t="s">
        <v>96</v>
      </c>
      <c r="V791" t="s">
        <v>57</v>
      </c>
      <c r="W791">
        <v>7</v>
      </c>
      <c r="X791" t="s">
        <v>38</v>
      </c>
      <c r="Y791">
        <v>3</v>
      </c>
      <c r="Z791" t="s">
        <v>58</v>
      </c>
    </row>
    <row r="792" spans="1:26" x14ac:dyDescent="0.3">
      <c r="A792" t="s">
        <v>1403</v>
      </c>
      <c r="B792" s="2">
        <v>46081</v>
      </c>
      <c r="C792" t="s">
        <v>1404</v>
      </c>
      <c r="D792" t="s">
        <v>111</v>
      </c>
      <c r="E792" t="s">
        <v>43</v>
      </c>
      <c r="F792">
        <v>43</v>
      </c>
      <c r="G792" t="s">
        <v>139</v>
      </c>
      <c r="H792" t="s">
        <v>31</v>
      </c>
      <c r="I792" t="s">
        <v>139</v>
      </c>
      <c r="J792" t="s">
        <v>62</v>
      </c>
      <c r="K792">
        <v>4</v>
      </c>
      <c r="L792">
        <v>28575</v>
      </c>
      <c r="M792">
        <v>15</v>
      </c>
      <c r="N792">
        <v>17145</v>
      </c>
      <c r="O792">
        <v>17487.900000000001</v>
      </c>
      <c r="P792">
        <v>226</v>
      </c>
      <c r="Q792">
        <v>114868.9</v>
      </c>
      <c r="R792" t="s">
        <v>45</v>
      </c>
      <c r="S792" t="s">
        <v>63</v>
      </c>
      <c r="T792" t="s">
        <v>76</v>
      </c>
      <c r="U792" t="s">
        <v>77</v>
      </c>
      <c r="V792" t="s">
        <v>57</v>
      </c>
      <c r="W792">
        <v>1</v>
      </c>
      <c r="X792" t="s">
        <v>38</v>
      </c>
      <c r="Y792">
        <v>5</v>
      </c>
      <c r="Z792" t="s">
        <v>39</v>
      </c>
    </row>
    <row r="793" spans="1:26" x14ac:dyDescent="0.3">
      <c r="A793" t="s">
        <v>1405</v>
      </c>
      <c r="B793" s="2">
        <v>46052</v>
      </c>
      <c r="C793" t="s">
        <v>1336</v>
      </c>
      <c r="D793" t="s">
        <v>66</v>
      </c>
      <c r="E793" t="s">
        <v>43</v>
      </c>
      <c r="F793">
        <v>55</v>
      </c>
      <c r="G793" t="s">
        <v>44</v>
      </c>
      <c r="H793" t="s">
        <v>31</v>
      </c>
      <c r="I793" t="s">
        <v>44</v>
      </c>
      <c r="J793" t="s">
        <v>75</v>
      </c>
      <c r="K793">
        <v>3</v>
      </c>
      <c r="L793">
        <v>13660</v>
      </c>
      <c r="M793">
        <v>20</v>
      </c>
      <c r="N793">
        <v>8196</v>
      </c>
      <c r="O793">
        <v>5901.12</v>
      </c>
      <c r="P793">
        <v>12</v>
      </c>
      <c r="Q793">
        <v>38697.120000000003</v>
      </c>
      <c r="R793" t="s">
        <v>54</v>
      </c>
      <c r="S793" t="s">
        <v>63</v>
      </c>
      <c r="T793" t="s">
        <v>84</v>
      </c>
      <c r="U793" t="s">
        <v>85</v>
      </c>
      <c r="V793" t="s">
        <v>86</v>
      </c>
      <c r="W793">
        <v>6</v>
      </c>
      <c r="X793" t="s">
        <v>47</v>
      </c>
      <c r="Y793">
        <v>1</v>
      </c>
      <c r="Z793" t="s">
        <v>47</v>
      </c>
    </row>
    <row r="794" spans="1:26" x14ac:dyDescent="0.3">
      <c r="A794" t="s">
        <v>1406</v>
      </c>
      <c r="B794" s="2">
        <v>45980</v>
      </c>
      <c r="C794" t="s">
        <v>1407</v>
      </c>
      <c r="D794" t="s">
        <v>50</v>
      </c>
      <c r="E794" t="s">
        <v>29</v>
      </c>
      <c r="F794">
        <v>23</v>
      </c>
      <c r="G794" t="s">
        <v>51</v>
      </c>
      <c r="H794" t="s">
        <v>52</v>
      </c>
      <c r="I794" t="s">
        <v>51</v>
      </c>
      <c r="J794" t="s">
        <v>112</v>
      </c>
      <c r="K794">
        <v>2</v>
      </c>
      <c r="L794">
        <v>24228</v>
      </c>
      <c r="M794">
        <v>10</v>
      </c>
      <c r="N794">
        <v>4845.6000000000004</v>
      </c>
      <c r="O794">
        <v>7849.87</v>
      </c>
      <c r="P794">
        <v>308</v>
      </c>
      <c r="Q794">
        <v>51768.27</v>
      </c>
      <c r="R794" t="s">
        <v>45</v>
      </c>
      <c r="S794" t="s">
        <v>34</v>
      </c>
      <c r="T794" t="s">
        <v>84</v>
      </c>
      <c r="U794" t="s">
        <v>85</v>
      </c>
      <c r="V794" t="s">
        <v>86</v>
      </c>
      <c r="W794">
        <v>10</v>
      </c>
      <c r="X794" t="s">
        <v>47</v>
      </c>
      <c r="Y794">
        <v>5</v>
      </c>
      <c r="Z794" t="s">
        <v>58</v>
      </c>
    </row>
    <row r="795" spans="1:26" x14ac:dyDescent="0.3">
      <c r="A795" t="s">
        <v>1408</v>
      </c>
      <c r="B795" s="2">
        <v>45772</v>
      </c>
      <c r="C795" t="s">
        <v>1155</v>
      </c>
      <c r="D795" t="s">
        <v>108</v>
      </c>
      <c r="E795" t="s">
        <v>29</v>
      </c>
      <c r="F795">
        <v>47</v>
      </c>
      <c r="G795" t="s">
        <v>44</v>
      </c>
      <c r="H795" t="s">
        <v>31</v>
      </c>
      <c r="I795" t="s">
        <v>44</v>
      </c>
      <c r="J795" t="s">
        <v>62</v>
      </c>
      <c r="K795">
        <v>3</v>
      </c>
      <c r="L795">
        <v>39349</v>
      </c>
      <c r="M795">
        <v>20</v>
      </c>
      <c r="N795">
        <v>23609.4</v>
      </c>
      <c r="O795">
        <v>16998.77</v>
      </c>
      <c r="P795">
        <v>228</v>
      </c>
      <c r="Q795">
        <v>111664.37</v>
      </c>
      <c r="R795" t="s">
        <v>33</v>
      </c>
      <c r="S795" t="s">
        <v>34</v>
      </c>
      <c r="T795" t="s">
        <v>46</v>
      </c>
      <c r="U795" t="s">
        <v>36</v>
      </c>
      <c r="V795" t="s">
        <v>37</v>
      </c>
      <c r="W795">
        <v>2</v>
      </c>
      <c r="X795" t="s">
        <v>47</v>
      </c>
      <c r="Y795">
        <v>2</v>
      </c>
      <c r="Z795" t="s">
        <v>91</v>
      </c>
    </row>
    <row r="796" spans="1:26" x14ac:dyDescent="0.3">
      <c r="A796" t="s">
        <v>1409</v>
      </c>
      <c r="B796" s="2">
        <v>45921</v>
      </c>
      <c r="C796" t="s">
        <v>249</v>
      </c>
      <c r="D796" t="s">
        <v>89</v>
      </c>
      <c r="E796" t="s">
        <v>29</v>
      </c>
      <c r="F796">
        <v>37</v>
      </c>
      <c r="G796" t="s">
        <v>139</v>
      </c>
      <c r="H796" t="s">
        <v>31</v>
      </c>
      <c r="I796" t="s">
        <v>139</v>
      </c>
      <c r="J796" t="s">
        <v>32</v>
      </c>
      <c r="K796">
        <v>5</v>
      </c>
      <c r="L796">
        <v>10892</v>
      </c>
      <c r="M796">
        <v>20</v>
      </c>
      <c r="N796">
        <v>10892</v>
      </c>
      <c r="O796">
        <v>7842.24</v>
      </c>
      <c r="P796">
        <v>420</v>
      </c>
      <c r="Q796">
        <v>51830.239999999998</v>
      </c>
      <c r="R796" t="s">
        <v>33</v>
      </c>
      <c r="S796" t="s">
        <v>63</v>
      </c>
      <c r="T796" t="s">
        <v>35</v>
      </c>
      <c r="U796" t="s">
        <v>36</v>
      </c>
      <c r="V796" t="s">
        <v>37</v>
      </c>
      <c r="W796">
        <v>7</v>
      </c>
      <c r="X796" t="s">
        <v>38</v>
      </c>
      <c r="Y796">
        <v>1</v>
      </c>
      <c r="Z796" t="s">
        <v>58</v>
      </c>
    </row>
    <row r="797" spans="1:26" x14ac:dyDescent="0.3">
      <c r="A797" t="s">
        <v>1410</v>
      </c>
      <c r="B797" s="2">
        <v>45885</v>
      </c>
      <c r="C797" t="s">
        <v>1411</v>
      </c>
      <c r="D797" t="s">
        <v>61</v>
      </c>
      <c r="E797" t="s">
        <v>43</v>
      </c>
      <c r="F797">
        <v>37</v>
      </c>
      <c r="G797" t="s">
        <v>90</v>
      </c>
      <c r="H797" t="s">
        <v>31</v>
      </c>
      <c r="I797" t="s">
        <v>90</v>
      </c>
      <c r="J797" t="s">
        <v>32</v>
      </c>
      <c r="K797">
        <v>1</v>
      </c>
      <c r="L797">
        <v>22810</v>
      </c>
      <c r="M797">
        <v>10</v>
      </c>
      <c r="N797">
        <v>2281</v>
      </c>
      <c r="O797">
        <v>3695.22</v>
      </c>
      <c r="P797">
        <v>477</v>
      </c>
      <c r="Q797">
        <v>24701.22</v>
      </c>
      <c r="R797" t="s">
        <v>54</v>
      </c>
      <c r="S797" t="s">
        <v>63</v>
      </c>
      <c r="T797" t="s">
        <v>95</v>
      </c>
      <c r="U797" t="s">
        <v>96</v>
      </c>
      <c r="V797" t="s">
        <v>57</v>
      </c>
      <c r="W797">
        <v>5</v>
      </c>
      <c r="X797" t="s">
        <v>47</v>
      </c>
      <c r="Y797">
        <v>4</v>
      </c>
      <c r="Z797" t="s">
        <v>91</v>
      </c>
    </row>
    <row r="798" spans="1:26" x14ac:dyDescent="0.3">
      <c r="A798" t="s">
        <v>1412</v>
      </c>
      <c r="B798" s="2">
        <v>45829</v>
      </c>
      <c r="C798" t="s">
        <v>1413</v>
      </c>
      <c r="D798" t="s">
        <v>50</v>
      </c>
      <c r="E798" t="s">
        <v>29</v>
      </c>
      <c r="F798">
        <v>57</v>
      </c>
      <c r="G798" t="s">
        <v>74</v>
      </c>
      <c r="H798" t="s">
        <v>31</v>
      </c>
      <c r="I798" t="s">
        <v>74</v>
      </c>
      <c r="J798" t="s">
        <v>53</v>
      </c>
      <c r="K798">
        <v>2</v>
      </c>
      <c r="L798">
        <v>14573</v>
      </c>
      <c r="M798">
        <v>20</v>
      </c>
      <c r="N798">
        <v>5829.2</v>
      </c>
      <c r="O798">
        <v>4197.0200000000004</v>
      </c>
      <c r="P798">
        <v>237</v>
      </c>
      <c r="Q798">
        <v>27750.82</v>
      </c>
      <c r="R798" t="s">
        <v>33</v>
      </c>
      <c r="S798" t="s">
        <v>63</v>
      </c>
      <c r="T798" t="s">
        <v>84</v>
      </c>
      <c r="U798" t="s">
        <v>85</v>
      </c>
      <c r="V798" t="s">
        <v>86</v>
      </c>
      <c r="W798">
        <v>4</v>
      </c>
      <c r="X798" t="s">
        <v>47</v>
      </c>
      <c r="Y798">
        <v>2</v>
      </c>
      <c r="Z798" t="s">
        <v>58</v>
      </c>
    </row>
    <row r="799" spans="1:26" x14ac:dyDescent="0.3">
      <c r="A799" t="s">
        <v>1414</v>
      </c>
      <c r="B799" s="2">
        <v>46088</v>
      </c>
      <c r="C799" t="s">
        <v>901</v>
      </c>
      <c r="D799" t="s">
        <v>61</v>
      </c>
      <c r="E799" t="s">
        <v>43</v>
      </c>
      <c r="F799">
        <v>31</v>
      </c>
      <c r="G799" t="s">
        <v>67</v>
      </c>
      <c r="H799" t="s">
        <v>68</v>
      </c>
      <c r="I799" t="s">
        <v>67</v>
      </c>
      <c r="J799" t="s">
        <v>75</v>
      </c>
      <c r="K799">
        <v>5</v>
      </c>
      <c r="L799">
        <v>24050</v>
      </c>
      <c r="M799">
        <v>15</v>
      </c>
      <c r="N799">
        <v>18037.5</v>
      </c>
      <c r="O799">
        <v>18398.25</v>
      </c>
      <c r="P799">
        <v>437</v>
      </c>
      <c r="Q799">
        <v>121047.75</v>
      </c>
      <c r="R799" t="s">
        <v>33</v>
      </c>
      <c r="S799" t="s">
        <v>63</v>
      </c>
      <c r="T799" t="s">
        <v>55</v>
      </c>
      <c r="U799" t="s">
        <v>56</v>
      </c>
      <c r="V799" t="s">
        <v>57</v>
      </c>
      <c r="W799">
        <v>4</v>
      </c>
      <c r="X799" t="s">
        <v>38</v>
      </c>
      <c r="Y799">
        <v>4</v>
      </c>
      <c r="Z799" t="s">
        <v>47</v>
      </c>
    </row>
    <row r="800" spans="1:26" x14ac:dyDescent="0.3">
      <c r="A800" t="s">
        <v>1415</v>
      </c>
      <c r="B800" s="2">
        <v>46099</v>
      </c>
      <c r="C800" t="s">
        <v>1416</v>
      </c>
      <c r="D800" t="s">
        <v>89</v>
      </c>
      <c r="E800" t="s">
        <v>29</v>
      </c>
      <c r="F800">
        <v>47</v>
      </c>
      <c r="G800" t="s">
        <v>44</v>
      </c>
      <c r="H800" t="s">
        <v>31</v>
      </c>
      <c r="I800" t="s">
        <v>44</v>
      </c>
      <c r="J800" t="s">
        <v>112</v>
      </c>
      <c r="K800">
        <v>5</v>
      </c>
      <c r="L800">
        <v>48099</v>
      </c>
      <c r="M800">
        <v>5</v>
      </c>
      <c r="N800">
        <v>12024.75</v>
      </c>
      <c r="O800">
        <v>41124.639999999999</v>
      </c>
      <c r="P800">
        <v>491</v>
      </c>
      <c r="Q800">
        <v>270085.90000000002</v>
      </c>
      <c r="R800" t="s">
        <v>45</v>
      </c>
      <c r="S800" t="s">
        <v>63</v>
      </c>
      <c r="T800" t="s">
        <v>95</v>
      </c>
      <c r="U800" t="s">
        <v>96</v>
      </c>
      <c r="V800" t="s">
        <v>57</v>
      </c>
      <c r="W800">
        <v>2</v>
      </c>
      <c r="X800" t="s">
        <v>47</v>
      </c>
      <c r="Y800">
        <v>5</v>
      </c>
      <c r="Z800" t="s">
        <v>58</v>
      </c>
    </row>
    <row r="801" spans="1:26" x14ac:dyDescent="0.3">
      <c r="A801" t="s">
        <v>1417</v>
      </c>
      <c r="B801" s="2">
        <v>45875</v>
      </c>
      <c r="C801" t="s">
        <v>1343</v>
      </c>
      <c r="D801" t="s">
        <v>80</v>
      </c>
      <c r="E801" t="s">
        <v>43</v>
      </c>
      <c r="F801">
        <v>18</v>
      </c>
      <c r="G801" t="s">
        <v>30</v>
      </c>
      <c r="H801" t="s">
        <v>31</v>
      </c>
      <c r="I801" t="s">
        <v>30</v>
      </c>
      <c r="J801" t="s">
        <v>112</v>
      </c>
      <c r="K801">
        <v>5</v>
      </c>
      <c r="L801">
        <v>37475</v>
      </c>
      <c r="M801">
        <v>10</v>
      </c>
      <c r="N801">
        <v>18737.5</v>
      </c>
      <c r="O801">
        <v>30354.75</v>
      </c>
      <c r="P801">
        <v>279</v>
      </c>
      <c r="Q801">
        <v>199271.25</v>
      </c>
      <c r="R801" t="s">
        <v>83</v>
      </c>
      <c r="S801" t="s">
        <v>63</v>
      </c>
      <c r="T801" t="s">
        <v>70</v>
      </c>
      <c r="U801" t="s">
        <v>56</v>
      </c>
      <c r="V801" t="s">
        <v>57</v>
      </c>
      <c r="W801">
        <v>6</v>
      </c>
      <c r="X801" t="s">
        <v>47</v>
      </c>
      <c r="Y801">
        <v>4</v>
      </c>
      <c r="Z801" t="s">
        <v>91</v>
      </c>
    </row>
    <row r="802" spans="1:26" x14ac:dyDescent="0.3">
      <c r="A802" t="s">
        <v>1418</v>
      </c>
      <c r="B802" s="2">
        <v>45840</v>
      </c>
      <c r="C802" t="s">
        <v>1087</v>
      </c>
      <c r="D802" t="s">
        <v>66</v>
      </c>
      <c r="E802" t="s">
        <v>29</v>
      </c>
      <c r="F802">
        <v>58</v>
      </c>
      <c r="G802" t="s">
        <v>90</v>
      </c>
      <c r="H802" t="s">
        <v>31</v>
      </c>
      <c r="I802" t="s">
        <v>90</v>
      </c>
      <c r="J802" t="s">
        <v>69</v>
      </c>
      <c r="K802">
        <v>2</v>
      </c>
      <c r="L802">
        <v>36204</v>
      </c>
      <c r="M802">
        <v>0</v>
      </c>
      <c r="N802">
        <v>0</v>
      </c>
      <c r="O802">
        <v>13033.44</v>
      </c>
      <c r="P802">
        <v>133</v>
      </c>
      <c r="Q802">
        <v>85574.44</v>
      </c>
      <c r="R802" t="s">
        <v>45</v>
      </c>
      <c r="S802" t="s">
        <v>63</v>
      </c>
      <c r="T802" t="s">
        <v>46</v>
      </c>
      <c r="U802" t="s">
        <v>36</v>
      </c>
      <c r="V802" t="s">
        <v>37</v>
      </c>
      <c r="W802">
        <v>6</v>
      </c>
      <c r="X802" t="s">
        <v>38</v>
      </c>
      <c r="Y802">
        <v>3</v>
      </c>
      <c r="Z802" t="s">
        <v>58</v>
      </c>
    </row>
    <row r="803" spans="1:26" x14ac:dyDescent="0.3">
      <c r="A803" t="s">
        <v>1419</v>
      </c>
      <c r="B803" s="2">
        <v>46008</v>
      </c>
      <c r="C803" t="s">
        <v>709</v>
      </c>
      <c r="D803" t="s">
        <v>73</v>
      </c>
      <c r="E803" t="s">
        <v>29</v>
      </c>
      <c r="F803">
        <v>26</v>
      </c>
      <c r="G803" t="s">
        <v>134</v>
      </c>
      <c r="H803" t="s">
        <v>31</v>
      </c>
      <c r="I803" t="s">
        <v>134</v>
      </c>
      <c r="J803" t="s">
        <v>53</v>
      </c>
      <c r="K803">
        <v>4</v>
      </c>
      <c r="L803">
        <v>38685</v>
      </c>
      <c r="M803">
        <v>0</v>
      </c>
      <c r="N803">
        <v>0</v>
      </c>
      <c r="O803">
        <v>27853.200000000001</v>
      </c>
      <c r="P803">
        <v>454</v>
      </c>
      <c r="Q803">
        <v>183047.2</v>
      </c>
      <c r="R803" t="s">
        <v>33</v>
      </c>
      <c r="S803" t="s">
        <v>34</v>
      </c>
      <c r="T803" t="s">
        <v>55</v>
      </c>
      <c r="U803" t="s">
        <v>56</v>
      </c>
      <c r="V803" t="s">
        <v>57</v>
      </c>
      <c r="W803">
        <v>7</v>
      </c>
      <c r="X803" t="s">
        <v>38</v>
      </c>
      <c r="Y803">
        <v>3</v>
      </c>
      <c r="Z803" t="s">
        <v>47</v>
      </c>
    </row>
    <row r="804" spans="1:26" x14ac:dyDescent="0.3">
      <c r="A804" t="s">
        <v>1420</v>
      </c>
      <c r="B804" s="2">
        <v>45888</v>
      </c>
      <c r="C804" t="s">
        <v>1421</v>
      </c>
      <c r="D804" t="s">
        <v>80</v>
      </c>
      <c r="E804" t="s">
        <v>29</v>
      </c>
      <c r="F804">
        <v>52</v>
      </c>
      <c r="G804" t="s">
        <v>74</v>
      </c>
      <c r="H804" t="s">
        <v>31</v>
      </c>
      <c r="I804" t="s">
        <v>74</v>
      </c>
      <c r="J804" t="s">
        <v>125</v>
      </c>
      <c r="K804">
        <v>3</v>
      </c>
      <c r="L804">
        <v>14708</v>
      </c>
      <c r="M804">
        <v>10</v>
      </c>
      <c r="N804">
        <v>4412.3999999999996</v>
      </c>
      <c r="O804">
        <v>7148.09</v>
      </c>
      <c r="P804">
        <v>196</v>
      </c>
      <c r="Q804">
        <v>47055.69</v>
      </c>
      <c r="R804" t="s">
        <v>54</v>
      </c>
      <c r="S804" t="s">
        <v>34</v>
      </c>
      <c r="T804" t="s">
        <v>35</v>
      </c>
      <c r="U804" t="s">
        <v>36</v>
      </c>
      <c r="V804" t="s">
        <v>37</v>
      </c>
      <c r="W804">
        <v>8</v>
      </c>
      <c r="X804" t="s">
        <v>47</v>
      </c>
      <c r="Y804">
        <v>3</v>
      </c>
      <c r="Z804" t="s">
        <v>47</v>
      </c>
    </row>
    <row r="805" spans="1:26" x14ac:dyDescent="0.3">
      <c r="A805" t="s">
        <v>1422</v>
      </c>
      <c r="B805" s="2">
        <v>45990</v>
      </c>
      <c r="C805" t="s">
        <v>182</v>
      </c>
      <c r="D805" t="s">
        <v>28</v>
      </c>
      <c r="E805" t="s">
        <v>43</v>
      </c>
      <c r="F805">
        <v>24</v>
      </c>
      <c r="G805" t="s">
        <v>99</v>
      </c>
      <c r="H805" t="s">
        <v>52</v>
      </c>
      <c r="I805" t="s">
        <v>99</v>
      </c>
      <c r="J805" t="s">
        <v>32</v>
      </c>
      <c r="K805">
        <v>3</v>
      </c>
      <c r="L805">
        <v>14838</v>
      </c>
      <c r="M805">
        <v>10</v>
      </c>
      <c r="N805">
        <v>4451.3999999999996</v>
      </c>
      <c r="O805">
        <v>7211.27</v>
      </c>
      <c r="P805">
        <v>147</v>
      </c>
      <c r="Q805">
        <v>47420.87</v>
      </c>
      <c r="R805" t="s">
        <v>54</v>
      </c>
      <c r="S805" t="s">
        <v>34</v>
      </c>
      <c r="T805" t="s">
        <v>35</v>
      </c>
      <c r="U805" t="s">
        <v>36</v>
      </c>
      <c r="V805" t="s">
        <v>37</v>
      </c>
      <c r="W805">
        <v>10</v>
      </c>
      <c r="X805" t="s">
        <v>47</v>
      </c>
      <c r="Y805">
        <v>2</v>
      </c>
      <c r="Z805" t="s">
        <v>47</v>
      </c>
    </row>
    <row r="806" spans="1:26" x14ac:dyDescent="0.3">
      <c r="A806" t="s">
        <v>1423</v>
      </c>
      <c r="B806" s="2">
        <v>45771</v>
      </c>
      <c r="C806" t="s">
        <v>816</v>
      </c>
      <c r="D806" t="s">
        <v>66</v>
      </c>
      <c r="E806" t="s">
        <v>29</v>
      </c>
      <c r="F806">
        <v>26</v>
      </c>
      <c r="G806" t="s">
        <v>30</v>
      </c>
      <c r="H806" t="s">
        <v>31</v>
      </c>
      <c r="I806" t="s">
        <v>30</v>
      </c>
      <c r="J806" t="s">
        <v>102</v>
      </c>
      <c r="K806">
        <v>4</v>
      </c>
      <c r="L806">
        <v>34698</v>
      </c>
      <c r="M806">
        <v>10</v>
      </c>
      <c r="N806">
        <v>13879.2</v>
      </c>
      <c r="O806">
        <v>22484.3</v>
      </c>
      <c r="P806">
        <v>304</v>
      </c>
      <c r="Q806">
        <v>147701.1</v>
      </c>
      <c r="R806" t="s">
        <v>54</v>
      </c>
      <c r="S806" t="s">
        <v>34</v>
      </c>
      <c r="T806" t="s">
        <v>84</v>
      </c>
      <c r="U806" t="s">
        <v>85</v>
      </c>
      <c r="V806" t="s">
        <v>86</v>
      </c>
      <c r="W806">
        <v>1</v>
      </c>
      <c r="X806" t="s">
        <v>47</v>
      </c>
      <c r="Y806">
        <v>2</v>
      </c>
      <c r="Z806" t="s">
        <v>58</v>
      </c>
    </row>
    <row r="807" spans="1:26" x14ac:dyDescent="0.3">
      <c r="A807" t="s">
        <v>1424</v>
      </c>
      <c r="B807" s="2">
        <v>45963</v>
      </c>
      <c r="C807" t="s">
        <v>719</v>
      </c>
      <c r="D807" t="s">
        <v>66</v>
      </c>
      <c r="E807" t="s">
        <v>29</v>
      </c>
      <c r="F807">
        <v>47</v>
      </c>
      <c r="G807" t="s">
        <v>74</v>
      </c>
      <c r="H807" t="s">
        <v>31</v>
      </c>
      <c r="I807" t="s">
        <v>74</v>
      </c>
      <c r="J807" t="s">
        <v>53</v>
      </c>
      <c r="K807">
        <v>5</v>
      </c>
      <c r="L807">
        <v>46766</v>
      </c>
      <c r="M807">
        <v>10</v>
      </c>
      <c r="N807">
        <v>23383</v>
      </c>
      <c r="O807">
        <v>37880.46</v>
      </c>
      <c r="P807">
        <v>163</v>
      </c>
      <c r="Q807">
        <v>248490.46</v>
      </c>
      <c r="R807" t="s">
        <v>83</v>
      </c>
      <c r="S807" t="s">
        <v>34</v>
      </c>
      <c r="T807" t="s">
        <v>46</v>
      </c>
      <c r="U807" t="s">
        <v>36</v>
      </c>
      <c r="V807" t="s">
        <v>37</v>
      </c>
      <c r="W807">
        <v>4</v>
      </c>
      <c r="X807" t="s">
        <v>38</v>
      </c>
      <c r="Y807">
        <v>3</v>
      </c>
      <c r="Z807" t="s">
        <v>47</v>
      </c>
    </row>
    <row r="808" spans="1:26" x14ac:dyDescent="0.3">
      <c r="A808" t="s">
        <v>1425</v>
      </c>
      <c r="B808" s="2">
        <v>45786</v>
      </c>
      <c r="C808" t="s">
        <v>1426</v>
      </c>
      <c r="D808" t="s">
        <v>42</v>
      </c>
      <c r="E808" t="s">
        <v>29</v>
      </c>
      <c r="F808">
        <v>30</v>
      </c>
      <c r="G808" t="s">
        <v>74</v>
      </c>
      <c r="H808" t="s">
        <v>31</v>
      </c>
      <c r="I808" t="s">
        <v>74</v>
      </c>
      <c r="J808" t="s">
        <v>102</v>
      </c>
      <c r="K808">
        <v>3</v>
      </c>
      <c r="L808">
        <v>644</v>
      </c>
      <c r="M808">
        <v>5</v>
      </c>
      <c r="N808">
        <v>96.6</v>
      </c>
      <c r="O808">
        <v>330.37</v>
      </c>
      <c r="P808">
        <v>253</v>
      </c>
      <c r="Q808">
        <v>2418.77</v>
      </c>
      <c r="R808" t="s">
        <v>33</v>
      </c>
      <c r="S808" t="s">
        <v>63</v>
      </c>
      <c r="T808" t="s">
        <v>76</v>
      </c>
      <c r="U808" t="s">
        <v>77</v>
      </c>
      <c r="V808" t="s">
        <v>57</v>
      </c>
      <c r="W808">
        <v>10</v>
      </c>
      <c r="X808" t="s">
        <v>38</v>
      </c>
      <c r="Y808">
        <v>1</v>
      </c>
      <c r="Z808" t="s">
        <v>58</v>
      </c>
    </row>
    <row r="809" spans="1:26" x14ac:dyDescent="0.3">
      <c r="A809" t="s">
        <v>1427</v>
      </c>
      <c r="B809" s="2">
        <v>45966</v>
      </c>
      <c r="C809" t="s">
        <v>1428</v>
      </c>
      <c r="D809" t="s">
        <v>42</v>
      </c>
      <c r="E809" t="s">
        <v>29</v>
      </c>
      <c r="F809">
        <v>49</v>
      </c>
      <c r="G809" t="s">
        <v>134</v>
      </c>
      <c r="H809" t="s">
        <v>31</v>
      </c>
      <c r="I809" t="s">
        <v>134</v>
      </c>
      <c r="J809" t="s">
        <v>102</v>
      </c>
      <c r="K809">
        <v>1</v>
      </c>
      <c r="L809">
        <v>7604</v>
      </c>
      <c r="M809">
        <v>10</v>
      </c>
      <c r="N809">
        <v>760.4</v>
      </c>
      <c r="O809">
        <v>1231.8499999999999</v>
      </c>
      <c r="P809">
        <v>405</v>
      </c>
      <c r="Q809">
        <v>8480.4500000000007</v>
      </c>
      <c r="R809" t="s">
        <v>54</v>
      </c>
      <c r="S809" t="s">
        <v>63</v>
      </c>
      <c r="T809" t="s">
        <v>95</v>
      </c>
      <c r="U809" t="s">
        <v>96</v>
      </c>
      <c r="V809" t="s">
        <v>57</v>
      </c>
      <c r="W809">
        <v>8</v>
      </c>
      <c r="X809" t="s">
        <v>38</v>
      </c>
      <c r="Y809">
        <v>2</v>
      </c>
      <c r="Z809" t="s">
        <v>58</v>
      </c>
    </row>
    <row r="810" spans="1:26" x14ac:dyDescent="0.3">
      <c r="A810" t="s">
        <v>1429</v>
      </c>
      <c r="B810" s="2">
        <v>45993</v>
      </c>
      <c r="C810" t="s">
        <v>275</v>
      </c>
      <c r="D810" t="s">
        <v>80</v>
      </c>
      <c r="E810" t="s">
        <v>29</v>
      </c>
      <c r="F810">
        <v>25</v>
      </c>
      <c r="G810" t="s">
        <v>99</v>
      </c>
      <c r="H810" t="s">
        <v>52</v>
      </c>
      <c r="I810" t="s">
        <v>99</v>
      </c>
      <c r="J810" t="s">
        <v>112</v>
      </c>
      <c r="K810">
        <v>5</v>
      </c>
      <c r="L810">
        <v>19653</v>
      </c>
      <c r="M810">
        <v>0</v>
      </c>
      <c r="N810">
        <v>0</v>
      </c>
      <c r="O810">
        <v>17687.7</v>
      </c>
      <c r="P810">
        <v>309</v>
      </c>
      <c r="Q810">
        <v>116261.7</v>
      </c>
      <c r="R810" t="s">
        <v>45</v>
      </c>
      <c r="S810" t="s">
        <v>34</v>
      </c>
      <c r="T810" t="s">
        <v>46</v>
      </c>
      <c r="U810" t="s">
        <v>36</v>
      </c>
      <c r="V810" t="s">
        <v>37</v>
      </c>
      <c r="W810">
        <v>4</v>
      </c>
      <c r="X810" t="s">
        <v>47</v>
      </c>
      <c r="Y810">
        <v>3</v>
      </c>
      <c r="Z810" t="s">
        <v>47</v>
      </c>
    </row>
    <row r="811" spans="1:26" x14ac:dyDescent="0.3">
      <c r="A811" t="s">
        <v>1430</v>
      </c>
      <c r="B811" s="2">
        <v>46035</v>
      </c>
      <c r="C811" t="s">
        <v>1431</v>
      </c>
      <c r="D811" t="s">
        <v>66</v>
      </c>
      <c r="E811" t="s">
        <v>29</v>
      </c>
      <c r="F811">
        <v>37</v>
      </c>
      <c r="G811" t="s">
        <v>74</v>
      </c>
      <c r="H811" t="s">
        <v>31</v>
      </c>
      <c r="I811" t="s">
        <v>74</v>
      </c>
      <c r="J811" t="s">
        <v>125</v>
      </c>
      <c r="K811">
        <v>2</v>
      </c>
      <c r="L811">
        <v>42230</v>
      </c>
      <c r="M811">
        <v>10</v>
      </c>
      <c r="N811">
        <v>8446</v>
      </c>
      <c r="O811">
        <v>13682.52</v>
      </c>
      <c r="P811">
        <v>156</v>
      </c>
      <c r="Q811">
        <v>89852.52</v>
      </c>
      <c r="R811" t="s">
        <v>83</v>
      </c>
      <c r="S811" t="s">
        <v>63</v>
      </c>
      <c r="T811" t="s">
        <v>76</v>
      </c>
      <c r="U811" t="s">
        <v>77</v>
      </c>
      <c r="V811" t="s">
        <v>57</v>
      </c>
      <c r="W811">
        <v>1</v>
      </c>
      <c r="X811" t="s">
        <v>47</v>
      </c>
      <c r="Y811">
        <v>2</v>
      </c>
      <c r="Z811" t="s">
        <v>39</v>
      </c>
    </row>
    <row r="812" spans="1:26" x14ac:dyDescent="0.3">
      <c r="A812" t="s">
        <v>1432</v>
      </c>
      <c r="B812" s="2">
        <v>45847</v>
      </c>
      <c r="C812" t="s">
        <v>1433</v>
      </c>
      <c r="D812" t="s">
        <v>50</v>
      </c>
      <c r="E812" t="s">
        <v>29</v>
      </c>
      <c r="F812">
        <v>23</v>
      </c>
      <c r="G812" t="s">
        <v>99</v>
      </c>
      <c r="H812" t="s">
        <v>52</v>
      </c>
      <c r="I812" t="s">
        <v>99</v>
      </c>
      <c r="J812" t="s">
        <v>53</v>
      </c>
      <c r="K812">
        <v>2</v>
      </c>
      <c r="L812">
        <v>29934</v>
      </c>
      <c r="M812">
        <v>20</v>
      </c>
      <c r="N812">
        <v>11973.6</v>
      </c>
      <c r="O812">
        <v>8620.99</v>
      </c>
      <c r="P812">
        <v>362</v>
      </c>
      <c r="Q812">
        <v>56877.39</v>
      </c>
      <c r="R812" t="s">
        <v>33</v>
      </c>
      <c r="S812" t="s">
        <v>63</v>
      </c>
      <c r="T812" t="s">
        <v>35</v>
      </c>
      <c r="U812" t="s">
        <v>36</v>
      </c>
      <c r="V812" t="s">
        <v>37</v>
      </c>
      <c r="W812">
        <v>6</v>
      </c>
      <c r="X812" t="s">
        <v>38</v>
      </c>
      <c r="Y812">
        <v>5</v>
      </c>
      <c r="Z812" t="s">
        <v>58</v>
      </c>
    </row>
    <row r="813" spans="1:26" x14ac:dyDescent="0.3">
      <c r="A813" t="s">
        <v>1434</v>
      </c>
      <c r="B813" s="2">
        <v>45817</v>
      </c>
      <c r="C813" t="s">
        <v>259</v>
      </c>
      <c r="D813" t="s">
        <v>111</v>
      </c>
      <c r="E813" t="s">
        <v>29</v>
      </c>
      <c r="F813">
        <v>27</v>
      </c>
      <c r="G813" t="s">
        <v>67</v>
      </c>
      <c r="H813" t="s">
        <v>68</v>
      </c>
      <c r="I813" t="s">
        <v>67</v>
      </c>
      <c r="J813" t="s">
        <v>62</v>
      </c>
      <c r="K813">
        <v>1</v>
      </c>
      <c r="L813">
        <v>28168</v>
      </c>
      <c r="M813">
        <v>10</v>
      </c>
      <c r="N813">
        <v>2816.8</v>
      </c>
      <c r="O813">
        <v>4563.22</v>
      </c>
      <c r="P813">
        <v>158</v>
      </c>
      <c r="Q813">
        <v>30072.42</v>
      </c>
      <c r="R813" t="s">
        <v>33</v>
      </c>
      <c r="S813" t="s">
        <v>63</v>
      </c>
      <c r="T813" t="s">
        <v>95</v>
      </c>
      <c r="U813" t="s">
        <v>96</v>
      </c>
      <c r="V813" t="s">
        <v>57</v>
      </c>
      <c r="W813">
        <v>5</v>
      </c>
      <c r="X813" t="s">
        <v>47</v>
      </c>
      <c r="Y813">
        <v>2</v>
      </c>
      <c r="Z813" t="s">
        <v>47</v>
      </c>
    </row>
    <row r="814" spans="1:26" x14ac:dyDescent="0.3">
      <c r="A814" t="s">
        <v>1435</v>
      </c>
      <c r="B814" s="2">
        <v>45977</v>
      </c>
      <c r="C814" t="s">
        <v>1436</v>
      </c>
      <c r="D814" t="s">
        <v>50</v>
      </c>
      <c r="E814" t="s">
        <v>43</v>
      </c>
      <c r="F814">
        <v>36</v>
      </c>
      <c r="G814" t="s">
        <v>30</v>
      </c>
      <c r="H814" t="s">
        <v>31</v>
      </c>
      <c r="I814" t="s">
        <v>30</v>
      </c>
      <c r="J814" t="s">
        <v>150</v>
      </c>
      <c r="K814">
        <v>4</v>
      </c>
      <c r="L814">
        <v>35314</v>
      </c>
      <c r="M814">
        <v>5</v>
      </c>
      <c r="N814">
        <v>7062.8</v>
      </c>
      <c r="O814">
        <v>24154.78</v>
      </c>
      <c r="P814">
        <v>456</v>
      </c>
      <c r="Q814">
        <v>158803.98000000001</v>
      </c>
      <c r="R814" t="s">
        <v>54</v>
      </c>
      <c r="S814" t="s">
        <v>34</v>
      </c>
      <c r="T814" t="s">
        <v>70</v>
      </c>
      <c r="U814" t="s">
        <v>56</v>
      </c>
      <c r="V814" t="s">
        <v>57</v>
      </c>
      <c r="W814">
        <v>2</v>
      </c>
      <c r="X814" t="s">
        <v>38</v>
      </c>
      <c r="Y814">
        <v>5</v>
      </c>
      <c r="Z814" t="s">
        <v>91</v>
      </c>
    </row>
    <row r="815" spans="1:26" x14ac:dyDescent="0.3">
      <c r="A815" t="s">
        <v>1437</v>
      </c>
      <c r="B815" s="2">
        <v>45949</v>
      </c>
      <c r="C815" t="s">
        <v>160</v>
      </c>
      <c r="D815" t="s">
        <v>50</v>
      </c>
      <c r="E815" t="s">
        <v>43</v>
      </c>
      <c r="F815">
        <v>55</v>
      </c>
      <c r="G815" t="s">
        <v>94</v>
      </c>
      <c r="H815" t="s">
        <v>31</v>
      </c>
      <c r="I815" t="s">
        <v>94</v>
      </c>
      <c r="J815" t="s">
        <v>75</v>
      </c>
      <c r="K815">
        <v>1</v>
      </c>
      <c r="L815">
        <v>27249</v>
      </c>
      <c r="M815">
        <v>20</v>
      </c>
      <c r="N815">
        <v>5449.8</v>
      </c>
      <c r="O815">
        <v>3923.86</v>
      </c>
      <c r="P815">
        <v>475</v>
      </c>
      <c r="Q815">
        <v>26198.06</v>
      </c>
      <c r="R815" t="s">
        <v>33</v>
      </c>
      <c r="S815" t="s">
        <v>63</v>
      </c>
      <c r="T815" t="s">
        <v>103</v>
      </c>
      <c r="U815" t="s">
        <v>103</v>
      </c>
      <c r="V815" t="s">
        <v>57</v>
      </c>
      <c r="W815">
        <v>5</v>
      </c>
      <c r="X815" t="s">
        <v>38</v>
      </c>
      <c r="Y815">
        <v>1</v>
      </c>
      <c r="Z815" t="s">
        <v>39</v>
      </c>
    </row>
    <row r="816" spans="1:26" x14ac:dyDescent="0.3">
      <c r="A816" t="s">
        <v>1438</v>
      </c>
      <c r="B816" s="2">
        <v>45761</v>
      </c>
      <c r="C816" t="s">
        <v>330</v>
      </c>
      <c r="D816" t="s">
        <v>61</v>
      </c>
      <c r="E816" t="s">
        <v>43</v>
      </c>
      <c r="F816">
        <v>29</v>
      </c>
      <c r="G816" t="s">
        <v>51</v>
      </c>
      <c r="H816" t="s">
        <v>52</v>
      </c>
      <c r="I816" t="s">
        <v>51</v>
      </c>
      <c r="J816" t="s">
        <v>150</v>
      </c>
      <c r="K816">
        <v>3</v>
      </c>
      <c r="L816">
        <v>49236</v>
      </c>
      <c r="M816">
        <v>10</v>
      </c>
      <c r="N816">
        <v>14770.8</v>
      </c>
      <c r="O816">
        <v>23928.7</v>
      </c>
      <c r="P816">
        <v>256</v>
      </c>
      <c r="Q816">
        <v>157121.9</v>
      </c>
      <c r="R816" t="s">
        <v>54</v>
      </c>
      <c r="S816" t="s">
        <v>34</v>
      </c>
      <c r="T816" t="s">
        <v>55</v>
      </c>
      <c r="U816" t="s">
        <v>56</v>
      </c>
      <c r="V816" t="s">
        <v>57</v>
      </c>
      <c r="W816">
        <v>3</v>
      </c>
      <c r="X816" t="s">
        <v>38</v>
      </c>
      <c r="Y816">
        <v>3</v>
      </c>
      <c r="Z816" t="s">
        <v>91</v>
      </c>
    </row>
    <row r="817" spans="1:26" x14ac:dyDescent="0.3">
      <c r="A817" t="s">
        <v>1439</v>
      </c>
      <c r="B817" s="2">
        <v>46003</v>
      </c>
      <c r="C817" t="s">
        <v>786</v>
      </c>
      <c r="D817" t="s">
        <v>61</v>
      </c>
      <c r="E817" t="s">
        <v>43</v>
      </c>
      <c r="F817">
        <v>26</v>
      </c>
      <c r="G817" t="s">
        <v>67</v>
      </c>
      <c r="H817" t="s">
        <v>68</v>
      </c>
      <c r="I817" t="s">
        <v>67</v>
      </c>
      <c r="J817" t="s">
        <v>125</v>
      </c>
      <c r="K817">
        <v>1</v>
      </c>
      <c r="L817">
        <v>30859</v>
      </c>
      <c r="M817">
        <v>5</v>
      </c>
      <c r="N817">
        <v>1542.95</v>
      </c>
      <c r="O817">
        <v>5276.89</v>
      </c>
      <c r="P817">
        <v>480</v>
      </c>
      <c r="Q817">
        <v>35072.94</v>
      </c>
      <c r="R817" t="s">
        <v>54</v>
      </c>
      <c r="S817" t="s">
        <v>63</v>
      </c>
      <c r="T817" t="s">
        <v>35</v>
      </c>
      <c r="U817" t="s">
        <v>36</v>
      </c>
      <c r="V817" t="s">
        <v>37</v>
      </c>
      <c r="W817">
        <v>4</v>
      </c>
      <c r="X817" t="s">
        <v>38</v>
      </c>
      <c r="Y817">
        <v>4</v>
      </c>
      <c r="Z817" t="s">
        <v>58</v>
      </c>
    </row>
    <row r="818" spans="1:26" x14ac:dyDescent="0.3">
      <c r="A818" t="s">
        <v>1440</v>
      </c>
      <c r="B818" s="2">
        <v>45825</v>
      </c>
      <c r="C818" t="s">
        <v>921</v>
      </c>
      <c r="D818" t="s">
        <v>89</v>
      </c>
      <c r="E818" t="s">
        <v>43</v>
      </c>
      <c r="F818">
        <v>44</v>
      </c>
      <c r="G818" t="s">
        <v>99</v>
      </c>
      <c r="H818" t="s">
        <v>52</v>
      </c>
      <c r="I818" t="s">
        <v>99</v>
      </c>
      <c r="J818" t="s">
        <v>75</v>
      </c>
      <c r="K818">
        <v>4</v>
      </c>
      <c r="L818">
        <v>37642</v>
      </c>
      <c r="M818">
        <v>15</v>
      </c>
      <c r="N818">
        <v>22585.200000000001</v>
      </c>
      <c r="O818">
        <v>23036.9</v>
      </c>
      <c r="P818">
        <v>32</v>
      </c>
      <c r="Q818">
        <v>151051.70000000001</v>
      </c>
      <c r="R818" t="s">
        <v>45</v>
      </c>
      <c r="S818" t="s">
        <v>34</v>
      </c>
      <c r="T818" t="s">
        <v>70</v>
      </c>
      <c r="U818" t="s">
        <v>56</v>
      </c>
      <c r="V818" t="s">
        <v>57</v>
      </c>
      <c r="W818">
        <v>1</v>
      </c>
      <c r="X818" t="s">
        <v>38</v>
      </c>
      <c r="Y818">
        <v>5</v>
      </c>
      <c r="Z818" t="s">
        <v>39</v>
      </c>
    </row>
    <row r="819" spans="1:26" x14ac:dyDescent="0.3">
      <c r="A819" t="s">
        <v>1441</v>
      </c>
      <c r="B819" s="2">
        <v>45857</v>
      </c>
      <c r="C819" t="s">
        <v>1442</v>
      </c>
      <c r="D819" t="s">
        <v>108</v>
      </c>
      <c r="E819" t="s">
        <v>29</v>
      </c>
      <c r="F819">
        <v>23</v>
      </c>
      <c r="G819" t="s">
        <v>94</v>
      </c>
      <c r="H819" t="s">
        <v>31</v>
      </c>
      <c r="I819" t="s">
        <v>94</v>
      </c>
      <c r="J819" t="s">
        <v>102</v>
      </c>
      <c r="K819">
        <v>5</v>
      </c>
      <c r="L819">
        <v>48628</v>
      </c>
      <c r="M819">
        <v>15</v>
      </c>
      <c r="N819">
        <v>36471</v>
      </c>
      <c r="O819">
        <v>37200.42</v>
      </c>
      <c r="P819">
        <v>224</v>
      </c>
      <c r="Q819">
        <v>244093.42</v>
      </c>
      <c r="R819" t="s">
        <v>54</v>
      </c>
      <c r="S819" t="s">
        <v>34</v>
      </c>
      <c r="T819" t="s">
        <v>55</v>
      </c>
      <c r="U819" t="s">
        <v>56</v>
      </c>
      <c r="V819" t="s">
        <v>57</v>
      </c>
      <c r="W819">
        <v>9</v>
      </c>
      <c r="X819" t="s">
        <v>47</v>
      </c>
      <c r="Y819">
        <v>2</v>
      </c>
      <c r="Z819" t="s">
        <v>39</v>
      </c>
    </row>
    <row r="820" spans="1:26" x14ac:dyDescent="0.3">
      <c r="A820" t="s">
        <v>1443</v>
      </c>
      <c r="B820" s="2">
        <v>45786</v>
      </c>
      <c r="C820" t="s">
        <v>425</v>
      </c>
      <c r="D820" t="s">
        <v>111</v>
      </c>
      <c r="E820" t="s">
        <v>29</v>
      </c>
      <c r="F820">
        <v>49</v>
      </c>
      <c r="G820" t="s">
        <v>139</v>
      </c>
      <c r="H820" t="s">
        <v>31</v>
      </c>
      <c r="I820" t="s">
        <v>139</v>
      </c>
      <c r="J820" t="s">
        <v>32</v>
      </c>
      <c r="K820">
        <v>5</v>
      </c>
      <c r="L820">
        <v>16368</v>
      </c>
      <c r="M820">
        <v>15</v>
      </c>
      <c r="N820">
        <v>12276</v>
      </c>
      <c r="O820">
        <v>12521.52</v>
      </c>
      <c r="P820">
        <v>443</v>
      </c>
      <c r="Q820">
        <v>82528.52</v>
      </c>
      <c r="R820" t="s">
        <v>45</v>
      </c>
      <c r="S820" t="s">
        <v>63</v>
      </c>
      <c r="T820" t="s">
        <v>70</v>
      </c>
      <c r="U820" t="s">
        <v>56</v>
      </c>
      <c r="V820" t="s">
        <v>57</v>
      </c>
      <c r="W820">
        <v>8</v>
      </c>
      <c r="X820" t="s">
        <v>47</v>
      </c>
      <c r="Y820">
        <v>2</v>
      </c>
      <c r="Z820" t="s">
        <v>47</v>
      </c>
    </row>
    <row r="821" spans="1:26" x14ac:dyDescent="0.3">
      <c r="A821" t="s">
        <v>1444</v>
      </c>
      <c r="B821" s="2">
        <v>45913</v>
      </c>
      <c r="C821" t="s">
        <v>1180</v>
      </c>
      <c r="D821" t="s">
        <v>28</v>
      </c>
      <c r="E821" t="s">
        <v>29</v>
      </c>
      <c r="F821">
        <v>37</v>
      </c>
      <c r="G821" t="s">
        <v>44</v>
      </c>
      <c r="H821" t="s">
        <v>31</v>
      </c>
      <c r="I821" t="s">
        <v>44</v>
      </c>
      <c r="J821" t="s">
        <v>112</v>
      </c>
      <c r="K821">
        <v>2</v>
      </c>
      <c r="L821">
        <v>31757</v>
      </c>
      <c r="M821">
        <v>0</v>
      </c>
      <c r="N821">
        <v>0</v>
      </c>
      <c r="O821">
        <v>11432.52</v>
      </c>
      <c r="P821">
        <v>191</v>
      </c>
      <c r="Q821">
        <v>75137.52</v>
      </c>
      <c r="R821" t="s">
        <v>45</v>
      </c>
      <c r="S821" t="s">
        <v>34</v>
      </c>
      <c r="T821" t="s">
        <v>55</v>
      </c>
      <c r="U821" t="s">
        <v>56</v>
      </c>
      <c r="V821" t="s">
        <v>57</v>
      </c>
      <c r="W821">
        <v>3</v>
      </c>
      <c r="X821" t="s">
        <v>38</v>
      </c>
      <c r="Y821">
        <v>3</v>
      </c>
      <c r="Z821" t="s">
        <v>47</v>
      </c>
    </row>
    <row r="822" spans="1:26" x14ac:dyDescent="0.3">
      <c r="A822" t="s">
        <v>1445</v>
      </c>
      <c r="B822" s="2">
        <v>45853</v>
      </c>
      <c r="C822" t="s">
        <v>1446</v>
      </c>
      <c r="D822" t="s">
        <v>73</v>
      </c>
      <c r="E822" t="s">
        <v>43</v>
      </c>
      <c r="F822">
        <v>29</v>
      </c>
      <c r="G822" t="s">
        <v>90</v>
      </c>
      <c r="H822" t="s">
        <v>31</v>
      </c>
      <c r="I822" t="s">
        <v>90</v>
      </c>
      <c r="J822" t="s">
        <v>75</v>
      </c>
      <c r="K822">
        <v>4</v>
      </c>
      <c r="L822">
        <v>37757</v>
      </c>
      <c r="M822">
        <v>10</v>
      </c>
      <c r="N822">
        <v>15102.8</v>
      </c>
      <c r="O822">
        <v>24466.54</v>
      </c>
      <c r="P822">
        <v>430</v>
      </c>
      <c r="Q822">
        <v>160821.74</v>
      </c>
      <c r="R822" t="s">
        <v>83</v>
      </c>
      <c r="S822" t="s">
        <v>63</v>
      </c>
      <c r="T822" t="s">
        <v>70</v>
      </c>
      <c r="U822" t="s">
        <v>56</v>
      </c>
      <c r="V822" t="s">
        <v>57</v>
      </c>
      <c r="W822">
        <v>3</v>
      </c>
      <c r="X822" t="s">
        <v>47</v>
      </c>
      <c r="Y822">
        <v>4</v>
      </c>
      <c r="Z822" t="s">
        <v>47</v>
      </c>
    </row>
    <row r="823" spans="1:26" x14ac:dyDescent="0.3">
      <c r="A823" t="s">
        <v>1447</v>
      </c>
      <c r="B823" s="2">
        <v>46020</v>
      </c>
      <c r="C823" t="s">
        <v>213</v>
      </c>
      <c r="D823" t="s">
        <v>50</v>
      </c>
      <c r="E823" t="s">
        <v>43</v>
      </c>
      <c r="F823">
        <v>55</v>
      </c>
      <c r="G823" t="s">
        <v>139</v>
      </c>
      <c r="H823" t="s">
        <v>31</v>
      </c>
      <c r="I823" t="s">
        <v>139</v>
      </c>
      <c r="J823" t="s">
        <v>150</v>
      </c>
      <c r="K823">
        <v>2</v>
      </c>
      <c r="L823">
        <v>42743</v>
      </c>
      <c r="M823">
        <v>5</v>
      </c>
      <c r="N823">
        <v>4274.3</v>
      </c>
      <c r="O823">
        <v>14618.11</v>
      </c>
      <c r="P823">
        <v>473</v>
      </c>
      <c r="Q823">
        <v>96302.81</v>
      </c>
      <c r="R823" t="s">
        <v>54</v>
      </c>
      <c r="S823" t="s">
        <v>63</v>
      </c>
      <c r="T823" t="s">
        <v>70</v>
      </c>
      <c r="U823" t="s">
        <v>56</v>
      </c>
      <c r="V823" t="s">
        <v>57</v>
      </c>
      <c r="W823">
        <v>9</v>
      </c>
      <c r="X823" t="s">
        <v>47</v>
      </c>
      <c r="Y823">
        <v>4</v>
      </c>
      <c r="Z823" t="s">
        <v>91</v>
      </c>
    </row>
    <row r="824" spans="1:26" x14ac:dyDescent="0.3">
      <c r="A824" t="s">
        <v>1448</v>
      </c>
      <c r="B824" s="2">
        <v>45849</v>
      </c>
      <c r="C824" t="s">
        <v>656</v>
      </c>
      <c r="D824" t="s">
        <v>61</v>
      </c>
      <c r="E824" t="s">
        <v>29</v>
      </c>
      <c r="F824">
        <v>58</v>
      </c>
      <c r="G824" t="s">
        <v>74</v>
      </c>
      <c r="H824" t="s">
        <v>31</v>
      </c>
      <c r="I824" t="s">
        <v>74</v>
      </c>
      <c r="J824" t="s">
        <v>102</v>
      </c>
      <c r="K824">
        <v>3</v>
      </c>
      <c r="L824">
        <v>20225</v>
      </c>
      <c r="M824">
        <v>10</v>
      </c>
      <c r="N824">
        <v>6067.5</v>
      </c>
      <c r="O824">
        <v>9829.35</v>
      </c>
      <c r="P824">
        <v>463</v>
      </c>
      <c r="Q824">
        <v>64899.85</v>
      </c>
      <c r="R824" t="s">
        <v>45</v>
      </c>
      <c r="S824" t="s">
        <v>63</v>
      </c>
      <c r="T824" t="s">
        <v>70</v>
      </c>
      <c r="U824" t="s">
        <v>56</v>
      </c>
      <c r="V824" t="s">
        <v>57</v>
      </c>
      <c r="W824">
        <v>9</v>
      </c>
      <c r="X824" t="s">
        <v>47</v>
      </c>
      <c r="Y824">
        <v>1</v>
      </c>
      <c r="Z824" t="s">
        <v>58</v>
      </c>
    </row>
    <row r="825" spans="1:26" x14ac:dyDescent="0.3">
      <c r="A825" t="s">
        <v>1449</v>
      </c>
      <c r="B825" s="2">
        <v>46063</v>
      </c>
      <c r="C825" t="s">
        <v>777</v>
      </c>
      <c r="D825" t="s">
        <v>28</v>
      </c>
      <c r="E825" t="s">
        <v>43</v>
      </c>
      <c r="F825">
        <v>49</v>
      </c>
      <c r="G825" t="s">
        <v>51</v>
      </c>
      <c r="H825" t="s">
        <v>52</v>
      </c>
      <c r="I825" t="s">
        <v>51</v>
      </c>
      <c r="J825" t="s">
        <v>112</v>
      </c>
      <c r="K825">
        <v>2</v>
      </c>
      <c r="L825">
        <v>8375</v>
      </c>
      <c r="M825">
        <v>15</v>
      </c>
      <c r="N825">
        <v>2512.5</v>
      </c>
      <c r="O825">
        <v>2562.75</v>
      </c>
      <c r="P825">
        <v>470</v>
      </c>
      <c r="Q825">
        <v>17270.25</v>
      </c>
      <c r="R825" t="s">
        <v>45</v>
      </c>
      <c r="S825" t="s">
        <v>34</v>
      </c>
      <c r="T825" t="s">
        <v>84</v>
      </c>
      <c r="U825" t="s">
        <v>85</v>
      </c>
      <c r="V825" t="s">
        <v>86</v>
      </c>
      <c r="W825">
        <v>1</v>
      </c>
      <c r="X825" t="s">
        <v>38</v>
      </c>
      <c r="Y825">
        <v>3</v>
      </c>
      <c r="Z825" t="s">
        <v>91</v>
      </c>
    </row>
    <row r="826" spans="1:26" x14ac:dyDescent="0.3">
      <c r="A826" t="s">
        <v>1450</v>
      </c>
      <c r="B826" s="2">
        <v>45803</v>
      </c>
      <c r="C826" t="s">
        <v>1451</v>
      </c>
      <c r="D826" t="s">
        <v>73</v>
      </c>
      <c r="E826" t="s">
        <v>43</v>
      </c>
      <c r="F826">
        <v>58</v>
      </c>
      <c r="G826" t="s">
        <v>90</v>
      </c>
      <c r="H826" t="s">
        <v>31</v>
      </c>
      <c r="I826" t="s">
        <v>90</v>
      </c>
      <c r="J826" t="s">
        <v>53</v>
      </c>
      <c r="K826">
        <v>1</v>
      </c>
      <c r="L826">
        <v>5347</v>
      </c>
      <c r="M826">
        <v>10</v>
      </c>
      <c r="N826">
        <v>534.70000000000005</v>
      </c>
      <c r="O826">
        <v>866.21</v>
      </c>
      <c r="P826">
        <v>428</v>
      </c>
      <c r="Q826">
        <v>6106.51</v>
      </c>
      <c r="R826" t="s">
        <v>83</v>
      </c>
      <c r="S826" t="s">
        <v>63</v>
      </c>
      <c r="T826" t="s">
        <v>95</v>
      </c>
      <c r="U826" t="s">
        <v>96</v>
      </c>
      <c r="V826" t="s">
        <v>57</v>
      </c>
      <c r="W826">
        <v>2</v>
      </c>
      <c r="X826" t="s">
        <v>38</v>
      </c>
      <c r="Y826">
        <v>4</v>
      </c>
      <c r="Z826" t="s">
        <v>91</v>
      </c>
    </row>
    <row r="827" spans="1:26" x14ac:dyDescent="0.3">
      <c r="A827" t="s">
        <v>1452</v>
      </c>
      <c r="B827" s="2">
        <v>46092</v>
      </c>
      <c r="C827" t="s">
        <v>1453</v>
      </c>
      <c r="D827" t="s">
        <v>73</v>
      </c>
      <c r="E827" t="s">
        <v>43</v>
      </c>
      <c r="F827">
        <v>19</v>
      </c>
      <c r="G827" t="s">
        <v>99</v>
      </c>
      <c r="H827" t="s">
        <v>52</v>
      </c>
      <c r="I827" t="s">
        <v>99</v>
      </c>
      <c r="J827" t="s">
        <v>102</v>
      </c>
      <c r="K827">
        <v>2</v>
      </c>
      <c r="L827">
        <v>24967</v>
      </c>
      <c r="M827">
        <v>10</v>
      </c>
      <c r="N827">
        <v>4993.3999999999996</v>
      </c>
      <c r="O827">
        <v>8089.31</v>
      </c>
      <c r="P827">
        <v>104</v>
      </c>
      <c r="Q827">
        <v>53133.91</v>
      </c>
      <c r="R827" t="s">
        <v>54</v>
      </c>
      <c r="S827" t="s">
        <v>34</v>
      </c>
      <c r="T827" t="s">
        <v>76</v>
      </c>
      <c r="U827" t="s">
        <v>77</v>
      </c>
      <c r="V827" t="s">
        <v>57</v>
      </c>
      <c r="W827">
        <v>1</v>
      </c>
      <c r="X827" t="s">
        <v>38</v>
      </c>
      <c r="Y827">
        <v>4</v>
      </c>
      <c r="Z827" t="s">
        <v>58</v>
      </c>
    </row>
    <row r="828" spans="1:26" x14ac:dyDescent="0.3">
      <c r="A828" t="s">
        <v>1454</v>
      </c>
      <c r="B828" s="2">
        <v>46043</v>
      </c>
      <c r="C828" t="s">
        <v>874</v>
      </c>
      <c r="D828" t="s">
        <v>80</v>
      </c>
      <c r="E828" t="s">
        <v>43</v>
      </c>
      <c r="F828">
        <v>38</v>
      </c>
      <c r="G828" t="s">
        <v>51</v>
      </c>
      <c r="H828" t="s">
        <v>52</v>
      </c>
      <c r="I828" t="s">
        <v>51</v>
      </c>
      <c r="J828" t="s">
        <v>53</v>
      </c>
      <c r="K828">
        <v>4</v>
      </c>
      <c r="L828">
        <v>33363</v>
      </c>
      <c r="M828">
        <v>0</v>
      </c>
      <c r="N828">
        <v>0</v>
      </c>
      <c r="O828">
        <v>24021.360000000001</v>
      </c>
      <c r="P828">
        <v>353</v>
      </c>
      <c r="Q828">
        <v>157826.35999999999</v>
      </c>
      <c r="R828" t="s">
        <v>83</v>
      </c>
      <c r="S828" t="s">
        <v>63</v>
      </c>
      <c r="T828" t="s">
        <v>70</v>
      </c>
      <c r="U828" t="s">
        <v>56</v>
      </c>
      <c r="V828" t="s">
        <v>57</v>
      </c>
      <c r="W828">
        <v>1</v>
      </c>
      <c r="X828" t="s">
        <v>38</v>
      </c>
      <c r="Y828">
        <v>2</v>
      </c>
      <c r="Z828" t="s">
        <v>91</v>
      </c>
    </row>
    <row r="829" spans="1:26" x14ac:dyDescent="0.3">
      <c r="A829" t="s">
        <v>1455</v>
      </c>
      <c r="B829" s="2">
        <v>45887</v>
      </c>
      <c r="C829" t="s">
        <v>131</v>
      </c>
      <c r="D829" t="s">
        <v>42</v>
      </c>
      <c r="E829" t="s">
        <v>43</v>
      </c>
      <c r="F829">
        <v>38</v>
      </c>
      <c r="G829" t="s">
        <v>51</v>
      </c>
      <c r="H829" t="s">
        <v>52</v>
      </c>
      <c r="I829" t="s">
        <v>51</v>
      </c>
      <c r="J829" t="s">
        <v>201</v>
      </c>
      <c r="K829">
        <v>3</v>
      </c>
      <c r="L829">
        <v>11118</v>
      </c>
      <c r="M829">
        <v>15</v>
      </c>
      <c r="N829">
        <v>5003.1000000000004</v>
      </c>
      <c r="O829">
        <v>5103.16</v>
      </c>
      <c r="P829">
        <v>443</v>
      </c>
      <c r="Q829">
        <v>33897.06</v>
      </c>
      <c r="R829" t="s">
        <v>83</v>
      </c>
      <c r="S829" t="s">
        <v>63</v>
      </c>
      <c r="T829" t="s">
        <v>84</v>
      </c>
      <c r="U829" t="s">
        <v>85</v>
      </c>
      <c r="V829" t="s">
        <v>86</v>
      </c>
      <c r="W829">
        <v>8</v>
      </c>
      <c r="X829" t="s">
        <v>38</v>
      </c>
      <c r="Y829">
        <v>3</v>
      </c>
      <c r="Z829" t="s">
        <v>91</v>
      </c>
    </row>
    <row r="830" spans="1:26" x14ac:dyDescent="0.3">
      <c r="A830" t="s">
        <v>1456</v>
      </c>
      <c r="B830" s="2">
        <v>45763</v>
      </c>
      <c r="C830" t="s">
        <v>1457</v>
      </c>
      <c r="D830" t="s">
        <v>66</v>
      </c>
      <c r="E830" t="s">
        <v>43</v>
      </c>
      <c r="F830">
        <v>59</v>
      </c>
      <c r="G830" t="s">
        <v>99</v>
      </c>
      <c r="H830" t="s">
        <v>52</v>
      </c>
      <c r="I830" t="s">
        <v>99</v>
      </c>
      <c r="J830" t="s">
        <v>32</v>
      </c>
      <c r="K830">
        <v>1</v>
      </c>
      <c r="L830">
        <v>34518</v>
      </c>
      <c r="M830">
        <v>0</v>
      </c>
      <c r="N830">
        <v>0</v>
      </c>
      <c r="O830">
        <v>6213.24</v>
      </c>
      <c r="P830">
        <v>91</v>
      </c>
      <c r="Q830">
        <v>40822.239999999998</v>
      </c>
      <c r="R830" t="s">
        <v>54</v>
      </c>
      <c r="S830" t="s">
        <v>63</v>
      </c>
      <c r="T830" t="s">
        <v>76</v>
      </c>
      <c r="U830" t="s">
        <v>77</v>
      </c>
      <c r="V830" t="s">
        <v>57</v>
      </c>
      <c r="W830">
        <v>8</v>
      </c>
      <c r="X830" t="s">
        <v>47</v>
      </c>
      <c r="Y830">
        <v>5</v>
      </c>
      <c r="Z830" t="s">
        <v>91</v>
      </c>
    </row>
    <row r="831" spans="1:26" x14ac:dyDescent="0.3">
      <c r="A831" t="s">
        <v>1458</v>
      </c>
      <c r="B831" s="2">
        <v>45942</v>
      </c>
      <c r="C831" t="s">
        <v>231</v>
      </c>
      <c r="D831" t="s">
        <v>111</v>
      </c>
      <c r="E831" t="s">
        <v>29</v>
      </c>
      <c r="F831">
        <v>56</v>
      </c>
      <c r="G831" t="s">
        <v>30</v>
      </c>
      <c r="H831" t="s">
        <v>31</v>
      </c>
      <c r="I831" t="s">
        <v>30</v>
      </c>
      <c r="J831" t="s">
        <v>53</v>
      </c>
      <c r="K831">
        <v>3</v>
      </c>
      <c r="L831">
        <v>30273</v>
      </c>
      <c r="M831">
        <v>10</v>
      </c>
      <c r="N831">
        <v>9081.9</v>
      </c>
      <c r="O831">
        <v>14712.68</v>
      </c>
      <c r="P831">
        <v>294</v>
      </c>
      <c r="Q831">
        <v>96743.78</v>
      </c>
      <c r="R831" t="s">
        <v>33</v>
      </c>
      <c r="S831" t="s">
        <v>63</v>
      </c>
      <c r="T831" t="s">
        <v>46</v>
      </c>
      <c r="U831" t="s">
        <v>36</v>
      </c>
      <c r="V831" t="s">
        <v>37</v>
      </c>
      <c r="W831">
        <v>8</v>
      </c>
      <c r="X831" t="s">
        <v>47</v>
      </c>
      <c r="Y831">
        <v>5</v>
      </c>
      <c r="Z831" t="s">
        <v>47</v>
      </c>
    </row>
    <row r="832" spans="1:26" x14ac:dyDescent="0.3">
      <c r="A832" t="s">
        <v>1459</v>
      </c>
      <c r="B832" s="2">
        <v>46049</v>
      </c>
      <c r="C832" t="s">
        <v>711</v>
      </c>
      <c r="D832" t="s">
        <v>73</v>
      </c>
      <c r="E832" t="s">
        <v>29</v>
      </c>
      <c r="F832">
        <v>42</v>
      </c>
      <c r="G832" t="s">
        <v>74</v>
      </c>
      <c r="H832" t="s">
        <v>31</v>
      </c>
      <c r="I832" t="s">
        <v>74</v>
      </c>
      <c r="J832" t="s">
        <v>112</v>
      </c>
      <c r="K832">
        <v>2</v>
      </c>
      <c r="L832">
        <v>11342</v>
      </c>
      <c r="M832">
        <v>10</v>
      </c>
      <c r="N832">
        <v>2268.4</v>
      </c>
      <c r="O832">
        <v>3674.81</v>
      </c>
      <c r="P832">
        <v>459</v>
      </c>
      <c r="Q832">
        <v>24549.41</v>
      </c>
      <c r="R832" t="s">
        <v>33</v>
      </c>
      <c r="S832" t="s">
        <v>34</v>
      </c>
      <c r="T832" t="s">
        <v>95</v>
      </c>
      <c r="U832" t="s">
        <v>96</v>
      </c>
      <c r="V832" t="s">
        <v>57</v>
      </c>
      <c r="W832">
        <v>7</v>
      </c>
      <c r="X832" t="s">
        <v>38</v>
      </c>
      <c r="Y832">
        <v>1</v>
      </c>
      <c r="Z832" t="s">
        <v>58</v>
      </c>
    </row>
    <row r="833" spans="1:26" x14ac:dyDescent="0.3">
      <c r="A833" t="s">
        <v>1460</v>
      </c>
      <c r="B833" s="2">
        <v>45892</v>
      </c>
      <c r="C833" t="s">
        <v>881</v>
      </c>
      <c r="D833" t="s">
        <v>50</v>
      </c>
      <c r="E833" t="s">
        <v>43</v>
      </c>
      <c r="F833">
        <v>58</v>
      </c>
      <c r="G833" t="s">
        <v>94</v>
      </c>
      <c r="H833" t="s">
        <v>31</v>
      </c>
      <c r="I833" t="s">
        <v>94</v>
      </c>
      <c r="J833" t="s">
        <v>75</v>
      </c>
      <c r="K833">
        <v>1</v>
      </c>
      <c r="L833">
        <v>48064</v>
      </c>
      <c r="M833">
        <v>20</v>
      </c>
      <c r="N833">
        <v>9612.7999999999993</v>
      </c>
      <c r="O833">
        <v>6921.22</v>
      </c>
      <c r="P833">
        <v>115</v>
      </c>
      <c r="Q833">
        <v>45487.42</v>
      </c>
      <c r="R833" t="s">
        <v>33</v>
      </c>
      <c r="S833" t="s">
        <v>34</v>
      </c>
      <c r="T833" t="s">
        <v>103</v>
      </c>
      <c r="U833" t="s">
        <v>103</v>
      </c>
      <c r="V833" t="s">
        <v>57</v>
      </c>
      <c r="W833">
        <v>1</v>
      </c>
      <c r="X833" t="s">
        <v>47</v>
      </c>
      <c r="Y833">
        <v>3</v>
      </c>
      <c r="Z833" t="s">
        <v>39</v>
      </c>
    </row>
    <row r="834" spans="1:26" x14ac:dyDescent="0.3">
      <c r="A834" t="s">
        <v>1461</v>
      </c>
      <c r="B834" s="2">
        <v>46014</v>
      </c>
      <c r="C834" t="s">
        <v>127</v>
      </c>
      <c r="D834" t="s">
        <v>89</v>
      </c>
      <c r="E834" t="s">
        <v>43</v>
      </c>
      <c r="F834">
        <v>35</v>
      </c>
      <c r="G834" t="s">
        <v>90</v>
      </c>
      <c r="H834" t="s">
        <v>31</v>
      </c>
      <c r="I834" t="s">
        <v>90</v>
      </c>
      <c r="J834" t="s">
        <v>201</v>
      </c>
      <c r="K834">
        <v>5</v>
      </c>
      <c r="L834">
        <v>32836</v>
      </c>
      <c r="M834">
        <v>15</v>
      </c>
      <c r="N834">
        <v>24627</v>
      </c>
      <c r="O834">
        <v>25119.54</v>
      </c>
      <c r="P834">
        <v>464</v>
      </c>
      <c r="Q834">
        <v>165136.54</v>
      </c>
      <c r="R834" t="s">
        <v>33</v>
      </c>
      <c r="S834" t="s">
        <v>63</v>
      </c>
      <c r="T834" t="s">
        <v>35</v>
      </c>
      <c r="U834" t="s">
        <v>36</v>
      </c>
      <c r="V834" t="s">
        <v>37</v>
      </c>
      <c r="W834">
        <v>3</v>
      </c>
      <c r="X834" t="s">
        <v>38</v>
      </c>
      <c r="Y834">
        <v>2</v>
      </c>
      <c r="Z834" t="s">
        <v>47</v>
      </c>
    </row>
    <row r="835" spans="1:26" x14ac:dyDescent="0.3">
      <c r="A835" t="s">
        <v>1462</v>
      </c>
      <c r="B835" s="2">
        <v>46094</v>
      </c>
      <c r="C835" t="s">
        <v>523</v>
      </c>
      <c r="D835" t="s">
        <v>73</v>
      </c>
      <c r="E835" t="s">
        <v>43</v>
      </c>
      <c r="F835">
        <v>40</v>
      </c>
      <c r="G835" t="s">
        <v>44</v>
      </c>
      <c r="H835" t="s">
        <v>31</v>
      </c>
      <c r="I835" t="s">
        <v>44</v>
      </c>
      <c r="J835" t="s">
        <v>53</v>
      </c>
      <c r="K835">
        <v>5</v>
      </c>
      <c r="L835">
        <v>43163</v>
      </c>
      <c r="M835">
        <v>10</v>
      </c>
      <c r="N835">
        <v>21581.5</v>
      </c>
      <c r="O835">
        <v>34962.03</v>
      </c>
      <c r="P835">
        <v>202</v>
      </c>
      <c r="Q835">
        <v>229397.53</v>
      </c>
      <c r="R835" t="s">
        <v>54</v>
      </c>
      <c r="S835" t="s">
        <v>63</v>
      </c>
      <c r="T835" t="s">
        <v>46</v>
      </c>
      <c r="U835" t="s">
        <v>36</v>
      </c>
      <c r="V835" t="s">
        <v>37</v>
      </c>
      <c r="W835">
        <v>1</v>
      </c>
      <c r="X835" t="s">
        <v>38</v>
      </c>
      <c r="Y835">
        <v>5</v>
      </c>
      <c r="Z835" t="s">
        <v>91</v>
      </c>
    </row>
    <row r="836" spans="1:26" x14ac:dyDescent="0.3">
      <c r="A836" t="s">
        <v>1463</v>
      </c>
      <c r="B836" s="2">
        <v>45792</v>
      </c>
      <c r="C836" t="s">
        <v>1464</v>
      </c>
      <c r="D836" t="s">
        <v>108</v>
      </c>
      <c r="E836" t="s">
        <v>29</v>
      </c>
      <c r="F836">
        <v>29</v>
      </c>
      <c r="G836" t="s">
        <v>94</v>
      </c>
      <c r="H836" t="s">
        <v>31</v>
      </c>
      <c r="I836" t="s">
        <v>94</v>
      </c>
      <c r="J836" t="s">
        <v>75</v>
      </c>
      <c r="K836">
        <v>1</v>
      </c>
      <c r="L836">
        <v>31573</v>
      </c>
      <c r="M836">
        <v>10</v>
      </c>
      <c r="N836">
        <v>3157.3</v>
      </c>
      <c r="O836">
        <v>5114.83</v>
      </c>
      <c r="P836">
        <v>152</v>
      </c>
      <c r="Q836">
        <v>33682.53</v>
      </c>
      <c r="R836" t="s">
        <v>54</v>
      </c>
      <c r="S836" t="s">
        <v>34</v>
      </c>
      <c r="T836" t="s">
        <v>55</v>
      </c>
      <c r="U836" t="s">
        <v>56</v>
      </c>
      <c r="V836" t="s">
        <v>57</v>
      </c>
      <c r="W836">
        <v>4</v>
      </c>
      <c r="X836" t="s">
        <v>47</v>
      </c>
      <c r="Y836">
        <v>1</v>
      </c>
      <c r="Z836" t="s">
        <v>39</v>
      </c>
    </row>
    <row r="837" spans="1:26" x14ac:dyDescent="0.3">
      <c r="A837" t="s">
        <v>1465</v>
      </c>
      <c r="B837" s="2">
        <v>45956</v>
      </c>
      <c r="C837" t="s">
        <v>1466</v>
      </c>
      <c r="D837" t="s">
        <v>89</v>
      </c>
      <c r="E837" t="s">
        <v>43</v>
      </c>
      <c r="F837">
        <v>29</v>
      </c>
      <c r="G837" t="s">
        <v>67</v>
      </c>
      <c r="H837" t="s">
        <v>68</v>
      </c>
      <c r="I837" t="s">
        <v>67</v>
      </c>
      <c r="J837" t="s">
        <v>150</v>
      </c>
      <c r="K837">
        <v>1</v>
      </c>
      <c r="L837">
        <v>48245</v>
      </c>
      <c r="M837">
        <v>20</v>
      </c>
      <c r="N837">
        <v>9649</v>
      </c>
      <c r="O837">
        <v>6947.28</v>
      </c>
      <c r="P837">
        <v>5</v>
      </c>
      <c r="Q837">
        <v>45548.28</v>
      </c>
      <c r="R837" t="s">
        <v>45</v>
      </c>
      <c r="S837" t="s">
        <v>34</v>
      </c>
      <c r="T837" t="s">
        <v>70</v>
      </c>
      <c r="U837" t="s">
        <v>56</v>
      </c>
      <c r="V837" t="s">
        <v>57</v>
      </c>
      <c r="W837">
        <v>6</v>
      </c>
      <c r="X837" t="s">
        <v>38</v>
      </c>
      <c r="Y837">
        <v>3</v>
      </c>
      <c r="Z837" t="s">
        <v>91</v>
      </c>
    </row>
    <row r="838" spans="1:26" x14ac:dyDescent="0.3">
      <c r="A838" t="s">
        <v>1467</v>
      </c>
      <c r="B838" s="2">
        <v>45968</v>
      </c>
      <c r="C838" t="s">
        <v>934</v>
      </c>
      <c r="D838" t="s">
        <v>66</v>
      </c>
      <c r="E838" t="s">
        <v>43</v>
      </c>
      <c r="F838">
        <v>27</v>
      </c>
      <c r="G838" t="s">
        <v>134</v>
      </c>
      <c r="H838" t="s">
        <v>31</v>
      </c>
      <c r="I838" t="s">
        <v>134</v>
      </c>
      <c r="J838" t="s">
        <v>69</v>
      </c>
      <c r="K838">
        <v>4</v>
      </c>
      <c r="L838">
        <v>47145</v>
      </c>
      <c r="M838">
        <v>20</v>
      </c>
      <c r="N838">
        <v>37716</v>
      </c>
      <c r="O838">
        <v>27155.52</v>
      </c>
      <c r="P838">
        <v>457</v>
      </c>
      <c r="Q838">
        <v>178476.52</v>
      </c>
      <c r="R838" t="s">
        <v>54</v>
      </c>
      <c r="S838" t="s">
        <v>63</v>
      </c>
      <c r="T838" t="s">
        <v>103</v>
      </c>
      <c r="U838" t="s">
        <v>103</v>
      </c>
      <c r="V838" t="s">
        <v>57</v>
      </c>
      <c r="W838">
        <v>1</v>
      </c>
      <c r="X838" t="s">
        <v>47</v>
      </c>
      <c r="Y838">
        <v>5</v>
      </c>
      <c r="Z838" t="s">
        <v>47</v>
      </c>
    </row>
    <row r="839" spans="1:26" x14ac:dyDescent="0.3">
      <c r="A839" t="s">
        <v>1468</v>
      </c>
      <c r="B839" s="2">
        <v>45982</v>
      </c>
      <c r="C839" t="s">
        <v>623</v>
      </c>
      <c r="D839" t="s">
        <v>66</v>
      </c>
      <c r="E839" t="s">
        <v>43</v>
      </c>
      <c r="F839">
        <v>56</v>
      </c>
      <c r="G839" t="s">
        <v>51</v>
      </c>
      <c r="H839" t="s">
        <v>52</v>
      </c>
      <c r="I839" t="s">
        <v>51</v>
      </c>
      <c r="J839" t="s">
        <v>125</v>
      </c>
      <c r="K839">
        <v>5</v>
      </c>
      <c r="L839">
        <v>25380</v>
      </c>
      <c r="M839">
        <v>0</v>
      </c>
      <c r="N839">
        <v>0</v>
      </c>
      <c r="O839">
        <v>22842</v>
      </c>
      <c r="P839">
        <v>309</v>
      </c>
      <c r="Q839">
        <v>150051</v>
      </c>
      <c r="R839" t="s">
        <v>45</v>
      </c>
      <c r="S839" t="s">
        <v>34</v>
      </c>
      <c r="T839" t="s">
        <v>46</v>
      </c>
      <c r="U839" t="s">
        <v>36</v>
      </c>
      <c r="V839" t="s">
        <v>37</v>
      </c>
      <c r="W839">
        <v>1</v>
      </c>
      <c r="X839" t="s">
        <v>47</v>
      </c>
      <c r="Y839">
        <v>2</v>
      </c>
      <c r="Z839" t="s">
        <v>58</v>
      </c>
    </row>
    <row r="840" spans="1:26" x14ac:dyDescent="0.3">
      <c r="A840" t="s">
        <v>1469</v>
      </c>
      <c r="B840" s="2">
        <v>45911</v>
      </c>
      <c r="C840" t="s">
        <v>965</v>
      </c>
      <c r="D840" t="s">
        <v>28</v>
      </c>
      <c r="E840" t="s">
        <v>29</v>
      </c>
      <c r="F840">
        <v>22</v>
      </c>
      <c r="G840" t="s">
        <v>134</v>
      </c>
      <c r="H840" t="s">
        <v>31</v>
      </c>
      <c r="I840" t="s">
        <v>134</v>
      </c>
      <c r="J840" t="s">
        <v>32</v>
      </c>
      <c r="K840">
        <v>1</v>
      </c>
      <c r="L840">
        <v>40566</v>
      </c>
      <c r="M840">
        <v>10</v>
      </c>
      <c r="N840">
        <v>4056.6</v>
      </c>
      <c r="O840">
        <v>6571.69</v>
      </c>
      <c r="P840">
        <v>112</v>
      </c>
      <c r="Q840">
        <v>43193.09</v>
      </c>
      <c r="R840" t="s">
        <v>45</v>
      </c>
      <c r="S840" t="s">
        <v>63</v>
      </c>
      <c r="T840" t="s">
        <v>55</v>
      </c>
      <c r="U840" t="s">
        <v>56</v>
      </c>
      <c r="V840" t="s">
        <v>57</v>
      </c>
      <c r="W840">
        <v>8</v>
      </c>
      <c r="X840" t="s">
        <v>47</v>
      </c>
      <c r="Y840">
        <v>2</v>
      </c>
      <c r="Z840" t="s">
        <v>47</v>
      </c>
    </row>
    <row r="841" spans="1:26" x14ac:dyDescent="0.3">
      <c r="A841" t="s">
        <v>1470</v>
      </c>
      <c r="B841" s="2">
        <v>45969</v>
      </c>
      <c r="C841" t="s">
        <v>414</v>
      </c>
      <c r="D841" t="s">
        <v>66</v>
      </c>
      <c r="E841" t="s">
        <v>43</v>
      </c>
      <c r="F841">
        <v>37</v>
      </c>
      <c r="G841" t="s">
        <v>30</v>
      </c>
      <c r="H841" t="s">
        <v>31</v>
      </c>
      <c r="I841" t="s">
        <v>30</v>
      </c>
      <c r="J841" t="s">
        <v>201</v>
      </c>
      <c r="K841">
        <v>1</v>
      </c>
      <c r="L841">
        <v>6815</v>
      </c>
      <c r="M841">
        <v>20</v>
      </c>
      <c r="N841">
        <v>1363</v>
      </c>
      <c r="O841">
        <v>981.36</v>
      </c>
      <c r="P841">
        <v>338</v>
      </c>
      <c r="Q841">
        <v>6771.36</v>
      </c>
      <c r="R841" t="s">
        <v>33</v>
      </c>
      <c r="S841" t="s">
        <v>34</v>
      </c>
      <c r="T841" t="s">
        <v>95</v>
      </c>
      <c r="U841" t="s">
        <v>96</v>
      </c>
      <c r="V841" t="s">
        <v>57</v>
      </c>
      <c r="W841">
        <v>8</v>
      </c>
      <c r="X841" t="s">
        <v>47</v>
      </c>
      <c r="Y841">
        <v>5</v>
      </c>
      <c r="Z841" t="s">
        <v>47</v>
      </c>
    </row>
    <row r="842" spans="1:26" x14ac:dyDescent="0.3">
      <c r="A842" t="s">
        <v>1471</v>
      </c>
      <c r="B842" s="2">
        <v>45931</v>
      </c>
      <c r="C842" t="s">
        <v>1472</v>
      </c>
      <c r="D842" t="s">
        <v>28</v>
      </c>
      <c r="E842" t="s">
        <v>29</v>
      </c>
      <c r="F842">
        <v>51</v>
      </c>
      <c r="G842" t="s">
        <v>30</v>
      </c>
      <c r="H842" t="s">
        <v>31</v>
      </c>
      <c r="I842" t="s">
        <v>30</v>
      </c>
      <c r="J842" t="s">
        <v>69</v>
      </c>
      <c r="K842">
        <v>3</v>
      </c>
      <c r="L842">
        <v>49678</v>
      </c>
      <c r="M842">
        <v>15</v>
      </c>
      <c r="N842">
        <v>22355.1</v>
      </c>
      <c r="O842">
        <v>22802.2</v>
      </c>
      <c r="P842">
        <v>277</v>
      </c>
      <c r="Q842">
        <v>149758.1</v>
      </c>
      <c r="R842" t="s">
        <v>45</v>
      </c>
      <c r="S842" t="s">
        <v>34</v>
      </c>
      <c r="T842" t="s">
        <v>55</v>
      </c>
      <c r="U842" t="s">
        <v>56</v>
      </c>
      <c r="V842" t="s">
        <v>57</v>
      </c>
      <c r="W842">
        <v>8</v>
      </c>
      <c r="X842" t="s">
        <v>38</v>
      </c>
      <c r="Y842">
        <v>5</v>
      </c>
      <c r="Z842" t="s">
        <v>47</v>
      </c>
    </row>
    <row r="843" spans="1:26" x14ac:dyDescent="0.3">
      <c r="A843" t="s">
        <v>1473</v>
      </c>
      <c r="B843" s="2">
        <v>45940</v>
      </c>
      <c r="C843" t="s">
        <v>1474</v>
      </c>
      <c r="D843" t="s">
        <v>108</v>
      </c>
      <c r="E843" t="s">
        <v>43</v>
      </c>
      <c r="F843">
        <v>46</v>
      </c>
      <c r="G843" t="s">
        <v>139</v>
      </c>
      <c r="H843" t="s">
        <v>31</v>
      </c>
      <c r="I843" t="s">
        <v>139</v>
      </c>
      <c r="J843" t="s">
        <v>62</v>
      </c>
      <c r="K843">
        <v>4</v>
      </c>
      <c r="L843">
        <v>21247</v>
      </c>
      <c r="M843">
        <v>5</v>
      </c>
      <c r="N843">
        <v>4249.3999999999996</v>
      </c>
      <c r="O843">
        <v>14532.95</v>
      </c>
      <c r="P843">
        <v>439</v>
      </c>
      <c r="Q843">
        <v>95710.55</v>
      </c>
      <c r="R843" t="s">
        <v>83</v>
      </c>
      <c r="S843" t="s">
        <v>63</v>
      </c>
      <c r="T843" t="s">
        <v>70</v>
      </c>
      <c r="U843" t="s">
        <v>56</v>
      </c>
      <c r="V843" t="s">
        <v>57</v>
      </c>
      <c r="W843">
        <v>5</v>
      </c>
      <c r="X843" t="s">
        <v>38</v>
      </c>
      <c r="Y843">
        <v>2</v>
      </c>
      <c r="Z843" t="s">
        <v>47</v>
      </c>
    </row>
    <row r="844" spans="1:26" x14ac:dyDescent="0.3">
      <c r="A844" t="s">
        <v>1475</v>
      </c>
      <c r="B844" s="2">
        <v>45897</v>
      </c>
      <c r="C844" t="s">
        <v>1366</v>
      </c>
      <c r="D844" t="s">
        <v>111</v>
      </c>
      <c r="E844" t="s">
        <v>43</v>
      </c>
      <c r="F844">
        <v>31</v>
      </c>
      <c r="G844" t="s">
        <v>51</v>
      </c>
      <c r="H844" t="s">
        <v>52</v>
      </c>
      <c r="I844" t="s">
        <v>51</v>
      </c>
      <c r="J844" t="s">
        <v>112</v>
      </c>
      <c r="K844">
        <v>2</v>
      </c>
      <c r="L844">
        <v>10921</v>
      </c>
      <c r="M844">
        <v>5</v>
      </c>
      <c r="N844">
        <v>1092.0999999999999</v>
      </c>
      <c r="O844">
        <v>3734.98</v>
      </c>
      <c r="P844">
        <v>395</v>
      </c>
      <c r="Q844">
        <v>24879.88</v>
      </c>
      <c r="R844" t="s">
        <v>83</v>
      </c>
      <c r="S844" t="s">
        <v>34</v>
      </c>
      <c r="T844" t="s">
        <v>70</v>
      </c>
      <c r="U844" t="s">
        <v>56</v>
      </c>
      <c r="V844" t="s">
        <v>57</v>
      </c>
      <c r="W844">
        <v>6</v>
      </c>
      <c r="X844" t="s">
        <v>38</v>
      </c>
      <c r="Y844">
        <v>2</v>
      </c>
      <c r="Z844" t="s">
        <v>58</v>
      </c>
    </row>
    <row r="845" spans="1:26" x14ac:dyDescent="0.3">
      <c r="A845" t="s">
        <v>1476</v>
      </c>
      <c r="B845" s="2">
        <v>45879</v>
      </c>
      <c r="C845" t="s">
        <v>989</v>
      </c>
      <c r="D845" t="s">
        <v>50</v>
      </c>
      <c r="E845" t="s">
        <v>43</v>
      </c>
      <c r="F845">
        <v>20</v>
      </c>
      <c r="G845" t="s">
        <v>67</v>
      </c>
      <c r="H845" t="s">
        <v>68</v>
      </c>
      <c r="I845" t="s">
        <v>67</v>
      </c>
      <c r="J845" t="s">
        <v>32</v>
      </c>
      <c r="K845">
        <v>2</v>
      </c>
      <c r="L845">
        <v>41264</v>
      </c>
      <c r="M845">
        <v>5</v>
      </c>
      <c r="N845">
        <v>4126.3999999999996</v>
      </c>
      <c r="O845">
        <v>14112.29</v>
      </c>
      <c r="P845">
        <v>7</v>
      </c>
      <c r="Q845">
        <v>92520.89</v>
      </c>
      <c r="R845" t="s">
        <v>54</v>
      </c>
      <c r="S845" t="s">
        <v>34</v>
      </c>
      <c r="T845" t="s">
        <v>103</v>
      </c>
      <c r="U845" t="s">
        <v>103</v>
      </c>
      <c r="V845" t="s">
        <v>57</v>
      </c>
      <c r="W845">
        <v>6</v>
      </c>
      <c r="X845" t="s">
        <v>47</v>
      </c>
      <c r="Y845">
        <v>5</v>
      </c>
      <c r="Z845" t="s">
        <v>91</v>
      </c>
    </row>
    <row r="846" spans="1:26" x14ac:dyDescent="0.3">
      <c r="A846" t="s">
        <v>1477</v>
      </c>
      <c r="B846" s="2">
        <v>46006</v>
      </c>
      <c r="C846" t="s">
        <v>1478</v>
      </c>
      <c r="D846" t="s">
        <v>108</v>
      </c>
      <c r="E846" t="s">
        <v>43</v>
      </c>
      <c r="F846">
        <v>37</v>
      </c>
      <c r="G846" t="s">
        <v>139</v>
      </c>
      <c r="H846" t="s">
        <v>31</v>
      </c>
      <c r="I846" t="s">
        <v>139</v>
      </c>
      <c r="J846" t="s">
        <v>112</v>
      </c>
      <c r="K846">
        <v>5</v>
      </c>
      <c r="L846">
        <v>15722</v>
      </c>
      <c r="M846">
        <v>20</v>
      </c>
      <c r="N846">
        <v>15722</v>
      </c>
      <c r="O846">
        <v>11319.84</v>
      </c>
      <c r="P846">
        <v>333</v>
      </c>
      <c r="Q846">
        <v>74540.84</v>
      </c>
      <c r="R846" t="s">
        <v>83</v>
      </c>
      <c r="S846" t="s">
        <v>34</v>
      </c>
      <c r="T846" t="s">
        <v>84</v>
      </c>
      <c r="U846" t="s">
        <v>85</v>
      </c>
      <c r="V846" t="s">
        <v>86</v>
      </c>
      <c r="W846">
        <v>7</v>
      </c>
      <c r="X846" t="s">
        <v>38</v>
      </c>
      <c r="Y846">
        <v>3</v>
      </c>
      <c r="Z846" t="s">
        <v>39</v>
      </c>
    </row>
    <row r="847" spans="1:26" x14ac:dyDescent="0.3">
      <c r="A847" t="s">
        <v>1479</v>
      </c>
      <c r="B847" s="2">
        <v>45819</v>
      </c>
      <c r="C847" t="s">
        <v>1480</v>
      </c>
      <c r="D847" t="s">
        <v>73</v>
      </c>
      <c r="E847" t="s">
        <v>29</v>
      </c>
      <c r="F847">
        <v>26</v>
      </c>
      <c r="G847" t="s">
        <v>30</v>
      </c>
      <c r="H847" t="s">
        <v>31</v>
      </c>
      <c r="I847" t="s">
        <v>30</v>
      </c>
      <c r="J847" t="s">
        <v>201</v>
      </c>
      <c r="K847">
        <v>4</v>
      </c>
      <c r="L847">
        <v>48345</v>
      </c>
      <c r="M847">
        <v>5</v>
      </c>
      <c r="N847">
        <v>9669</v>
      </c>
      <c r="O847">
        <v>33067.980000000003</v>
      </c>
      <c r="P847">
        <v>107</v>
      </c>
      <c r="Q847">
        <v>216885.98</v>
      </c>
      <c r="R847" t="s">
        <v>45</v>
      </c>
      <c r="S847" t="s">
        <v>63</v>
      </c>
      <c r="T847" t="s">
        <v>35</v>
      </c>
      <c r="U847" t="s">
        <v>36</v>
      </c>
      <c r="V847" t="s">
        <v>37</v>
      </c>
      <c r="W847">
        <v>9</v>
      </c>
      <c r="X847" t="s">
        <v>38</v>
      </c>
      <c r="Y847">
        <v>3</v>
      </c>
      <c r="Z847" t="s">
        <v>47</v>
      </c>
    </row>
    <row r="848" spans="1:26" x14ac:dyDescent="0.3">
      <c r="A848" t="s">
        <v>1481</v>
      </c>
      <c r="B848" s="2">
        <v>45891</v>
      </c>
      <c r="C848" t="s">
        <v>467</v>
      </c>
      <c r="D848" t="s">
        <v>80</v>
      </c>
      <c r="E848" t="s">
        <v>43</v>
      </c>
      <c r="F848">
        <v>59</v>
      </c>
      <c r="G848" t="s">
        <v>74</v>
      </c>
      <c r="H848" t="s">
        <v>31</v>
      </c>
      <c r="I848" t="s">
        <v>74</v>
      </c>
      <c r="J848" t="s">
        <v>201</v>
      </c>
      <c r="K848">
        <v>2</v>
      </c>
      <c r="L848">
        <v>32961</v>
      </c>
      <c r="M848">
        <v>0</v>
      </c>
      <c r="N848">
        <v>0</v>
      </c>
      <c r="O848">
        <v>11865.96</v>
      </c>
      <c r="P848">
        <v>103</v>
      </c>
      <c r="Q848">
        <v>77890.960000000006</v>
      </c>
      <c r="R848" t="s">
        <v>83</v>
      </c>
      <c r="S848" t="s">
        <v>34</v>
      </c>
      <c r="T848" t="s">
        <v>103</v>
      </c>
      <c r="U848" t="s">
        <v>103</v>
      </c>
      <c r="V848" t="s">
        <v>57</v>
      </c>
      <c r="W848">
        <v>8</v>
      </c>
      <c r="X848" t="s">
        <v>38</v>
      </c>
      <c r="Y848">
        <v>1</v>
      </c>
      <c r="Z848" t="s">
        <v>47</v>
      </c>
    </row>
    <row r="849" spans="1:26" x14ac:dyDescent="0.3">
      <c r="A849" t="s">
        <v>1482</v>
      </c>
      <c r="B849" s="2">
        <v>45965</v>
      </c>
      <c r="C849" t="s">
        <v>1483</v>
      </c>
      <c r="D849" t="s">
        <v>50</v>
      </c>
      <c r="E849" t="s">
        <v>43</v>
      </c>
      <c r="F849">
        <v>36</v>
      </c>
      <c r="G849" t="s">
        <v>99</v>
      </c>
      <c r="H849" t="s">
        <v>52</v>
      </c>
      <c r="I849" t="s">
        <v>99</v>
      </c>
      <c r="J849" t="s">
        <v>32</v>
      </c>
      <c r="K849">
        <v>3</v>
      </c>
      <c r="L849">
        <v>20711</v>
      </c>
      <c r="M849">
        <v>20</v>
      </c>
      <c r="N849">
        <v>12426.6</v>
      </c>
      <c r="O849">
        <v>8947.15</v>
      </c>
      <c r="P849">
        <v>216</v>
      </c>
      <c r="Q849">
        <v>58869.55</v>
      </c>
      <c r="R849" t="s">
        <v>33</v>
      </c>
      <c r="S849" t="s">
        <v>63</v>
      </c>
      <c r="T849" t="s">
        <v>35</v>
      </c>
      <c r="U849" t="s">
        <v>36</v>
      </c>
      <c r="V849" t="s">
        <v>37</v>
      </c>
      <c r="W849">
        <v>5</v>
      </c>
      <c r="X849" t="s">
        <v>47</v>
      </c>
      <c r="Y849">
        <v>5</v>
      </c>
      <c r="Z849" t="s">
        <v>91</v>
      </c>
    </row>
    <row r="850" spans="1:26" x14ac:dyDescent="0.3">
      <c r="A850" t="s">
        <v>1484</v>
      </c>
      <c r="B850" s="2">
        <v>45965</v>
      </c>
      <c r="C850" t="s">
        <v>1485</v>
      </c>
      <c r="D850" t="s">
        <v>61</v>
      </c>
      <c r="E850" t="s">
        <v>29</v>
      </c>
      <c r="F850">
        <v>49</v>
      </c>
      <c r="G850" t="s">
        <v>134</v>
      </c>
      <c r="H850" t="s">
        <v>31</v>
      </c>
      <c r="I850" t="s">
        <v>134</v>
      </c>
      <c r="J850" t="s">
        <v>62</v>
      </c>
      <c r="K850">
        <v>5</v>
      </c>
      <c r="L850">
        <v>19707</v>
      </c>
      <c r="M850">
        <v>10</v>
      </c>
      <c r="N850">
        <v>9853.5</v>
      </c>
      <c r="O850">
        <v>15962.67</v>
      </c>
      <c r="P850">
        <v>346</v>
      </c>
      <c r="Q850">
        <v>104990.17</v>
      </c>
      <c r="R850" t="s">
        <v>83</v>
      </c>
      <c r="S850" t="s">
        <v>63</v>
      </c>
      <c r="T850" t="s">
        <v>76</v>
      </c>
      <c r="U850" t="s">
        <v>77</v>
      </c>
      <c r="V850" t="s">
        <v>57</v>
      </c>
      <c r="W850">
        <v>4</v>
      </c>
      <c r="X850" t="s">
        <v>47</v>
      </c>
      <c r="Y850">
        <v>1</v>
      </c>
      <c r="Z850" t="s">
        <v>47</v>
      </c>
    </row>
    <row r="851" spans="1:26" x14ac:dyDescent="0.3">
      <c r="A851" t="s">
        <v>1486</v>
      </c>
      <c r="B851" s="2">
        <v>46029</v>
      </c>
      <c r="C851" t="s">
        <v>321</v>
      </c>
      <c r="D851" t="s">
        <v>73</v>
      </c>
      <c r="E851" t="s">
        <v>43</v>
      </c>
      <c r="F851">
        <v>45</v>
      </c>
      <c r="G851" t="s">
        <v>67</v>
      </c>
      <c r="H851" t="s">
        <v>68</v>
      </c>
      <c r="I851" t="s">
        <v>67</v>
      </c>
      <c r="J851" t="s">
        <v>201</v>
      </c>
      <c r="K851">
        <v>1</v>
      </c>
      <c r="L851">
        <v>37289</v>
      </c>
      <c r="M851">
        <v>20</v>
      </c>
      <c r="N851">
        <v>7457.8</v>
      </c>
      <c r="O851">
        <v>5369.62</v>
      </c>
      <c r="P851">
        <v>297</v>
      </c>
      <c r="Q851">
        <v>35497.82</v>
      </c>
      <c r="R851" t="s">
        <v>45</v>
      </c>
      <c r="S851" t="s">
        <v>63</v>
      </c>
      <c r="T851" t="s">
        <v>84</v>
      </c>
      <c r="U851" t="s">
        <v>85</v>
      </c>
      <c r="V851" t="s">
        <v>86</v>
      </c>
      <c r="W851">
        <v>6</v>
      </c>
      <c r="X851" t="s">
        <v>38</v>
      </c>
      <c r="Y851">
        <v>2</v>
      </c>
      <c r="Z851" t="s">
        <v>39</v>
      </c>
    </row>
    <row r="852" spans="1:26" x14ac:dyDescent="0.3">
      <c r="A852" t="s">
        <v>1487</v>
      </c>
      <c r="B852" s="2">
        <v>46066</v>
      </c>
      <c r="C852" t="s">
        <v>760</v>
      </c>
      <c r="D852" t="s">
        <v>28</v>
      </c>
      <c r="E852" t="s">
        <v>29</v>
      </c>
      <c r="F852">
        <v>53</v>
      </c>
      <c r="G852" t="s">
        <v>67</v>
      </c>
      <c r="H852" t="s">
        <v>68</v>
      </c>
      <c r="I852" t="s">
        <v>67</v>
      </c>
      <c r="J852" t="s">
        <v>201</v>
      </c>
      <c r="K852">
        <v>5</v>
      </c>
      <c r="L852">
        <v>35009</v>
      </c>
      <c r="M852">
        <v>0</v>
      </c>
      <c r="N852">
        <v>0</v>
      </c>
      <c r="O852">
        <v>31508.1</v>
      </c>
      <c r="P852">
        <v>316</v>
      </c>
      <c r="Q852">
        <v>206869.1</v>
      </c>
      <c r="R852" t="s">
        <v>45</v>
      </c>
      <c r="S852" t="s">
        <v>34</v>
      </c>
      <c r="T852" t="s">
        <v>46</v>
      </c>
      <c r="U852" t="s">
        <v>36</v>
      </c>
      <c r="V852" t="s">
        <v>37</v>
      </c>
      <c r="W852">
        <v>1</v>
      </c>
      <c r="X852" t="s">
        <v>47</v>
      </c>
      <c r="Y852">
        <v>3</v>
      </c>
      <c r="Z852" t="s">
        <v>58</v>
      </c>
    </row>
    <row r="853" spans="1:26" x14ac:dyDescent="0.3">
      <c r="A853" t="s">
        <v>1488</v>
      </c>
      <c r="B853" s="2">
        <v>45894</v>
      </c>
      <c r="C853" t="s">
        <v>1489</v>
      </c>
      <c r="D853" t="s">
        <v>80</v>
      </c>
      <c r="E853" t="s">
        <v>29</v>
      </c>
      <c r="F853">
        <v>30</v>
      </c>
      <c r="G853" t="s">
        <v>134</v>
      </c>
      <c r="H853" t="s">
        <v>31</v>
      </c>
      <c r="I853" t="s">
        <v>134</v>
      </c>
      <c r="J853" t="s">
        <v>150</v>
      </c>
      <c r="K853">
        <v>3</v>
      </c>
      <c r="L853">
        <v>26210</v>
      </c>
      <c r="M853">
        <v>20</v>
      </c>
      <c r="N853">
        <v>15726</v>
      </c>
      <c r="O853">
        <v>11322.72</v>
      </c>
      <c r="P853">
        <v>459</v>
      </c>
      <c r="Q853">
        <v>74685.72</v>
      </c>
      <c r="R853" t="s">
        <v>83</v>
      </c>
      <c r="S853" t="s">
        <v>34</v>
      </c>
      <c r="T853" t="s">
        <v>35</v>
      </c>
      <c r="U853" t="s">
        <v>36</v>
      </c>
      <c r="V853" t="s">
        <v>37</v>
      </c>
      <c r="W853">
        <v>2</v>
      </c>
      <c r="X853" t="s">
        <v>38</v>
      </c>
      <c r="Y853">
        <v>1</v>
      </c>
      <c r="Z853" t="s">
        <v>47</v>
      </c>
    </row>
    <row r="854" spans="1:26" x14ac:dyDescent="0.3">
      <c r="A854" t="s">
        <v>1490</v>
      </c>
      <c r="B854" s="2">
        <v>45877</v>
      </c>
      <c r="C854" t="s">
        <v>1185</v>
      </c>
      <c r="D854" t="s">
        <v>66</v>
      </c>
      <c r="E854" t="s">
        <v>29</v>
      </c>
      <c r="F854">
        <v>49</v>
      </c>
      <c r="G854" t="s">
        <v>51</v>
      </c>
      <c r="H854" t="s">
        <v>52</v>
      </c>
      <c r="I854" t="s">
        <v>51</v>
      </c>
      <c r="J854" t="s">
        <v>32</v>
      </c>
      <c r="K854">
        <v>4</v>
      </c>
      <c r="L854">
        <v>13804</v>
      </c>
      <c r="M854">
        <v>5</v>
      </c>
      <c r="N854">
        <v>2760.8</v>
      </c>
      <c r="O854">
        <v>9441.94</v>
      </c>
      <c r="P854">
        <v>349</v>
      </c>
      <c r="Q854">
        <v>62246.14</v>
      </c>
      <c r="R854" t="s">
        <v>33</v>
      </c>
      <c r="S854" t="s">
        <v>34</v>
      </c>
      <c r="T854" t="s">
        <v>70</v>
      </c>
      <c r="U854" t="s">
        <v>56</v>
      </c>
      <c r="V854" t="s">
        <v>57</v>
      </c>
      <c r="W854">
        <v>7</v>
      </c>
      <c r="X854" t="s">
        <v>47</v>
      </c>
      <c r="Y854">
        <v>5</v>
      </c>
      <c r="Z854" t="s">
        <v>47</v>
      </c>
    </row>
    <row r="855" spans="1:26" x14ac:dyDescent="0.3">
      <c r="A855" t="s">
        <v>1491</v>
      </c>
      <c r="B855" s="2">
        <v>45958</v>
      </c>
      <c r="C855" t="s">
        <v>412</v>
      </c>
      <c r="D855" t="s">
        <v>89</v>
      </c>
      <c r="E855" t="s">
        <v>43</v>
      </c>
      <c r="F855">
        <v>59</v>
      </c>
      <c r="G855" t="s">
        <v>44</v>
      </c>
      <c r="H855" t="s">
        <v>31</v>
      </c>
      <c r="I855" t="s">
        <v>44</v>
      </c>
      <c r="J855" t="s">
        <v>112</v>
      </c>
      <c r="K855">
        <v>2</v>
      </c>
      <c r="L855">
        <v>20640</v>
      </c>
      <c r="M855">
        <v>0</v>
      </c>
      <c r="N855">
        <v>0</v>
      </c>
      <c r="O855">
        <v>7430.4</v>
      </c>
      <c r="P855">
        <v>97</v>
      </c>
      <c r="Q855">
        <v>48807.4</v>
      </c>
      <c r="R855" t="s">
        <v>45</v>
      </c>
      <c r="S855" t="s">
        <v>34</v>
      </c>
      <c r="T855" t="s">
        <v>35</v>
      </c>
      <c r="U855" t="s">
        <v>36</v>
      </c>
      <c r="V855" t="s">
        <v>37</v>
      </c>
      <c r="W855">
        <v>6</v>
      </c>
      <c r="X855" t="s">
        <v>47</v>
      </c>
      <c r="Y855">
        <v>1</v>
      </c>
      <c r="Z855" t="s">
        <v>47</v>
      </c>
    </row>
    <row r="856" spans="1:26" x14ac:dyDescent="0.3">
      <c r="A856" t="s">
        <v>1492</v>
      </c>
      <c r="B856" s="2">
        <v>46085</v>
      </c>
      <c r="C856" t="s">
        <v>1493</v>
      </c>
      <c r="D856" t="s">
        <v>28</v>
      </c>
      <c r="E856" t="s">
        <v>43</v>
      </c>
      <c r="F856">
        <v>47</v>
      </c>
      <c r="G856" t="s">
        <v>67</v>
      </c>
      <c r="H856" t="s">
        <v>68</v>
      </c>
      <c r="I856" t="s">
        <v>67</v>
      </c>
      <c r="J856" t="s">
        <v>32</v>
      </c>
      <c r="K856">
        <v>4</v>
      </c>
      <c r="L856">
        <v>32637</v>
      </c>
      <c r="M856">
        <v>15</v>
      </c>
      <c r="N856">
        <v>19582.2</v>
      </c>
      <c r="O856">
        <v>19973.84</v>
      </c>
      <c r="P856">
        <v>162</v>
      </c>
      <c r="Q856">
        <v>131101.64000000001</v>
      </c>
      <c r="R856" t="s">
        <v>45</v>
      </c>
      <c r="S856" t="s">
        <v>63</v>
      </c>
      <c r="T856" t="s">
        <v>70</v>
      </c>
      <c r="U856" t="s">
        <v>56</v>
      </c>
      <c r="V856" t="s">
        <v>57</v>
      </c>
      <c r="W856">
        <v>3</v>
      </c>
      <c r="X856" t="s">
        <v>38</v>
      </c>
      <c r="Y856">
        <v>4</v>
      </c>
      <c r="Z856" t="s">
        <v>91</v>
      </c>
    </row>
    <row r="857" spans="1:26" x14ac:dyDescent="0.3">
      <c r="A857" t="s">
        <v>1494</v>
      </c>
      <c r="B857" s="2">
        <v>46105</v>
      </c>
      <c r="C857" t="s">
        <v>1495</v>
      </c>
      <c r="D857" t="s">
        <v>108</v>
      </c>
      <c r="E857" t="s">
        <v>29</v>
      </c>
      <c r="F857">
        <v>18</v>
      </c>
      <c r="G857" t="s">
        <v>67</v>
      </c>
      <c r="H857" t="s">
        <v>68</v>
      </c>
      <c r="I857" t="s">
        <v>67</v>
      </c>
      <c r="J857" t="s">
        <v>75</v>
      </c>
      <c r="K857">
        <v>5</v>
      </c>
      <c r="L857">
        <v>30196</v>
      </c>
      <c r="M857">
        <v>5</v>
      </c>
      <c r="N857">
        <v>7549</v>
      </c>
      <c r="O857">
        <v>25817.58</v>
      </c>
      <c r="P857">
        <v>472</v>
      </c>
      <c r="Q857">
        <v>169720.58</v>
      </c>
      <c r="R857" t="s">
        <v>54</v>
      </c>
      <c r="S857" t="s">
        <v>63</v>
      </c>
      <c r="T857" t="s">
        <v>70</v>
      </c>
      <c r="U857" t="s">
        <v>56</v>
      </c>
      <c r="V857" t="s">
        <v>57</v>
      </c>
      <c r="W857">
        <v>6</v>
      </c>
      <c r="X857" t="s">
        <v>38</v>
      </c>
      <c r="Y857">
        <v>1</v>
      </c>
      <c r="Z857" t="s">
        <v>47</v>
      </c>
    </row>
    <row r="858" spans="1:26" x14ac:dyDescent="0.3">
      <c r="A858" t="s">
        <v>1496</v>
      </c>
      <c r="B858" s="2">
        <v>45844</v>
      </c>
      <c r="C858" t="s">
        <v>1497</v>
      </c>
      <c r="D858" t="s">
        <v>108</v>
      </c>
      <c r="E858" t="s">
        <v>43</v>
      </c>
      <c r="F858">
        <v>21</v>
      </c>
      <c r="G858" t="s">
        <v>94</v>
      </c>
      <c r="H858" t="s">
        <v>31</v>
      </c>
      <c r="I858" t="s">
        <v>94</v>
      </c>
      <c r="J858" t="s">
        <v>150</v>
      </c>
      <c r="K858">
        <v>2</v>
      </c>
      <c r="L858">
        <v>22407</v>
      </c>
      <c r="M858">
        <v>5</v>
      </c>
      <c r="N858">
        <v>2240.6999999999998</v>
      </c>
      <c r="O858">
        <v>7663.19</v>
      </c>
      <c r="P858">
        <v>46</v>
      </c>
      <c r="Q858">
        <v>50282.49</v>
      </c>
      <c r="R858" t="s">
        <v>54</v>
      </c>
      <c r="S858" t="s">
        <v>34</v>
      </c>
      <c r="T858" t="s">
        <v>95</v>
      </c>
      <c r="U858" t="s">
        <v>96</v>
      </c>
      <c r="V858" t="s">
        <v>57</v>
      </c>
      <c r="W858">
        <v>4</v>
      </c>
      <c r="X858" t="s">
        <v>38</v>
      </c>
      <c r="Y858">
        <v>1</v>
      </c>
      <c r="Z858" t="s">
        <v>47</v>
      </c>
    </row>
    <row r="859" spans="1:26" x14ac:dyDescent="0.3">
      <c r="A859" t="s">
        <v>1498</v>
      </c>
      <c r="B859" s="2">
        <v>45767</v>
      </c>
      <c r="C859" t="s">
        <v>1499</v>
      </c>
      <c r="D859" t="s">
        <v>28</v>
      </c>
      <c r="E859" t="s">
        <v>43</v>
      </c>
      <c r="F859">
        <v>25</v>
      </c>
      <c r="G859" t="s">
        <v>134</v>
      </c>
      <c r="H859" t="s">
        <v>31</v>
      </c>
      <c r="I859" t="s">
        <v>134</v>
      </c>
      <c r="J859" t="s">
        <v>125</v>
      </c>
      <c r="K859">
        <v>4</v>
      </c>
      <c r="L859">
        <v>21850</v>
      </c>
      <c r="M859">
        <v>15</v>
      </c>
      <c r="N859">
        <v>13110</v>
      </c>
      <c r="O859">
        <v>13372.2</v>
      </c>
      <c r="P859">
        <v>303</v>
      </c>
      <c r="Q859">
        <v>87965.2</v>
      </c>
      <c r="R859" t="s">
        <v>45</v>
      </c>
      <c r="S859" t="s">
        <v>34</v>
      </c>
      <c r="T859" t="s">
        <v>95</v>
      </c>
      <c r="U859" t="s">
        <v>96</v>
      </c>
      <c r="V859" t="s">
        <v>57</v>
      </c>
      <c r="W859">
        <v>9</v>
      </c>
      <c r="X859" t="s">
        <v>47</v>
      </c>
      <c r="Y859">
        <v>3</v>
      </c>
      <c r="Z859" t="s">
        <v>91</v>
      </c>
    </row>
    <row r="860" spans="1:26" x14ac:dyDescent="0.3">
      <c r="A860" t="s">
        <v>1500</v>
      </c>
      <c r="B860" s="2">
        <v>45927</v>
      </c>
      <c r="C860" t="s">
        <v>1501</v>
      </c>
      <c r="D860" t="s">
        <v>111</v>
      </c>
      <c r="E860" t="s">
        <v>29</v>
      </c>
      <c r="F860">
        <v>31</v>
      </c>
      <c r="G860" t="s">
        <v>90</v>
      </c>
      <c r="H860" t="s">
        <v>31</v>
      </c>
      <c r="I860" t="s">
        <v>90</v>
      </c>
      <c r="J860" t="s">
        <v>69</v>
      </c>
      <c r="K860">
        <v>1</v>
      </c>
      <c r="L860">
        <v>24965</v>
      </c>
      <c r="M860">
        <v>20</v>
      </c>
      <c r="N860">
        <v>4993</v>
      </c>
      <c r="O860">
        <v>3594.96</v>
      </c>
      <c r="P860">
        <v>431</v>
      </c>
      <c r="Q860">
        <v>23997.96</v>
      </c>
      <c r="R860" t="s">
        <v>33</v>
      </c>
      <c r="S860" t="s">
        <v>34</v>
      </c>
      <c r="T860" t="s">
        <v>70</v>
      </c>
      <c r="U860" t="s">
        <v>56</v>
      </c>
      <c r="V860" t="s">
        <v>57</v>
      </c>
      <c r="W860">
        <v>1</v>
      </c>
      <c r="X860" t="s">
        <v>47</v>
      </c>
      <c r="Y860">
        <v>1</v>
      </c>
      <c r="Z860" t="s">
        <v>39</v>
      </c>
    </row>
    <row r="861" spans="1:26" x14ac:dyDescent="0.3">
      <c r="A861" t="s">
        <v>1502</v>
      </c>
      <c r="B861" s="2">
        <v>45993</v>
      </c>
      <c r="C861" t="s">
        <v>553</v>
      </c>
      <c r="D861" t="s">
        <v>73</v>
      </c>
      <c r="E861" t="s">
        <v>43</v>
      </c>
      <c r="F861">
        <v>24</v>
      </c>
      <c r="G861" t="s">
        <v>134</v>
      </c>
      <c r="H861" t="s">
        <v>31</v>
      </c>
      <c r="I861" t="s">
        <v>134</v>
      </c>
      <c r="J861" t="s">
        <v>150</v>
      </c>
      <c r="K861">
        <v>2</v>
      </c>
      <c r="L861">
        <v>44956</v>
      </c>
      <c r="M861">
        <v>15</v>
      </c>
      <c r="N861">
        <v>13486.8</v>
      </c>
      <c r="O861">
        <v>13756.54</v>
      </c>
      <c r="P861">
        <v>136</v>
      </c>
      <c r="Q861">
        <v>90317.74</v>
      </c>
      <c r="R861" t="s">
        <v>54</v>
      </c>
      <c r="S861" t="s">
        <v>63</v>
      </c>
      <c r="T861" t="s">
        <v>35</v>
      </c>
      <c r="U861" t="s">
        <v>36</v>
      </c>
      <c r="V861" t="s">
        <v>37</v>
      </c>
      <c r="W861">
        <v>1</v>
      </c>
      <c r="X861" t="s">
        <v>38</v>
      </c>
      <c r="Y861">
        <v>2</v>
      </c>
      <c r="Z861" t="s">
        <v>39</v>
      </c>
    </row>
    <row r="862" spans="1:26" x14ac:dyDescent="0.3">
      <c r="A862" t="s">
        <v>1503</v>
      </c>
      <c r="B862" s="2">
        <v>45792</v>
      </c>
      <c r="C862" t="s">
        <v>1504</v>
      </c>
      <c r="D862" t="s">
        <v>111</v>
      </c>
      <c r="E862" t="s">
        <v>29</v>
      </c>
      <c r="F862">
        <v>57</v>
      </c>
      <c r="G862" t="s">
        <v>90</v>
      </c>
      <c r="H862" t="s">
        <v>31</v>
      </c>
      <c r="I862" t="s">
        <v>90</v>
      </c>
      <c r="J862" t="s">
        <v>32</v>
      </c>
      <c r="K862">
        <v>3</v>
      </c>
      <c r="L862">
        <v>42360</v>
      </c>
      <c r="M862">
        <v>15</v>
      </c>
      <c r="N862">
        <v>19062</v>
      </c>
      <c r="O862">
        <v>19443.240000000002</v>
      </c>
      <c r="P862">
        <v>46</v>
      </c>
      <c r="Q862">
        <v>127507.24</v>
      </c>
      <c r="R862" t="s">
        <v>45</v>
      </c>
      <c r="S862" t="s">
        <v>34</v>
      </c>
      <c r="T862" t="s">
        <v>70</v>
      </c>
      <c r="U862" t="s">
        <v>56</v>
      </c>
      <c r="V862" t="s">
        <v>57</v>
      </c>
      <c r="W862">
        <v>6</v>
      </c>
      <c r="X862" t="s">
        <v>47</v>
      </c>
      <c r="Y862">
        <v>1</v>
      </c>
      <c r="Z862" t="s">
        <v>91</v>
      </c>
    </row>
    <row r="863" spans="1:26" x14ac:dyDescent="0.3">
      <c r="A863" t="s">
        <v>1505</v>
      </c>
      <c r="B863" s="2">
        <v>46065</v>
      </c>
      <c r="C863" t="s">
        <v>1077</v>
      </c>
      <c r="D863" t="s">
        <v>61</v>
      </c>
      <c r="E863" t="s">
        <v>43</v>
      </c>
      <c r="F863">
        <v>39</v>
      </c>
      <c r="G863" t="s">
        <v>99</v>
      </c>
      <c r="H863" t="s">
        <v>52</v>
      </c>
      <c r="I863" t="s">
        <v>99</v>
      </c>
      <c r="J863" t="s">
        <v>62</v>
      </c>
      <c r="K863">
        <v>2</v>
      </c>
      <c r="L863">
        <v>26834</v>
      </c>
      <c r="M863">
        <v>20</v>
      </c>
      <c r="N863">
        <v>10733.6</v>
      </c>
      <c r="O863">
        <v>7728.19</v>
      </c>
      <c r="P863">
        <v>488</v>
      </c>
      <c r="Q863">
        <v>51150.59</v>
      </c>
      <c r="R863" t="s">
        <v>54</v>
      </c>
      <c r="S863" t="s">
        <v>34</v>
      </c>
      <c r="T863" t="s">
        <v>35</v>
      </c>
      <c r="U863" t="s">
        <v>36</v>
      </c>
      <c r="V863" t="s">
        <v>37</v>
      </c>
      <c r="W863">
        <v>8</v>
      </c>
      <c r="X863" t="s">
        <v>47</v>
      </c>
      <c r="Y863">
        <v>4</v>
      </c>
      <c r="Z863" t="s">
        <v>91</v>
      </c>
    </row>
    <row r="864" spans="1:26" x14ac:dyDescent="0.3">
      <c r="A864" t="s">
        <v>1506</v>
      </c>
      <c r="B864" s="2">
        <v>45801</v>
      </c>
      <c r="C864" t="s">
        <v>375</v>
      </c>
      <c r="D864" t="s">
        <v>111</v>
      </c>
      <c r="E864" t="s">
        <v>43</v>
      </c>
      <c r="F864">
        <v>52</v>
      </c>
      <c r="G864" t="s">
        <v>44</v>
      </c>
      <c r="H864" t="s">
        <v>31</v>
      </c>
      <c r="I864" t="s">
        <v>44</v>
      </c>
      <c r="J864" t="s">
        <v>32</v>
      </c>
      <c r="K864">
        <v>4</v>
      </c>
      <c r="L864">
        <v>43417</v>
      </c>
      <c r="M864">
        <v>20</v>
      </c>
      <c r="N864">
        <v>34733.599999999999</v>
      </c>
      <c r="O864">
        <v>25008.19</v>
      </c>
      <c r="P864">
        <v>360</v>
      </c>
      <c r="Q864">
        <v>164302.59</v>
      </c>
      <c r="R864" t="s">
        <v>33</v>
      </c>
      <c r="S864" t="s">
        <v>63</v>
      </c>
      <c r="T864" t="s">
        <v>35</v>
      </c>
      <c r="U864" t="s">
        <v>36</v>
      </c>
      <c r="V864" t="s">
        <v>37</v>
      </c>
      <c r="W864">
        <v>5</v>
      </c>
      <c r="X864" t="s">
        <v>38</v>
      </c>
      <c r="Y864">
        <v>1</v>
      </c>
      <c r="Z864" t="s">
        <v>91</v>
      </c>
    </row>
    <row r="865" spans="1:26" x14ac:dyDescent="0.3">
      <c r="A865" t="s">
        <v>1507</v>
      </c>
      <c r="B865" s="2">
        <v>46078</v>
      </c>
      <c r="C865" t="s">
        <v>1508</v>
      </c>
      <c r="D865" t="s">
        <v>108</v>
      </c>
      <c r="E865" t="s">
        <v>29</v>
      </c>
      <c r="F865">
        <v>33</v>
      </c>
      <c r="G865" t="s">
        <v>67</v>
      </c>
      <c r="H865" t="s">
        <v>68</v>
      </c>
      <c r="I865" t="s">
        <v>67</v>
      </c>
      <c r="J865" t="s">
        <v>75</v>
      </c>
      <c r="K865">
        <v>5</v>
      </c>
      <c r="L865">
        <v>36728</v>
      </c>
      <c r="M865">
        <v>10</v>
      </c>
      <c r="N865">
        <v>18364</v>
      </c>
      <c r="O865">
        <v>29749.68</v>
      </c>
      <c r="P865">
        <v>119</v>
      </c>
      <c r="Q865">
        <v>195144.68</v>
      </c>
      <c r="R865" t="s">
        <v>54</v>
      </c>
      <c r="S865" t="s">
        <v>63</v>
      </c>
      <c r="T865" t="s">
        <v>103</v>
      </c>
      <c r="U865" t="s">
        <v>103</v>
      </c>
      <c r="V865" t="s">
        <v>57</v>
      </c>
      <c r="W865">
        <v>1</v>
      </c>
      <c r="X865" t="s">
        <v>47</v>
      </c>
      <c r="Y865">
        <v>4</v>
      </c>
      <c r="Z865" t="s">
        <v>39</v>
      </c>
    </row>
    <row r="866" spans="1:26" x14ac:dyDescent="0.3">
      <c r="A866" t="s">
        <v>1509</v>
      </c>
      <c r="B866" s="2">
        <v>45792</v>
      </c>
      <c r="C866" t="s">
        <v>1291</v>
      </c>
      <c r="D866" t="s">
        <v>108</v>
      </c>
      <c r="E866" t="s">
        <v>29</v>
      </c>
      <c r="F866">
        <v>25</v>
      </c>
      <c r="G866" t="s">
        <v>94</v>
      </c>
      <c r="H866" t="s">
        <v>31</v>
      </c>
      <c r="I866" t="s">
        <v>94</v>
      </c>
      <c r="J866" t="s">
        <v>125</v>
      </c>
      <c r="K866">
        <v>1</v>
      </c>
      <c r="L866">
        <v>41533</v>
      </c>
      <c r="M866">
        <v>0</v>
      </c>
      <c r="N866">
        <v>0</v>
      </c>
      <c r="O866">
        <v>7475.94</v>
      </c>
      <c r="P866">
        <v>229</v>
      </c>
      <c r="Q866">
        <v>49237.94</v>
      </c>
      <c r="R866" t="s">
        <v>83</v>
      </c>
      <c r="S866" t="s">
        <v>34</v>
      </c>
      <c r="T866" t="s">
        <v>46</v>
      </c>
      <c r="U866" t="s">
        <v>36</v>
      </c>
      <c r="V866" t="s">
        <v>37</v>
      </c>
      <c r="W866">
        <v>2</v>
      </c>
      <c r="X866" t="s">
        <v>47</v>
      </c>
      <c r="Y866">
        <v>5</v>
      </c>
      <c r="Z866" t="s">
        <v>91</v>
      </c>
    </row>
    <row r="867" spans="1:26" x14ac:dyDescent="0.3">
      <c r="A867" t="s">
        <v>1510</v>
      </c>
      <c r="B867" s="2">
        <v>46116</v>
      </c>
      <c r="C867" t="s">
        <v>1511</v>
      </c>
      <c r="D867" t="s">
        <v>28</v>
      </c>
      <c r="E867" t="s">
        <v>29</v>
      </c>
      <c r="F867">
        <v>55</v>
      </c>
      <c r="G867" t="s">
        <v>90</v>
      </c>
      <c r="H867" t="s">
        <v>31</v>
      </c>
      <c r="I867" t="s">
        <v>90</v>
      </c>
      <c r="J867" t="s">
        <v>112</v>
      </c>
      <c r="K867">
        <v>5</v>
      </c>
      <c r="L867">
        <v>30419</v>
      </c>
      <c r="M867">
        <v>10</v>
      </c>
      <c r="N867">
        <v>15209.5</v>
      </c>
      <c r="O867">
        <v>24639.39</v>
      </c>
      <c r="P867">
        <v>45</v>
      </c>
      <c r="Q867">
        <v>161569.89000000001</v>
      </c>
      <c r="R867" t="s">
        <v>45</v>
      </c>
      <c r="S867" t="s">
        <v>34</v>
      </c>
      <c r="T867" t="s">
        <v>46</v>
      </c>
      <c r="U867" t="s">
        <v>36</v>
      </c>
      <c r="V867" t="s">
        <v>37</v>
      </c>
      <c r="W867">
        <v>3</v>
      </c>
      <c r="X867" t="s">
        <v>38</v>
      </c>
      <c r="Y867">
        <v>4</v>
      </c>
      <c r="Z867" t="s">
        <v>91</v>
      </c>
    </row>
    <row r="868" spans="1:26" x14ac:dyDescent="0.3">
      <c r="A868" t="s">
        <v>1512</v>
      </c>
      <c r="B868" s="2">
        <v>45774</v>
      </c>
      <c r="C868" t="s">
        <v>1513</v>
      </c>
      <c r="D868" t="s">
        <v>73</v>
      </c>
      <c r="E868" t="s">
        <v>43</v>
      </c>
      <c r="F868">
        <v>24</v>
      </c>
      <c r="G868" t="s">
        <v>74</v>
      </c>
      <c r="H868" t="s">
        <v>31</v>
      </c>
      <c r="I868" t="s">
        <v>74</v>
      </c>
      <c r="J868" t="s">
        <v>102</v>
      </c>
      <c r="K868">
        <v>3</v>
      </c>
      <c r="L868">
        <v>41505</v>
      </c>
      <c r="M868">
        <v>20</v>
      </c>
      <c r="N868">
        <v>24903</v>
      </c>
      <c r="O868">
        <v>17930.16</v>
      </c>
      <c r="P868">
        <v>297</v>
      </c>
      <c r="Q868">
        <v>117839.16</v>
      </c>
      <c r="R868" t="s">
        <v>33</v>
      </c>
      <c r="S868" t="s">
        <v>63</v>
      </c>
      <c r="T868" t="s">
        <v>35</v>
      </c>
      <c r="U868" t="s">
        <v>36</v>
      </c>
      <c r="V868" t="s">
        <v>37</v>
      </c>
      <c r="W868">
        <v>1</v>
      </c>
      <c r="X868" t="s">
        <v>38</v>
      </c>
      <c r="Y868">
        <v>3</v>
      </c>
      <c r="Z868" t="s">
        <v>39</v>
      </c>
    </row>
    <row r="869" spans="1:26" x14ac:dyDescent="0.3">
      <c r="A869" t="s">
        <v>1514</v>
      </c>
      <c r="B869" s="2">
        <v>45759</v>
      </c>
      <c r="C869" t="s">
        <v>1515</v>
      </c>
      <c r="D869" t="s">
        <v>42</v>
      </c>
      <c r="E869" t="s">
        <v>29</v>
      </c>
      <c r="F869">
        <v>49</v>
      </c>
      <c r="G869" t="s">
        <v>51</v>
      </c>
      <c r="H869" t="s">
        <v>52</v>
      </c>
      <c r="I869" t="s">
        <v>51</v>
      </c>
      <c r="J869" t="s">
        <v>32</v>
      </c>
      <c r="K869">
        <v>3</v>
      </c>
      <c r="L869">
        <v>5310</v>
      </c>
      <c r="M869">
        <v>10</v>
      </c>
      <c r="N869">
        <v>1593</v>
      </c>
      <c r="O869">
        <v>2580.66</v>
      </c>
      <c r="P869">
        <v>400</v>
      </c>
      <c r="Q869">
        <v>17317.66</v>
      </c>
      <c r="R869" t="s">
        <v>33</v>
      </c>
      <c r="S869" t="s">
        <v>63</v>
      </c>
      <c r="T869" t="s">
        <v>103</v>
      </c>
      <c r="U869" t="s">
        <v>103</v>
      </c>
      <c r="V869" t="s">
        <v>57</v>
      </c>
      <c r="W869">
        <v>6</v>
      </c>
      <c r="X869" t="s">
        <v>38</v>
      </c>
      <c r="Y869">
        <v>5</v>
      </c>
      <c r="Z869" t="s">
        <v>47</v>
      </c>
    </row>
    <row r="870" spans="1:26" x14ac:dyDescent="0.3">
      <c r="A870" t="s">
        <v>1516</v>
      </c>
      <c r="B870" s="2">
        <v>46012</v>
      </c>
      <c r="C870" t="s">
        <v>239</v>
      </c>
      <c r="D870" t="s">
        <v>108</v>
      </c>
      <c r="E870" t="s">
        <v>43</v>
      </c>
      <c r="F870">
        <v>32</v>
      </c>
      <c r="G870" t="s">
        <v>134</v>
      </c>
      <c r="H870" t="s">
        <v>31</v>
      </c>
      <c r="I870" t="s">
        <v>134</v>
      </c>
      <c r="J870" t="s">
        <v>150</v>
      </c>
      <c r="K870">
        <v>4</v>
      </c>
      <c r="L870">
        <v>14528</v>
      </c>
      <c r="M870">
        <v>20</v>
      </c>
      <c r="N870">
        <v>11622.4</v>
      </c>
      <c r="O870">
        <v>8368.1299999999992</v>
      </c>
      <c r="P870">
        <v>121</v>
      </c>
      <c r="Q870">
        <v>54978.73</v>
      </c>
      <c r="R870" t="s">
        <v>45</v>
      </c>
      <c r="S870" t="s">
        <v>34</v>
      </c>
      <c r="T870" t="s">
        <v>55</v>
      </c>
      <c r="U870" t="s">
        <v>56</v>
      </c>
      <c r="V870" t="s">
        <v>57</v>
      </c>
      <c r="W870">
        <v>7</v>
      </c>
      <c r="X870" t="s">
        <v>38</v>
      </c>
      <c r="Y870">
        <v>5</v>
      </c>
      <c r="Z870" t="s">
        <v>58</v>
      </c>
    </row>
    <row r="871" spans="1:26" x14ac:dyDescent="0.3">
      <c r="A871" t="s">
        <v>1517</v>
      </c>
      <c r="B871" s="2">
        <v>45890</v>
      </c>
      <c r="C871" t="s">
        <v>1518</v>
      </c>
      <c r="D871" t="s">
        <v>61</v>
      </c>
      <c r="E871" t="s">
        <v>43</v>
      </c>
      <c r="F871">
        <v>34</v>
      </c>
      <c r="G871" t="s">
        <v>99</v>
      </c>
      <c r="H871" t="s">
        <v>52</v>
      </c>
      <c r="I871" t="s">
        <v>99</v>
      </c>
      <c r="J871" t="s">
        <v>150</v>
      </c>
      <c r="K871">
        <v>4</v>
      </c>
      <c r="L871">
        <v>29992</v>
      </c>
      <c r="M871">
        <v>5</v>
      </c>
      <c r="N871">
        <v>5998.4</v>
      </c>
      <c r="O871">
        <v>20514.53</v>
      </c>
      <c r="P871">
        <v>338</v>
      </c>
      <c r="Q871">
        <v>134822.13</v>
      </c>
      <c r="R871" t="s">
        <v>83</v>
      </c>
      <c r="S871" t="s">
        <v>63</v>
      </c>
      <c r="T871" t="s">
        <v>70</v>
      </c>
      <c r="U871" t="s">
        <v>56</v>
      </c>
      <c r="V871" t="s">
        <v>57</v>
      </c>
      <c r="W871">
        <v>4</v>
      </c>
      <c r="X871" t="s">
        <v>47</v>
      </c>
      <c r="Y871">
        <v>2</v>
      </c>
      <c r="Z871" t="s">
        <v>58</v>
      </c>
    </row>
    <row r="872" spans="1:26" x14ac:dyDescent="0.3">
      <c r="A872" t="s">
        <v>1519</v>
      </c>
      <c r="B872" s="2">
        <v>46009</v>
      </c>
      <c r="C872" t="s">
        <v>445</v>
      </c>
      <c r="D872" t="s">
        <v>50</v>
      </c>
      <c r="E872" t="s">
        <v>29</v>
      </c>
      <c r="F872">
        <v>28</v>
      </c>
      <c r="G872" t="s">
        <v>44</v>
      </c>
      <c r="H872" t="s">
        <v>31</v>
      </c>
      <c r="I872" t="s">
        <v>44</v>
      </c>
      <c r="J872" t="s">
        <v>150</v>
      </c>
      <c r="K872">
        <v>4</v>
      </c>
      <c r="L872">
        <v>29117</v>
      </c>
      <c r="M872">
        <v>15</v>
      </c>
      <c r="N872">
        <v>17470.2</v>
      </c>
      <c r="O872">
        <v>17819.599999999999</v>
      </c>
      <c r="P872">
        <v>300</v>
      </c>
      <c r="Q872">
        <v>117117.4</v>
      </c>
      <c r="R872" t="s">
        <v>45</v>
      </c>
      <c r="S872" t="s">
        <v>34</v>
      </c>
      <c r="T872" t="s">
        <v>46</v>
      </c>
      <c r="U872" t="s">
        <v>36</v>
      </c>
      <c r="V872" t="s">
        <v>37</v>
      </c>
      <c r="W872">
        <v>9</v>
      </c>
      <c r="X872" t="s">
        <v>38</v>
      </c>
      <c r="Y872">
        <v>5</v>
      </c>
      <c r="Z872" t="s">
        <v>58</v>
      </c>
    </row>
    <row r="873" spans="1:26" x14ac:dyDescent="0.3">
      <c r="A873" t="s">
        <v>1520</v>
      </c>
      <c r="B873" s="2">
        <v>45983</v>
      </c>
      <c r="C873" t="s">
        <v>1521</v>
      </c>
      <c r="D873" t="s">
        <v>28</v>
      </c>
      <c r="E873" t="s">
        <v>29</v>
      </c>
      <c r="F873">
        <v>32</v>
      </c>
      <c r="G873" t="s">
        <v>44</v>
      </c>
      <c r="H873" t="s">
        <v>31</v>
      </c>
      <c r="I873" t="s">
        <v>44</v>
      </c>
      <c r="J873" t="s">
        <v>32</v>
      </c>
      <c r="K873">
        <v>1</v>
      </c>
      <c r="L873">
        <v>6441</v>
      </c>
      <c r="M873">
        <v>20</v>
      </c>
      <c r="N873">
        <v>1288.2</v>
      </c>
      <c r="O873">
        <v>927.5</v>
      </c>
      <c r="P873">
        <v>124</v>
      </c>
      <c r="Q873">
        <v>6204.3</v>
      </c>
      <c r="R873" t="s">
        <v>45</v>
      </c>
      <c r="S873" t="s">
        <v>34</v>
      </c>
      <c r="T873" t="s">
        <v>76</v>
      </c>
      <c r="U873" t="s">
        <v>77</v>
      </c>
      <c r="V873" t="s">
        <v>57</v>
      </c>
      <c r="W873">
        <v>7</v>
      </c>
      <c r="X873" t="s">
        <v>38</v>
      </c>
      <c r="Y873">
        <v>3</v>
      </c>
      <c r="Z873" t="s">
        <v>91</v>
      </c>
    </row>
    <row r="874" spans="1:26" x14ac:dyDescent="0.3">
      <c r="A874" t="s">
        <v>1522</v>
      </c>
      <c r="B874" s="2">
        <v>45844</v>
      </c>
      <c r="C874" t="s">
        <v>1124</v>
      </c>
      <c r="D874" t="s">
        <v>66</v>
      </c>
      <c r="E874" t="s">
        <v>29</v>
      </c>
      <c r="F874">
        <v>25</v>
      </c>
      <c r="G874" t="s">
        <v>67</v>
      </c>
      <c r="H874" t="s">
        <v>68</v>
      </c>
      <c r="I874" t="s">
        <v>67</v>
      </c>
      <c r="J874" t="s">
        <v>112</v>
      </c>
      <c r="K874">
        <v>3</v>
      </c>
      <c r="L874">
        <v>23228</v>
      </c>
      <c r="M874">
        <v>15</v>
      </c>
      <c r="N874">
        <v>10452.6</v>
      </c>
      <c r="O874">
        <v>10661.65</v>
      </c>
      <c r="P874">
        <v>74</v>
      </c>
      <c r="Q874">
        <v>69967.05</v>
      </c>
      <c r="R874" t="s">
        <v>54</v>
      </c>
      <c r="S874" t="s">
        <v>63</v>
      </c>
      <c r="T874" t="s">
        <v>84</v>
      </c>
      <c r="U874" t="s">
        <v>85</v>
      </c>
      <c r="V874" t="s">
        <v>86</v>
      </c>
      <c r="W874">
        <v>4</v>
      </c>
      <c r="X874" t="s">
        <v>47</v>
      </c>
      <c r="Y874">
        <v>2</v>
      </c>
      <c r="Z874" t="s">
        <v>47</v>
      </c>
    </row>
    <row r="875" spans="1:26" x14ac:dyDescent="0.3">
      <c r="A875" t="s">
        <v>1523</v>
      </c>
      <c r="B875" s="2">
        <v>46090</v>
      </c>
      <c r="C875" t="s">
        <v>515</v>
      </c>
      <c r="D875" t="s">
        <v>89</v>
      </c>
      <c r="E875" t="s">
        <v>29</v>
      </c>
      <c r="F875">
        <v>53</v>
      </c>
      <c r="G875" t="s">
        <v>30</v>
      </c>
      <c r="H875" t="s">
        <v>31</v>
      </c>
      <c r="I875" t="s">
        <v>30</v>
      </c>
      <c r="J875" t="s">
        <v>62</v>
      </c>
      <c r="K875">
        <v>5</v>
      </c>
      <c r="L875">
        <v>13705</v>
      </c>
      <c r="M875">
        <v>20</v>
      </c>
      <c r="N875">
        <v>13705</v>
      </c>
      <c r="O875">
        <v>9867.6</v>
      </c>
      <c r="P875">
        <v>26</v>
      </c>
      <c r="Q875">
        <v>64713.599999999999</v>
      </c>
      <c r="R875" t="s">
        <v>33</v>
      </c>
      <c r="S875" t="s">
        <v>34</v>
      </c>
      <c r="T875" t="s">
        <v>76</v>
      </c>
      <c r="U875" t="s">
        <v>77</v>
      </c>
      <c r="V875" t="s">
        <v>57</v>
      </c>
      <c r="W875">
        <v>4</v>
      </c>
      <c r="X875" t="s">
        <v>47</v>
      </c>
      <c r="Y875">
        <v>3</v>
      </c>
      <c r="Z875" t="s">
        <v>91</v>
      </c>
    </row>
    <row r="876" spans="1:26" x14ac:dyDescent="0.3">
      <c r="A876" t="s">
        <v>1524</v>
      </c>
      <c r="B876" s="2">
        <v>46055</v>
      </c>
      <c r="C876" t="s">
        <v>669</v>
      </c>
      <c r="D876" t="s">
        <v>42</v>
      </c>
      <c r="E876" t="s">
        <v>29</v>
      </c>
      <c r="F876">
        <v>38</v>
      </c>
      <c r="G876" t="s">
        <v>67</v>
      </c>
      <c r="H876" t="s">
        <v>68</v>
      </c>
      <c r="I876" t="s">
        <v>67</v>
      </c>
      <c r="J876" t="s">
        <v>62</v>
      </c>
      <c r="K876">
        <v>2</v>
      </c>
      <c r="L876">
        <v>48561</v>
      </c>
      <c r="M876">
        <v>20</v>
      </c>
      <c r="N876">
        <v>19424.400000000001</v>
      </c>
      <c r="O876">
        <v>13985.57</v>
      </c>
      <c r="P876">
        <v>179</v>
      </c>
      <c r="Q876">
        <v>91862.17</v>
      </c>
      <c r="R876" t="s">
        <v>45</v>
      </c>
      <c r="S876" t="s">
        <v>34</v>
      </c>
      <c r="T876" t="s">
        <v>84</v>
      </c>
      <c r="U876" t="s">
        <v>85</v>
      </c>
      <c r="V876" t="s">
        <v>86</v>
      </c>
      <c r="W876">
        <v>1</v>
      </c>
      <c r="X876" t="s">
        <v>47</v>
      </c>
      <c r="Y876">
        <v>2</v>
      </c>
      <c r="Z876" t="s">
        <v>58</v>
      </c>
    </row>
    <row r="877" spans="1:26" x14ac:dyDescent="0.3">
      <c r="A877" t="s">
        <v>1525</v>
      </c>
      <c r="B877" s="2">
        <v>45839</v>
      </c>
      <c r="C877" t="s">
        <v>1526</v>
      </c>
      <c r="D877" t="s">
        <v>108</v>
      </c>
      <c r="E877" t="s">
        <v>43</v>
      </c>
      <c r="F877">
        <v>28</v>
      </c>
      <c r="G877" t="s">
        <v>51</v>
      </c>
      <c r="H877" t="s">
        <v>52</v>
      </c>
      <c r="I877" t="s">
        <v>51</v>
      </c>
      <c r="J877" t="s">
        <v>125</v>
      </c>
      <c r="K877">
        <v>2</v>
      </c>
      <c r="L877">
        <v>17048</v>
      </c>
      <c r="M877">
        <v>10</v>
      </c>
      <c r="N877">
        <v>3409.6</v>
      </c>
      <c r="O877">
        <v>5523.55</v>
      </c>
      <c r="P877">
        <v>126</v>
      </c>
      <c r="Q877">
        <v>36335.949999999997</v>
      </c>
      <c r="R877" t="s">
        <v>33</v>
      </c>
      <c r="S877" t="s">
        <v>63</v>
      </c>
      <c r="T877" t="s">
        <v>76</v>
      </c>
      <c r="U877" t="s">
        <v>77</v>
      </c>
      <c r="V877" t="s">
        <v>57</v>
      </c>
      <c r="W877">
        <v>6</v>
      </c>
      <c r="X877" t="s">
        <v>38</v>
      </c>
      <c r="Y877">
        <v>2</v>
      </c>
      <c r="Z877" t="s">
        <v>39</v>
      </c>
    </row>
    <row r="878" spans="1:26" x14ac:dyDescent="0.3">
      <c r="A878" t="s">
        <v>1527</v>
      </c>
      <c r="B878" s="2">
        <v>46092</v>
      </c>
      <c r="C878" t="s">
        <v>1528</v>
      </c>
      <c r="D878" t="s">
        <v>61</v>
      </c>
      <c r="E878" t="s">
        <v>29</v>
      </c>
      <c r="F878">
        <v>55</v>
      </c>
      <c r="G878" t="s">
        <v>44</v>
      </c>
      <c r="H878" t="s">
        <v>31</v>
      </c>
      <c r="I878" t="s">
        <v>44</v>
      </c>
      <c r="J878" t="s">
        <v>125</v>
      </c>
      <c r="K878">
        <v>2</v>
      </c>
      <c r="L878">
        <v>46981</v>
      </c>
      <c r="M878">
        <v>0</v>
      </c>
      <c r="N878">
        <v>0</v>
      </c>
      <c r="O878">
        <v>16913.16</v>
      </c>
      <c r="P878">
        <v>252</v>
      </c>
      <c r="Q878">
        <v>111127.16</v>
      </c>
      <c r="R878" t="s">
        <v>83</v>
      </c>
      <c r="S878" t="s">
        <v>34</v>
      </c>
      <c r="T878" t="s">
        <v>35</v>
      </c>
      <c r="U878" t="s">
        <v>36</v>
      </c>
      <c r="V878" t="s">
        <v>37</v>
      </c>
      <c r="W878">
        <v>4</v>
      </c>
      <c r="X878" t="s">
        <v>47</v>
      </c>
      <c r="Y878">
        <v>1</v>
      </c>
      <c r="Z878" t="s">
        <v>39</v>
      </c>
    </row>
    <row r="879" spans="1:26" x14ac:dyDescent="0.3">
      <c r="A879" t="s">
        <v>1529</v>
      </c>
      <c r="B879" s="2">
        <v>45892</v>
      </c>
      <c r="C879" t="s">
        <v>160</v>
      </c>
      <c r="D879" t="s">
        <v>73</v>
      </c>
      <c r="E879" t="s">
        <v>29</v>
      </c>
      <c r="F879">
        <v>59</v>
      </c>
      <c r="G879" t="s">
        <v>74</v>
      </c>
      <c r="H879" t="s">
        <v>31</v>
      </c>
      <c r="I879" t="s">
        <v>74</v>
      </c>
      <c r="J879" t="s">
        <v>125</v>
      </c>
      <c r="K879">
        <v>3</v>
      </c>
      <c r="L879">
        <v>42665</v>
      </c>
      <c r="M879">
        <v>10</v>
      </c>
      <c r="N879">
        <v>12799.5</v>
      </c>
      <c r="O879">
        <v>20735.189999999999</v>
      </c>
      <c r="P879">
        <v>452</v>
      </c>
      <c r="Q879">
        <v>136382.69</v>
      </c>
      <c r="R879" t="s">
        <v>33</v>
      </c>
      <c r="S879" t="s">
        <v>63</v>
      </c>
      <c r="T879" t="s">
        <v>103</v>
      </c>
      <c r="U879" t="s">
        <v>103</v>
      </c>
      <c r="V879" t="s">
        <v>57</v>
      </c>
      <c r="W879">
        <v>1</v>
      </c>
      <c r="X879" t="s">
        <v>38</v>
      </c>
      <c r="Y879">
        <v>3</v>
      </c>
      <c r="Z879" t="s">
        <v>58</v>
      </c>
    </row>
    <row r="880" spans="1:26" x14ac:dyDescent="0.3">
      <c r="A880" t="s">
        <v>1530</v>
      </c>
      <c r="B880" s="2">
        <v>46045</v>
      </c>
      <c r="C880" t="s">
        <v>1531</v>
      </c>
      <c r="D880" t="s">
        <v>73</v>
      </c>
      <c r="E880" t="s">
        <v>29</v>
      </c>
      <c r="F880">
        <v>42</v>
      </c>
      <c r="G880" t="s">
        <v>74</v>
      </c>
      <c r="H880" t="s">
        <v>31</v>
      </c>
      <c r="I880" t="s">
        <v>74</v>
      </c>
      <c r="J880" t="s">
        <v>150</v>
      </c>
      <c r="K880">
        <v>3</v>
      </c>
      <c r="L880">
        <v>33362</v>
      </c>
      <c r="M880">
        <v>0</v>
      </c>
      <c r="N880">
        <v>0</v>
      </c>
      <c r="O880">
        <v>18015.48</v>
      </c>
      <c r="P880">
        <v>429</v>
      </c>
      <c r="Q880">
        <v>118530.48</v>
      </c>
      <c r="R880" t="s">
        <v>33</v>
      </c>
      <c r="S880" t="s">
        <v>63</v>
      </c>
      <c r="T880" t="s">
        <v>95</v>
      </c>
      <c r="U880" t="s">
        <v>96</v>
      </c>
      <c r="V880" t="s">
        <v>57</v>
      </c>
      <c r="W880">
        <v>1</v>
      </c>
      <c r="X880" t="s">
        <v>38</v>
      </c>
      <c r="Y880">
        <v>2</v>
      </c>
      <c r="Z880" t="s">
        <v>47</v>
      </c>
    </row>
    <row r="881" spans="1:26" x14ac:dyDescent="0.3">
      <c r="A881" t="s">
        <v>1532</v>
      </c>
      <c r="B881" s="2">
        <v>45893</v>
      </c>
      <c r="C881" t="s">
        <v>477</v>
      </c>
      <c r="D881" t="s">
        <v>111</v>
      </c>
      <c r="E881" t="s">
        <v>29</v>
      </c>
      <c r="F881">
        <v>45</v>
      </c>
      <c r="G881" t="s">
        <v>134</v>
      </c>
      <c r="H881" t="s">
        <v>31</v>
      </c>
      <c r="I881" t="s">
        <v>134</v>
      </c>
      <c r="J881" t="s">
        <v>75</v>
      </c>
      <c r="K881">
        <v>1</v>
      </c>
      <c r="L881">
        <v>4860</v>
      </c>
      <c r="M881">
        <v>10</v>
      </c>
      <c r="N881">
        <v>486</v>
      </c>
      <c r="O881">
        <v>787.32</v>
      </c>
      <c r="P881">
        <v>245</v>
      </c>
      <c r="Q881">
        <v>5406.32</v>
      </c>
      <c r="R881" t="s">
        <v>33</v>
      </c>
      <c r="S881" t="s">
        <v>63</v>
      </c>
      <c r="T881" t="s">
        <v>103</v>
      </c>
      <c r="U881" t="s">
        <v>103</v>
      </c>
      <c r="V881" t="s">
        <v>57</v>
      </c>
      <c r="W881">
        <v>9</v>
      </c>
      <c r="X881" t="s">
        <v>47</v>
      </c>
      <c r="Y881">
        <v>5</v>
      </c>
      <c r="Z881" t="s">
        <v>58</v>
      </c>
    </row>
    <row r="882" spans="1:26" x14ac:dyDescent="0.3">
      <c r="A882" t="s">
        <v>1533</v>
      </c>
      <c r="B882" s="2">
        <v>45791</v>
      </c>
      <c r="C882" t="s">
        <v>225</v>
      </c>
      <c r="D882" t="s">
        <v>28</v>
      </c>
      <c r="E882" t="s">
        <v>43</v>
      </c>
      <c r="F882">
        <v>34</v>
      </c>
      <c r="G882" t="s">
        <v>30</v>
      </c>
      <c r="H882" t="s">
        <v>31</v>
      </c>
      <c r="I882" t="s">
        <v>30</v>
      </c>
      <c r="J882" t="s">
        <v>201</v>
      </c>
      <c r="K882">
        <v>3</v>
      </c>
      <c r="L882">
        <v>39078</v>
      </c>
      <c r="M882">
        <v>15</v>
      </c>
      <c r="N882">
        <v>17585.099999999999</v>
      </c>
      <c r="O882">
        <v>17936.8</v>
      </c>
      <c r="P882">
        <v>64</v>
      </c>
      <c r="Q882">
        <v>117649.7</v>
      </c>
      <c r="R882" t="s">
        <v>54</v>
      </c>
      <c r="S882" t="s">
        <v>63</v>
      </c>
      <c r="T882" t="s">
        <v>46</v>
      </c>
      <c r="U882" t="s">
        <v>36</v>
      </c>
      <c r="V882" t="s">
        <v>37</v>
      </c>
      <c r="W882">
        <v>7</v>
      </c>
      <c r="X882" t="s">
        <v>38</v>
      </c>
      <c r="Y882">
        <v>1</v>
      </c>
      <c r="Z882" t="s">
        <v>91</v>
      </c>
    </row>
    <row r="883" spans="1:26" x14ac:dyDescent="0.3">
      <c r="A883" t="s">
        <v>1534</v>
      </c>
      <c r="B883" s="2">
        <v>46105</v>
      </c>
      <c r="C883" t="s">
        <v>810</v>
      </c>
      <c r="D883" t="s">
        <v>42</v>
      </c>
      <c r="E883" t="s">
        <v>43</v>
      </c>
      <c r="F883">
        <v>47</v>
      </c>
      <c r="G883" t="s">
        <v>99</v>
      </c>
      <c r="H883" t="s">
        <v>52</v>
      </c>
      <c r="I883" t="s">
        <v>99</v>
      </c>
      <c r="J883" t="s">
        <v>53</v>
      </c>
      <c r="K883">
        <v>5</v>
      </c>
      <c r="L883">
        <v>5258</v>
      </c>
      <c r="M883">
        <v>15</v>
      </c>
      <c r="N883">
        <v>3943.5</v>
      </c>
      <c r="O883">
        <v>4022.37</v>
      </c>
      <c r="P883">
        <v>359</v>
      </c>
      <c r="Q883">
        <v>26727.87</v>
      </c>
      <c r="R883" t="s">
        <v>33</v>
      </c>
      <c r="S883" t="s">
        <v>63</v>
      </c>
      <c r="T883" t="s">
        <v>70</v>
      </c>
      <c r="U883" t="s">
        <v>56</v>
      </c>
      <c r="V883" t="s">
        <v>57</v>
      </c>
      <c r="W883">
        <v>10</v>
      </c>
      <c r="X883" t="s">
        <v>38</v>
      </c>
      <c r="Y883">
        <v>2</v>
      </c>
      <c r="Z883" t="s">
        <v>58</v>
      </c>
    </row>
    <row r="884" spans="1:26" x14ac:dyDescent="0.3">
      <c r="A884" t="s">
        <v>1535</v>
      </c>
      <c r="B884" s="2">
        <v>45782</v>
      </c>
      <c r="C884" t="s">
        <v>1536</v>
      </c>
      <c r="D884" t="s">
        <v>61</v>
      </c>
      <c r="E884" t="s">
        <v>29</v>
      </c>
      <c r="F884">
        <v>31</v>
      </c>
      <c r="G884" t="s">
        <v>44</v>
      </c>
      <c r="H884" t="s">
        <v>31</v>
      </c>
      <c r="I884" t="s">
        <v>44</v>
      </c>
      <c r="J884" t="s">
        <v>32</v>
      </c>
      <c r="K884">
        <v>5</v>
      </c>
      <c r="L884">
        <v>13845</v>
      </c>
      <c r="M884">
        <v>15</v>
      </c>
      <c r="N884">
        <v>10383.75</v>
      </c>
      <c r="O884">
        <v>10591.42</v>
      </c>
      <c r="P884">
        <v>169</v>
      </c>
      <c r="Q884">
        <v>69601.679999999993</v>
      </c>
      <c r="R884" t="s">
        <v>54</v>
      </c>
      <c r="S884" t="s">
        <v>63</v>
      </c>
      <c r="T884" t="s">
        <v>46</v>
      </c>
      <c r="U884" t="s">
        <v>36</v>
      </c>
      <c r="V884" t="s">
        <v>37</v>
      </c>
      <c r="W884">
        <v>10</v>
      </c>
      <c r="X884" t="s">
        <v>38</v>
      </c>
      <c r="Y884">
        <v>5</v>
      </c>
      <c r="Z884" t="s">
        <v>47</v>
      </c>
    </row>
    <row r="885" spans="1:26" x14ac:dyDescent="0.3">
      <c r="A885" t="s">
        <v>1537</v>
      </c>
      <c r="B885" s="2">
        <v>46034</v>
      </c>
      <c r="C885" t="s">
        <v>1538</v>
      </c>
      <c r="D885" t="s">
        <v>89</v>
      </c>
      <c r="E885" t="s">
        <v>29</v>
      </c>
      <c r="F885">
        <v>19</v>
      </c>
      <c r="G885" t="s">
        <v>30</v>
      </c>
      <c r="H885" t="s">
        <v>31</v>
      </c>
      <c r="I885" t="s">
        <v>30</v>
      </c>
      <c r="J885" t="s">
        <v>112</v>
      </c>
      <c r="K885">
        <v>3</v>
      </c>
      <c r="L885">
        <v>39216</v>
      </c>
      <c r="M885">
        <v>20</v>
      </c>
      <c r="N885">
        <v>23529.599999999999</v>
      </c>
      <c r="O885">
        <v>16941.310000000001</v>
      </c>
      <c r="P885">
        <v>13</v>
      </c>
      <c r="Q885">
        <v>111072.71</v>
      </c>
      <c r="R885" t="s">
        <v>33</v>
      </c>
      <c r="S885" t="s">
        <v>63</v>
      </c>
      <c r="T885" t="s">
        <v>103</v>
      </c>
      <c r="U885" t="s">
        <v>103</v>
      </c>
      <c r="V885" t="s">
        <v>57</v>
      </c>
      <c r="W885">
        <v>1</v>
      </c>
      <c r="X885" t="s">
        <v>47</v>
      </c>
      <c r="Y885">
        <v>4</v>
      </c>
      <c r="Z885" t="s">
        <v>39</v>
      </c>
    </row>
    <row r="886" spans="1:26" x14ac:dyDescent="0.3">
      <c r="A886" t="s">
        <v>1539</v>
      </c>
      <c r="B886" s="2">
        <v>46101</v>
      </c>
      <c r="C886" t="s">
        <v>1540</v>
      </c>
      <c r="D886" t="s">
        <v>42</v>
      </c>
      <c r="E886" t="s">
        <v>43</v>
      </c>
      <c r="F886">
        <v>40</v>
      </c>
      <c r="G886" t="s">
        <v>51</v>
      </c>
      <c r="H886" t="s">
        <v>52</v>
      </c>
      <c r="I886" t="s">
        <v>51</v>
      </c>
      <c r="J886" t="s">
        <v>69</v>
      </c>
      <c r="K886">
        <v>5</v>
      </c>
      <c r="L886">
        <v>21764</v>
      </c>
      <c r="M886">
        <v>20</v>
      </c>
      <c r="N886">
        <v>21764</v>
      </c>
      <c r="O886">
        <v>15670.08</v>
      </c>
      <c r="P886">
        <v>260</v>
      </c>
      <c r="Q886">
        <v>102986.08</v>
      </c>
      <c r="R886" t="s">
        <v>54</v>
      </c>
      <c r="S886" t="s">
        <v>34</v>
      </c>
      <c r="T886" t="s">
        <v>70</v>
      </c>
      <c r="U886" t="s">
        <v>56</v>
      </c>
      <c r="V886" t="s">
        <v>57</v>
      </c>
      <c r="W886">
        <v>2</v>
      </c>
      <c r="X886" t="s">
        <v>47</v>
      </c>
      <c r="Y886">
        <v>4</v>
      </c>
      <c r="Z886" t="s">
        <v>39</v>
      </c>
    </row>
    <row r="887" spans="1:26" x14ac:dyDescent="0.3">
      <c r="A887" t="s">
        <v>1541</v>
      </c>
      <c r="B887" s="2">
        <v>45765</v>
      </c>
      <c r="C887" t="s">
        <v>576</v>
      </c>
      <c r="D887" t="s">
        <v>61</v>
      </c>
      <c r="E887" t="s">
        <v>29</v>
      </c>
      <c r="F887">
        <v>21</v>
      </c>
      <c r="G887" t="s">
        <v>139</v>
      </c>
      <c r="H887" t="s">
        <v>31</v>
      </c>
      <c r="I887" t="s">
        <v>139</v>
      </c>
      <c r="J887" t="s">
        <v>62</v>
      </c>
      <c r="K887">
        <v>1</v>
      </c>
      <c r="L887">
        <v>35662</v>
      </c>
      <c r="M887">
        <v>20</v>
      </c>
      <c r="N887">
        <v>7132.4</v>
      </c>
      <c r="O887">
        <v>5135.33</v>
      </c>
      <c r="P887">
        <v>390</v>
      </c>
      <c r="Q887">
        <v>34054.93</v>
      </c>
      <c r="R887" t="s">
        <v>33</v>
      </c>
      <c r="S887" t="s">
        <v>63</v>
      </c>
      <c r="T887" t="s">
        <v>95</v>
      </c>
      <c r="U887" t="s">
        <v>96</v>
      </c>
      <c r="V887" t="s">
        <v>57</v>
      </c>
      <c r="W887">
        <v>5</v>
      </c>
      <c r="X887" t="s">
        <v>47</v>
      </c>
      <c r="Y887">
        <v>3</v>
      </c>
      <c r="Z887" t="s">
        <v>47</v>
      </c>
    </row>
    <row r="888" spans="1:26" x14ac:dyDescent="0.3">
      <c r="A888" t="s">
        <v>1542</v>
      </c>
      <c r="B888" s="2">
        <v>46079</v>
      </c>
      <c r="C888" t="s">
        <v>1543</v>
      </c>
      <c r="D888" t="s">
        <v>108</v>
      </c>
      <c r="E888" t="s">
        <v>29</v>
      </c>
      <c r="F888">
        <v>26</v>
      </c>
      <c r="G888" t="s">
        <v>139</v>
      </c>
      <c r="H888" t="s">
        <v>31</v>
      </c>
      <c r="I888" t="s">
        <v>139</v>
      </c>
      <c r="J888" t="s">
        <v>125</v>
      </c>
      <c r="K888">
        <v>2</v>
      </c>
      <c r="L888">
        <v>32832</v>
      </c>
      <c r="M888">
        <v>10</v>
      </c>
      <c r="N888">
        <v>6566.4</v>
      </c>
      <c r="O888">
        <v>10637.57</v>
      </c>
      <c r="P888">
        <v>492</v>
      </c>
      <c r="Q888">
        <v>70227.17</v>
      </c>
      <c r="R888" t="s">
        <v>45</v>
      </c>
      <c r="S888" t="s">
        <v>63</v>
      </c>
      <c r="T888" t="s">
        <v>103</v>
      </c>
      <c r="U888" t="s">
        <v>103</v>
      </c>
      <c r="V888" t="s">
        <v>57</v>
      </c>
      <c r="W888">
        <v>3</v>
      </c>
      <c r="X888" t="s">
        <v>47</v>
      </c>
      <c r="Y888">
        <v>4</v>
      </c>
      <c r="Z888" t="s">
        <v>39</v>
      </c>
    </row>
    <row r="889" spans="1:26" x14ac:dyDescent="0.3">
      <c r="A889" t="s">
        <v>1544</v>
      </c>
      <c r="B889" s="2">
        <v>46043</v>
      </c>
      <c r="C889" t="s">
        <v>921</v>
      </c>
      <c r="D889" t="s">
        <v>108</v>
      </c>
      <c r="E889" t="s">
        <v>43</v>
      </c>
      <c r="F889">
        <v>51</v>
      </c>
      <c r="G889" t="s">
        <v>139</v>
      </c>
      <c r="H889" t="s">
        <v>31</v>
      </c>
      <c r="I889" t="s">
        <v>139</v>
      </c>
      <c r="J889" t="s">
        <v>62</v>
      </c>
      <c r="K889">
        <v>5</v>
      </c>
      <c r="L889">
        <v>42505</v>
      </c>
      <c r="M889">
        <v>15</v>
      </c>
      <c r="N889">
        <v>31878.75</v>
      </c>
      <c r="O889">
        <v>32516.32</v>
      </c>
      <c r="P889">
        <v>414</v>
      </c>
      <c r="Q889">
        <v>213576.58</v>
      </c>
      <c r="R889" t="s">
        <v>45</v>
      </c>
      <c r="S889" t="s">
        <v>34</v>
      </c>
      <c r="T889" t="s">
        <v>35</v>
      </c>
      <c r="U889" t="s">
        <v>36</v>
      </c>
      <c r="V889" t="s">
        <v>37</v>
      </c>
      <c r="W889">
        <v>7</v>
      </c>
      <c r="X889" t="s">
        <v>38</v>
      </c>
      <c r="Y889">
        <v>2</v>
      </c>
      <c r="Z889" t="s">
        <v>47</v>
      </c>
    </row>
    <row r="890" spans="1:26" x14ac:dyDescent="0.3">
      <c r="A890" t="s">
        <v>1545</v>
      </c>
      <c r="B890" s="2">
        <v>45814</v>
      </c>
      <c r="C890" t="s">
        <v>1087</v>
      </c>
      <c r="D890" t="s">
        <v>42</v>
      </c>
      <c r="E890" t="s">
        <v>29</v>
      </c>
      <c r="F890">
        <v>60</v>
      </c>
      <c r="G890" t="s">
        <v>30</v>
      </c>
      <c r="H890" t="s">
        <v>31</v>
      </c>
      <c r="I890" t="s">
        <v>30</v>
      </c>
      <c r="J890" t="s">
        <v>102</v>
      </c>
      <c r="K890">
        <v>4</v>
      </c>
      <c r="L890">
        <v>42685</v>
      </c>
      <c r="M890">
        <v>20</v>
      </c>
      <c r="N890">
        <v>34148</v>
      </c>
      <c r="O890">
        <v>24586.560000000001</v>
      </c>
      <c r="P890">
        <v>281</v>
      </c>
      <c r="Q890">
        <v>161459.56</v>
      </c>
      <c r="R890" t="s">
        <v>54</v>
      </c>
      <c r="S890" t="s">
        <v>34</v>
      </c>
      <c r="T890" t="s">
        <v>70</v>
      </c>
      <c r="U890" t="s">
        <v>56</v>
      </c>
      <c r="V890" t="s">
        <v>57</v>
      </c>
      <c r="W890">
        <v>4</v>
      </c>
      <c r="X890" t="s">
        <v>47</v>
      </c>
      <c r="Y890">
        <v>4</v>
      </c>
      <c r="Z890" t="s">
        <v>39</v>
      </c>
    </row>
    <row r="891" spans="1:26" x14ac:dyDescent="0.3">
      <c r="A891" t="s">
        <v>1546</v>
      </c>
      <c r="B891" s="2">
        <v>45969</v>
      </c>
      <c r="C891" t="s">
        <v>1547</v>
      </c>
      <c r="D891" t="s">
        <v>28</v>
      </c>
      <c r="E891" t="s">
        <v>29</v>
      </c>
      <c r="F891">
        <v>42</v>
      </c>
      <c r="G891" t="s">
        <v>94</v>
      </c>
      <c r="H891" t="s">
        <v>31</v>
      </c>
      <c r="I891" t="s">
        <v>94</v>
      </c>
      <c r="J891" t="s">
        <v>150</v>
      </c>
      <c r="K891">
        <v>4</v>
      </c>
      <c r="L891">
        <v>38588</v>
      </c>
      <c r="M891">
        <v>5</v>
      </c>
      <c r="N891">
        <v>7717.6</v>
      </c>
      <c r="O891">
        <v>26394.19</v>
      </c>
      <c r="P891">
        <v>304</v>
      </c>
      <c r="Q891">
        <v>173332.59</v>
      </c>
      <c r="R891" t="s">
        <v>45</v>
      </c>
      <c r="S891" t="s">
        <v>34</v>
      </c>
      <c r="T891" t="s">
        <v>76</v>
      </c>
      <c r="U891" t="s">
        <v>77</v>
      </c>
      <c r="V891" t="s">
        <v>57</v>
      </c>
      <c r="W891">
        <v>10</v>
      </c>
      <c r="X891" t="s">
        <v>47</v>
      </c>
      <c r="Y891">
        <v>3</v>
      </c>
      <c r="Z891" t="s">
        <v>58</v>
      </c>
    </row>
    <row r="892" spans="1:26" x14ac:dyDescent="0.3">
      <c r="A892" t="s">
        <v>1548</v>
      </c>
      <c r="B892" s="2">
        <v>45888</v>
      </c>
      <c r="C892" t="s">
        <v>141</v>
      </c>
      <c r="D892" t="s">
        <v>61</v>
      </c>
      <c r="E892" t="s">
        <v>43</v>
      </c>
      <c r="F892">
        <v>27</v>
      </c>
      <c r="G892" t="s">
        <v>44</v>
      </c>
      <c r="H892" t="s">
        <v>31</v>
      </c>
      <c r="I892" t="s">
        <v>44</v>
      </c>
      <c r="J892" t="s">
        <v>62</v>
      </c>
      <c r="K892">
        <v>4</v>
      </c>
      <c r="L892">
        <v>13547</v>
      </c>
      <c r="M892">
        <v>15</v>
      </c>
      <c r="N892">
        <v>8128.2</v>
      </c>
      <c r="O892">
        <v>8290.76</v>
      </c>
      <c r="P892">
        <v>303</v>
      </c>
      <c r="Q892">
        <v>54653.56</v>
      </c>
      <c r="R892" t="s">
        <v>33</v>
      </c>
      <c r="S892" t="s">
        <v>34</v>
      </c>
      <c r="T892" t="s">
        <v>103</v>
      </c>
      <c r="U892" t="s">
        <v>103</v>
      </c>
      <c r="V892" t="s">
        <v>57</v>
      </c>
      <c r="W892">
        <v>3</v>
      </c>
      <c r="X892" t="s">
        <v>47</v>
      </c>
      <c r="Y892">
        <v>4</v>
      </c>
      <c r="Z892" t="s">
        <v>39</v>
      </c>
    </row>
    <row r="893" spans="1:26" x14ac:dyDescent="0.3">
      <c r="A893" t="s">
        <v>1549</v>
      </c>
      <c r="B893" s="2">
        <v>45886</v>
      </c>
      <c r="C893" t="s">
        <v>806</v>
      </c>
      <c r="D893" t="s">
        <v>28</v>
      </c>
      <c r="E893" t="s">
        <v>43</v>
      </c>
      <c r="F893">
        <v>53</v>
      </c>
      <c r="G893" t="s">
        <v>99</v>
      </c>
      <c r="H893" t="s">
        <v>52</v>
      </c>
      <c r="I893" t="s">
        <v>99</v>
      </c>
      <c r="J893" t="s">
        <v>62</v>
      </c>
      <c r="K893">
        <v>3</v>
      </c>
      <c r="L893">
        <v>21239</v>
      </c>
      <c r="M893">
        <v>0</v>
      </c>
      <c r="N893">
        <v>0</v>
      </c>
      <c r="O893">
        <v>11469.06</v>
      </c>
      <c r="P893">
        <v>442</v>
      </c>
      <c r="Q893">
        <v>75628.06</v>
      </c>
      <c r="R893" t="s">
        <v>45</v>
      </c>
      <c r="S893" t="s">
        <v>34</v>
      </c>
      <c r="T893" t="s">
        <v>76</v>
      </c>
      <c r="U893" t="s">
        <v>77</v>
      </c>
      <c r="V893" t="s">
        <v>57</v>
      </c>
      <c r="W893">
        <v>2</v>
      </c>
      <c r="X893" t="s">
        <v>47</v>
      </c>
      <c r="Y893">
        <v>3</v>
      </c>
      <c r="Z893" t="s">
        <v>91</v>
      </c>
    </row>
    <row r="894" spans="1:26" x14ac:dyDescent="0.3">
      <c r="A894" t="s">
        <v>1550</v>
      </c>
      <c r="B894" s="2">
        <v>45794</v>
      </c>
      <c r="C894" t="s">
        <v>484</v>
      </c>
      <c r="D894" t="s">
        <v>111</v>
      </c>
      <c r="E894" t="s">
        <v>43</v>
      </c>
      <c r="F894">
        <v>31</v>
      </c>
      <c r="G894" t="s">
        <v>44</v>
      </c>
      <c r="H894" t="s">
        <v>31</v>
      </c>
      <c r="I894" t="s">
        <v>44</v>
      </c>
      <c r="J894" t="s">
        <v>53</v>
      </c>
      <c r="K894">
        <v>5</v>
      </c>
      <c r="L894">
        <v>29270</v>
      </c>
      <c r="M894">
        <v>5</v>
      </c>
      <c r="N894">
        <v>7317.5</v>
      </c>
      <c r="O894">
        <v>25025.85</v>
      </c>
      <c r="P894">
        <v>96</v>
      </c>
      <c r="Q894">
        <v>164154.35</v>
      </c>
      <c r="R894" t="s">
        <v>33</v>
      </c>
      <c r="S894" t="s">
        <v>34</v>
      </c>
      <c r="T894" t="s">
        <v>55</v>
      </c>
      <c r="U894" t="s">
        <v>56</v>
      </c>
      <c r="V894" t="s">
        <v>57</v>
      </c>
      <c r="W894">
        <v>3</v>
      </c>
      <c r="X894" t="s">
        <v>47</v>
      </c>
      <c r="Y894">
        <v>5</v>
      </c>
      <c r="Z894" t="s">
        <v>58</v>
      </c>
    </row>
    <row r="895" spans="1:26" x14ac:dyDescent="0.3">
      <c r="A895" t="s">
        <v>1551</v>
      </c>
      <c r="B895" s="2">
        <v>46089</v>
      </c>
      <c r="C895" t="s">
        <v>231</v>
      </c>
      <c r="D895" t="s">
        <v>42</v>
      </c>
      <c r="E895" t="s">
        <v>29</v>
      </c>
      <c r="F895">
        <v>50</v>
      </c>
      <c r="G895" t="s">
        <v>134</v>
      </c>
      <c r="H895" t="s">
        <v>31</v>
      </c>
      <c r="I895" t="s">
        <v>134</v>
      </c>
      <c r="J895" t="s">
        <v>112</v>
      </c>
      <c r="K895">
        <v>2</v>
      </c>
      <c r="L895">
        <v>21419</v>
      </c>
      <c r="M895">
        <v>5</v>
      </c>
      <c r="N895">
        <v>2141.9</v>
      </c>
      <c r="O895">
        <v>7325.3</v>
      </c>
      <c r="P895">
        <v>117</v>
      </c>
      <c r="Q895">
        <v>48138.400000000001</v>
      </c>
      <c r="R895" t="s">
        <v>45</v>
      </c>
      <c r="S895" t="s">
        <v>34</v>
      </c>
      <c r="T895" t="s">
        <v>70</v>
      </c>
      <c r="U895" t="s">
        <v>56</v>
      </c>
      <c r="V895" t="s">
        <v>57</v>
      </c>
      <c r="W895">
        <v>4</v>
      </c>
      <c r="X895" t="s">
        <v>38</v>
      </c>
      <c r="Y895">
        <v>5</v>
      </c>
      <c r="Z895" t="s">
        <v>58</v>
      </c>
    </row>
    <row r="896" spans="1:26" x14ac:dyDescent="0.3">
      <c r="A896" t="s">
        <v>1552</v>
      </c>
      <c r="B896" s="2">
        <v>46025</v>
      </c>
      <c r="C896" t="s">
        <v>1553</v>
      </c>
      <c r="D896" t="s">
        <v>28</v>
      </c>
      <c r="E896" t="s">
        <v>43</v>
      </c>
      <c r="F896">
        <v>32</v>
      </c>
      <c r="G896" t="s">
        <v>51</v>
      </c>
      <c r="H896" t="s">
        <v>52</v>
      </c>
      <c r="I896" t="s">
        <v>51</v>
      </c>
      <c r="J896" t="s">
        <v>75</v>
      </c>
      <c r="K896">
        <v>1</v>
      </c>
      <c r="L896">
        <v>49049</v>
      </c>
      <c r="M896">
        <v>0</v>
      </c>
      <c r="N896">
        <v>0</v>
      </c>
      <c r="O896">
        <v>8828.82</v>
      </c>
      <c r="P896">
        <v>224</v>
      </c>
      <c r="Q896">
        <v>58101.82</v>
      </c>
      <c r="R896" t="s">
        <v>45</v>
      </c>
      <c r="S896" t="s">
        <v>63</v>
      </c>
      <c r="T896" t="s">
        <v>55</v>
      </c>
      <c r="U896" t="s">
        <v>56</v>
      </c>
      <c r="V896" t="s">
        <v>57</v>
      </c>
      <c r="W896">
        <v>5</v>
      </c>
      <c r="X896" t="s">
        <v>47</v>
      </c>
      <c r="Y896">
        <v>1</v>
      </c>
      <c r="Z896" t="s">
        <v>39</v>
      </c>
    </row>
    <row r="897" spans="1:26" x14ac:dyDescent="0.3">
      <c r="A897" t="s">
        <v>1554</v>
      </c>
      <c r="B897" s="2">
        <v>46011</v>
      </c>
      <c r="C897" t="s">
        <v>447</v>
      </c>
      <c r="D897" t="s">
        <v>108</v>
      </c>
      <c r="E897" t="s">
        <v>43</v>
      </c>
      <c r="F897">
        <v>19</v>
      </c>
      <c r="G897" t="s">
        <v>90</v>
      </c>
      <c r="H897" t="s">
        <v>31</v>
      </c>
      <c r="I897" t="s">
        <v>90</v>
      </c>
      <c r="J897" t="s">
        <v>102</v>
      </c>
      <c r="K897">
        <v>3</v>
      </c>
      <c r="L897">
        <v>49307</v>
      </c>
      <c r="M897">
        <v>5</v>
      </c>
      <c r="N897">
        <v>7396.05</v>
      </c>
      <c r="O897">
        <v>25294.49</v>
      </c>
      <c r="P897">
        <v>113</v>
      </c>
      <c r="Q897">
        <v>165932.44</v>
      </c>
      <c r="R897" t="s">
        <v>54</v>
      </c>
      <c r="S897" t="s">
        <v>34</v>
      </c>
      <c r="T897" t="s">
        <v>76</v>
      </c>
      <c r="U897" t="s">
        <v>77</v>
      </c>
      <c r="V897" t="s">
        <v>57</v>
      </c>
      <c r="W897">
        <v>8</v>
      </c>
      <c r="X897" t="s">
        <v>38</v>
      </c>
      <c r="Y897">
        <v>3</v>
      </c>
      <c r="Z897" t="s">
        <v>39</v>
      </c>
    </row>
    <row r="898" spans="1:26" x14ac:dyDescent="0.3">
      <c r="A898" t="s">
        <v>1555</v>
      </c>
      <c r="B898" s="2">
        <v>45864</v>
      </c>
      <c r="C898" t="s">
        <v>1032</v>
      </c>
      <c r="D898" t="s">
        <v>42</v>
      </c>
      <c r="E898" t="s">
        <v>43</v>
      </c>
      <c r="F898">
        <v>50</v>
      </c>
      <c r="G898" t="s">
        <v>30</v>
      </c>
      <c r="H898" t="s">
        <v>31</v>
      </c>
      <c r="I898" t="s">
        <v>30</v>
      </c>
      <c r="J898" t="s">
        <v>53</v>
      </c>
      <c r="K898">
        <v>1</v>
      </c>
      <c r="L898">
        <v>16899</v>
      </c>
      <c r="M898">
        <v>15</v>
      </c>
      <c r="N898">
        <v>2534.85</v>
      </c>
      <c r="O898">
        <v>2585.5500000000002</v>
      </c>
      <c r="P898">
        <v>2</v>
      </c>
      <c r="Q898">
        <v>16951.7</v>
      </c>
      <c r="R898" t="s">
        <v>54</v>
      </c>
      <c r="S898" t="s">
        <v>34</v>
      </c>
      <c r="T898" t="s">
        <v>70</v>
      </c>
      <c r="U898" t="s">
        <v>56</v>
      </c>
      <c r="V898" t="s">
        <v>57</v>
      </c>
      <c r="W898">
        <v>10</v>
      </c>
      <c r="X898" t="s">
        <v>38</v>
      </c>
      <c r="Y898">
        <v>4</v>
      </c>
      <c r="Z898" t="s">
        <v>39</v>
      </c>
    </row>
    <row r="899" spans="1:26" x14ac:dyDescent="0.3">
      <c r="A899" t="s">
        <v>1556</v>
      </c>
      <c r="B899" s="2">
        <v>45842</v>
      </c>
      <c r="C899" t="s">
        <v>49</v>
      </c>
      <c r="D899" t="s">
        <v>61</v>
      </c>
      <c r="E899" t="s">
        <v>43</v>
      </c>
      <c r="F899">
        <v>30</v>
      </c>
      <c r="G899" t="s">
        <v>99</v>
      </c>
      <c r="H899" t="s">
        <v>52</v>
      </c>
      <c r="I899" t="s">
        <v>99</v>
      </c>
      <c r="J899" t="s">
        <v>62</v>
      </c>
      <c r="K899">
        <v>3</v>
      </c>
      <c r="L899">
        <v>48086</v>
      </c>
      <c r="M899">
        <v>5</v>
      </c>
      <c r="N899">
        <v>7212.9</v>
      </c>
      <c r="O899">
        <v>24668.12</v>
      </c>
      <c r="P899">
        <v>82</v>
      </c>
      <c r="Q899">
        <v>161795.22</v>
      </c>
      <c r="R899" t="s">
        <v>83</v>
      </c>
      <c r="S899" t="s">
        <v>63</v>
      </c>
      <c r="T899" t="s">
        <v>46</v>
      </c>
      <c r="U899" t="s">
        <v>36</v>
      </c>
      <c r="V899" t="s">
        <v>37</v>
      </c>
      <c r="W899">
        <v>6</v>
      </c>
      <c r="X899" t="s">
        <v>47</v>
      </c>
      <c r="Y899">
        <v>1</v>
      </c>
      <c r="Z899" t="s">
        <v>91</v>
      </c>
    </row>
    <row r="900" spans="1:26" x14ac:dyDescent="0.3">
      <c r="A900" t="s">
        <v>1557</v>
      </c>
      <c r="B900" s="2">
        <v>45859</v>
      </c>
      <c r="C900" t="s">
        <v>899</v>
      </c>
      <c r="D900" t="s">
        <v>80</v>
      </c>
      <c r="E900" t="s">
        <v>43</v>
      </c>
      <c r="F900">
        <v>59</v>
      </c>
      <c r="G900" t="s">
        <v>94</v>
      </c>
      <c r="H900" t="s">
        <v>31</v>
      </c>
      <c r="I900" t="s">
        <v>94</v>
      </c>
      <c r="J900" t="s">
        <v>112</v>
      </c>
      <c r="K900">
        <v>2</v>
      </c>
      <c r="L900">
        <v>39784</v>
      </c>
      <c r="M900">
        <v>10</v>
      </c>
      <c r="N900">
        <v>7956.8</v>
      </c>
      <c r="O900">
        <v>12890.02</v>
      </c>
      <c r="P900">
        <v>184</v>
      </c>
      <c r="Q900">
        <v>84685.22</v>
      </c>
      <c r="R900" t="s">
        <v>45</v>
      </c>
      <c r="S900" t="s">
        <v>63</v>
      </c>
      <c r="T900" t="s">
        <v>46</v>
      </c>
      <c r="U900" t="s">
        <v>36</v>
      </c>
      <c r="V900" t="s">
        <v>37</v>
      </c>
      <c r="W900">
        <v>6</v>
      </c>
      <c r="X900" t="s">
        <v>38</v>
      </c>
      <c r="Y900">
        <v>3</v>
      </c>
      <c r="Z900" t="s">
        <v>91</v>
      </c>
    </row>
    <row r="901" spans="1:26" x14ac:dyDescent="0.3">
      <c r="A901" t="s">
        <v>1558</v>
      </c>
      <c r="B901" s="2">
        <v>45791</v>
      </c>
      <c r="C901" t="s">
        <v>1559</v>
      </c>
      <c r="D901" t="s">
        <v>42</v>
      </c>
      <c r="E901" t="s">
        <v>29</v>
      </c>
      <c r="F901">
        <v>58</v>
      </c>
      <c r="G901" t="s">
        <v>134</v>
      </c>
      <c r="H901" t="s">
        <v>31</v>
      </c>
      <c r="I901" t="s">
        <v>134</v>
      </c>
      <c r="J901" t="s">
        <v>125</v>
      </c>
      <c r="K901">
        <v>1</v>
      </c>
      <c r="L901">
        <v>17849</v>
      </c>
      <c r="M901">
        <v>15</v>
      </c>
      <c r="N901">
        <v>2677.35</v>
      </c>
      <c r="O901">
        <v>2730.9</v>
      </c>
      <c r="P901">
        <v>268</v>
      </c>
      <c r="Q901">
        <v>18170.55</v>
      </c>
      <c r="R901" t="s">
        <v>83</v>
      </c>
      <c r="S901" t="s">
        <v>63</v>
      </c>
      <c r="T901" t="s">
        <v>46</v>
      </c>
      <c r="U901" t="s">
        <v>36</v>
      </c>
      <c r="V901" t="s">
        <v>37</v>
      </c>
      <c r="W901">
        <v>3</v>
      </c>
      <c r="X901" t="s">
        <v>38</v>
      </c>
      <c r="Y901">
        <v>4</v>
      </c>
      <c r="Z901" t="s">
        <v>91</v>
      </c>
    </row>
    <row r="902" spans="1:26" x14ac:dyDescent="0.3">
      <c r="A902" t="s">
        <v>1560</v>
      </c>
      <c r="B902" s="2">
        <v>46037</v>
      </c>
      <c r="C902" t="s">
        <v>363</v>
      </c>
      <c r="D902" t="s">
        <v>42</v>
      </c>
      <c r="E902" t="s">
        <v>29</v>
      </c>
      <c r="F902">
        <v>18</v>
      </c>
      <c r="G902" t="s">
        <v>51</v>
      </c>
      <c r="H902" t="s">
        <v>52</v>
      </c>
      <c r="I902" t="s">
        <v>51</v>
      </c>
      <c r="J902" t="s">
        <v>102</v>
      </c>
      <c r="K902">
        <v>4</v>
      </c>
      <c r="L902">
        <v>22659</v>
      </c>
      <c r="M902">
        <v>15</v>
      </c>
      <c r="N902">
        <v>13595.4</v>
      </c>
      <c r="O902">
        <v>13867.31</v>
      </c>
      <c r="P902">
        <v>374</v>
      </c>
      <c r="Q902">
        <v>91281.91</v>
      </c>
      <c r="R902" t="s">
        <v>33</v>
      </c>
      <c r="S902" t="s">
        <v>34</v>
      </c>
      <c r="T902" t="s">
        <v>55</v>
      </c>
      <c r="U902" t="s">
        <v>56</v>
      </c>
      <c r="V902" t="s">
        <v>57</v>
      </c>
      <c r="W902">
        <v>6</v>
      </c>
      <c r="X902" t="s">
        <v>47</v>
      </c>
      <c r="Y902">
        <v>5</v>
      </c>
      <c r="Z902" t="s">
        <v>91</v>
      </c>
    </row>
    <row r="903" spans="1:26" x14ac:dyDescent="0.3">
      <c r="A903" t="s">
        <v>1561</v>
      </c>
      <c r="B903" s="2">
        <v>46010</v>
      </c>
      <c r="C903" t="s">
        <v>686</v>
      </c>
      <c r="D903" t="s">
        <v>80</v>
      </c>
      <c r="E903" t="s">
        <v>29</v>
      </c>
      <c r="F903">
        <v>32</v>
      </c>
      <c r="G903" t="s">
        <v>90</v>
      </c>
      <c r="H903" t="s">
        <v>31</v>
      </c>
      <c r="I903" t="s">
        <v>90</v>
      </c>
      <c r="J903" t="s">
        <v>32</v>
      </c>
      <c r="K903">
        <v>4</v>
      </c>
      <c r="L903">
        <v>34273</v>
      </c>
      <c r="M903">
        <v>0</v>
      </c>
      <c r="N903">
        <v>0</v>
      </c>
      <c r="O903">
        <v>24676.560000000001</v>
      </c>
      <c r="P903">
        <v>420</v>
      </c>
      <c r="Q903">
        <v>162188.56</v>
      </c>
      <c r="R903" t="s">
        <v>83</v>
      </c>
      <c r="S903" t="s">
        <v>63</v>
      </c>
      <c r="T903" t="s">
        <v>84</v>
      </c>
      <c r="U903" t="s">
        <v>85</v>
      </c>
      <c r="V903" t="s">
        <v>86</v>
      </c>
      <c r="W903">
        <v>10</v>
      </c>
      <c r="X903" t="s">
        <v>47</v>
      </c>
      <c r="Y903">
        <v>2</v>
      </c>
      <c r="Z903" t="s">
        <v>47</v>
      </c>
    </row>
    <row r="904" spans="1:26" x14ac:dyDescent="0.3">
      <c r="A904" t="s">
        <v>1562</v>
      </c>
      <c r="B904" s="2">
        <v>46044</v>
      </c>
      <c r="C904" t="s">
        <v>1155</v>
      </c>
      <c r="D904" t="s">
        <v>111</v>
      </c>
      <c r="E904" t="s">
        <v>43</v>
      </c>
      <c r="F904">
        <v>26</v>
      </c>
      <c r="G904" t="s">
        <v>51</v>
      </c>
      <c r="H904" t="s">
        <v>52</v>
      </c>
      <c r="I904" t="s">
        <v>51</v>
      </c>
      <c r="J904" t="s">
        <v>32</v>
      </c>
      <c r="K904">
        <v>1</v>
      </c>
      <c r="L904">
        <v>5894</v>
      </c>
      <c r="M904">
        <v>20</v>
      </c>
      <c r="N904">
        <v>1178.8</v>
      </c>
      <c r="O904">
        <v>848.74</v>
      </c>
      <c r="P904">
        <v>203</v>
      </c>
      <c r="Q904">
        <v>5766.94</v>
      </c>
      <c r="R904" t="s">
        <v>54</v>
      </c>
      <c r="S904" t="s">
        <v>63</v>
      </c>
      <c r="T904" t="s">
        <v>103</v>
      </c>
      <c r="U904" t="s">
        <v>103</v>
      </c>
      <c r="V904" t="s">
        <v>57</v>
      </c>
      <c r="W904">
        <v>10</v>
      </c>
      <c r="X904" t="s">
        <v>38</v>
      </c>
      <c r="Y904">
        <v>2</v>
      </c>
      <c r="Z904" t="s">
        <v>39</v>
      </c>
    </row>
    <row r="905" spans="1:26" x14ac:dyDescent="0.3">
      <c r="A905" t="s">
        <v>1563</v>
      </c>
      <c r="B905" s="2">
        <v>46105</v>
      </c>
      <c r="C905" t="s">
        <v>1564</v>
      </c>
      <c r="D905" t="s">
        <v>80</v>
      </c>
      <c r="E905" t="s">
        <v>43</v>
      </c>
      <c r="F905">
        <v>53</v>
      </c>
      <c r="G905" t="s">
        <v>44</v>
      </c>
      <c r="H905" t="s">
        <v>31</v>
      </c>
      <c r="I905" t="s">
        <v>44</v>
      </c>
      <c r="J905" t="s">
        <v>53</v>
      </c>
      <c r="K905">
        <v>5</v>
      </c>
      <c r="L905">
        <v>31840</v>
      </c>
      <c r="M905">
        <v>20</v>
      </c>
      <c r="N905">
        <v>31840</v>
      </c>
      <c r="O905">
        <v>22924.799999999999</v>
      </c>
      <c r="P905">
        <v>434</v>
      </c>
      <c r="Q905">
        <v>150718.79999999999</v>
      </c>
      <c r="R905" t="s">
        <v>54</v>
      </c>
      <c r="S905" t="s">
        <v>34</v>
      </c>
      <c r="T905" t="s">
        <v>76</v>
      </c>
      <c r="U905" t="s">
        <v>77</v>
      </c>
      <c r="V905" t="s">
        <v>57</v>
      </c>
      <c r="W905">
        <v>7</v>
      </c>
      <c r="X905" t="s">
        <v>38</v>
      </c>
      <c r="Y905">
        <v>1</v>
      </c>
      <c r="Z905" t="s">
        <v>47</v>
      </c>
    </row>
    <row r="906" spans="1:26" x14ac:dyDescent="0.3">
      <c r="A906" t="s">
        <v>1565</v>
      </c>
      <c r="B906" s="2">
        <v>45961</v>
      </c>
      <c r="C906" t="s">
        <v>1566</v>
      </c>
      <c r="D906" t="s">
        <v>80</v>
      </c>
      <c r="E906" t="s">
        <v>43</v>
      </c>
      <c r="F906">
        <v>44</v>
      </c>
      <c r="G906" t="s">
        <v>67</v>
      </c>
      <c r="H906" t="s">
        <v>68</v>
      </c>
      <c r="I906" t="s">
        <v>67</v>
      </c>
      <c r="J906" t="s">
        <v>32</v>
      </c>
      <c r="K906">
        <v>1</v>
      </c>
      <c r="L906">
        <v>3751</v>
      </c>
      <c r="M906">
        <v>10</v>
      </c>
      <c r="N906">
        <v>375.1</v>
      </c>
      <c r="O906">
        <v>607.66</v>
      </c>
      <c r="P906">
        <v>21</v>
      </c>
      <c r="Q906">
        <v>4004.56</v>
      </c>
      <c r="R906" t="s">
        <v>54</v>
      </c>
      <c r="S906" t="s">
        <v>63</v>
      </c>
      <c r="T906" t="s">
        <v>95</v>
      </c>
      <c r="U906" t="s">
        <v>96</v>
      </c>
      <c r="V906" t="s">
        <v>57</v>
      </c>
      <c r="W906">
        <v>6</v>
      </c>
      <c r="X906" t="s">
        <v>47</v>
      </c>
      <c r="Y906">
        <v>5</v>
      </c>
      <c r="Z906" t="s">
        <v>39</v>
      </c>
    </row>
    <row r="907" spans="1:26" x14ac:dyDescent="0.3">
      <c r="A907" t="s">
        <v>1567</v>
      </c>
      <c r="B907" s="2">
        <v>45832</v>
      </c>
      <c r="C907" t="s">
        <v>1245</v>
      </c>
      <c r="D907" t="s">
        <v>42</v>
      </c>
      <c r="E907" t="s">
        <v>29</v>
      </c>
      <c r="F907">
        <v>43</v>
      </c>
      <c r="G907" t="s">
        <v>30</v>
      </c>
      <c r="H907" t="s">
        <v>31</v>
      </c>
      <c r="I907" t="s">
        <v>30</v>
      </c>
      <c r="J907" t="s">
        <v>62</v>
      </c>
      <c r="K907">
        <v>1</v>
      </c>
      <c r="L907">
        <v>9225</v>
      </c>
      <c r="M907">
        <v>5</v>
      </c>
      <c r="N907">
        <v>461.25</v>
      </c>
      <c r="O907">
        <v>1577.47</v>
      </c>
      <c r="P907">
        <v>455</v>
      </c>
      <c r="Q907">
        <v>10796.23</v>
      </c>
      <c r="R907" t="s">
        <v>33</v>
      </c>
      <c r="S907" t="s">
        <v>34</v>
      </c>
      <c r="T907" t="s">
        <v>95</v>
      </c>
      <c r="U907" t="s">
        <v>96</v>
      </c>
      <c r="V907" t="s">
        <v>57</v>
      </c>
      <c r="W907">
        <v>1</v>
      </c>
      <c r="X907" t="s">
        <v>47</v>
      </c>
      <c r="Y907">
        <v>3</v>
      </c>
      <c r="Z907" t="s">
        <v>91</v>
      </c>
    </row>
    <row r="908" spans="1:26" x14ac:dyDescent="0.3">
      <c r="A908" t="s">
        <v>1568</v>
      </c>
      <c r="B908" s="2">
        <v>45945</v>
      </c>
      <c r="C908" t="s">
        <v>1431</v>
      </c>
      <c r="D908" t="s">
        <v>111</v>
      </c>
      <c r="E908" t="s">
        <v>43</v>
      </c>
      <c r="F908">
        <v>44</v>
      </c>
      <c r="G908" t="s">
        <v>134</v>
      </c>
      <c r="H908" t="s">
        <v>31</v>
      </c>
      <c r="I908" t="s">
        <v>134</v>
      </c>
      <c r="J908" t="s">
        <v>102</v>
      </c>
      <c r="K908">
        <v>1</v>
      </c>
      <c r="L908">
        <v>6372</v>
      </c>
      <c r="M908">
        <v>0</v>
      </c>
      <c r="N908">
        <v>0</v>
      </c>
      <c r="O908">
        <v>1146.96</v>
      </c>
      <c r="P908">
        <v>422</v>
      </c>
      <c r="Q908">
        <v>7940.96</v>
      </c>
      <c r="R908" t="s">
        <v>54</v>
      </c>
      <c r="S908" t="s">
        <v>34</v>
      </c>
      <c r="T908" t="s">
        <v>46</v>
      </c>
      <c r="U908" t="s">
        <v>36</v>
      </c>
      <c r="V908" t="s">
        <v>37</v>
      </c>
      <c r="W908">
        <v>8</v>
      </c>
      <c r="X908" t="s">
        <v>38</v>
      </c>
      <c r="Y908">
        <v>1</v>
      </c>
      <c r="Z908" t="s">
        <v>91</v>
      </c>
    </row>
    <row r="909" spans="1:26" x14ac:dyDescent="0.3">
      <c r="A909" t="s">
        <v>1569</v>
      </c>
      <c r="B909" s="2">
        <v>45984</v>
      </c>
      <c r="C909" t="s">
        <v>1570</v>
      </c>
      <c r="D909" t="s">
        <v>73</v>
      </c>
      <c r="E909" t="s">
        <v>29</v>
      </c>
      <c r="F909">
        <v>24</v>
      </c>
      <c r="G909" t="s">
        <v>51</v>
      </c>
      <c r="H909" t="s">
        <v>52</v>
      </c>
      <c r="I909" t="s">
        <v>51</v>
      </c>
      <c r="J909" t="s">
        <v>32</v>
      </c>
      <c r="K909">
        <v>5</v>
      </c>
      <c r="L909">
        <v>49982</v>
      </c>
      <c r="M909">
        <v>10</v>
      </c>
      <c r="N909">
        <v>24991</v>
      </c>
      <c r="O909">
        <v>40485.42</v>
      </c>
      <c r="P909">
        <v>205</v>
      </c>
      <c r="Q909">
        <v>265609.42</v>
      </c>
      <c r="R909" t="s">
        <v>45</v>
      </c>
      <c r="S909" t="s">
        <v>63</v>
      </c>
      <c r="T909" t="s">
        <v>103</v>
      </c>
      <c r="U909" t="s">
        <v>103</v>
      </c>
      <c r="V909" t="s">
        <v>57</v>
      </c>
      <c r="W909">
        <v>1</v>
      </c>
      <c r="X909" t="s">
        <v>47</v>
      </c>
      <c r="Y909">
        <v>1</v>
      </c>
      <c r="Z909" t="s">
        <v>91</v>
      </c>
    </row>
    <row r="910" spans="1:26" x14ac:dyDescent="0.3">
      <c r="A910" t="s">
        <v>1571</v>
      </c>
      <c r="B910" s="2">
        <v>45789</v>
      </c>
      <c r="C910" t="s">
        <v>229</v>
      </c>
      <c r="D910" t="s">
        <v>28</v>
      </c>
      <c r="E910" t="s">
        <v>29</v>
      </c>
      <c r="F910">
        <v>44</v>
      </c>
      <c r="G910" t="s">
        <v>67</v>
      </c>
      <c r="H910" t="s">
        <v>68</v>
      </c>
      <c r="I910" t="s">
        <v>67</v>
      </c>
      <c r="J910" t="s">
        <v>32</v>
      </c>
      <c r="K910">
        <v>5</v>
      </c>
      <c r="L910">
        <v>35237</v>
      </c>
      <c r="M910">
        <v>10</v>
      </c>
      <c r="N910">
        <v>17618.5</v>
      </c>
      <c r="O910">
        <v>28541.97</v>
      </c>
      <c r="P910">
        <v>14</v>
      </c>
      <c r="Q910">
        <v>187122.47</v>
      </c>
      <c r="R910" t="s">
        <v>45</v>
      </c>
      <c r="S910" t="s">
        <v>63</v>
      </c>
      <c r="T910" t="s">
        <v>46</v>
      </c>
      <c r="U910" t="s">
        <v>36</v>
      </c>
      <c r="V910" t="s">
        <v>37</v>
      </c>
      <c r="W910">
        <v>1</v>
      </c>
      <c r="X910" t="s">
        <v>47</v>
      </c>
      <c r="Y910">
        <v>4</v>
      </c>
      <c r="Z910" t="s">
        <v>47</v>
      </c>
    </row>
    <row r="911" spans="1:26" x14ac:dyDescent="0.3">
      <c r="A911" t="s">
        <v>1572</v>
      </c>
      <c r="B911" s="2">
        <v>45772</v>
      </c>
      <c r="C911" t="s">
        <v>1497</v>
      </c>
      <c r="D911" t="s">
        <v>50</v>
      </c>
      <c r="E911" t="s">
        <v>43</v>
      </c>
      <c r="F911">
        <v>47</v>
      </c>
      <c r="G911" t="s">
        <v>51</v>
      </c>
      <c r="H911" t="s">
        <v>52</v>
      </c>
      <c r="I911" t="s">
        <v>51</v>
      </c>
      <c r="J911" t="s">
        <v>125</v>
      </c>
      <c r="K911">
        <v>4</v>
      </c>
      <c r="L911">
        <v>26654</v>
      </c>
      <c r="M911">
        <v>15</v>
      </c>
      <c r="N911">
        <v>15992.4</v>
      </c>
      <c r="O911">
        <v>16312.25</v>
      </c>
      <c r="P911">
        <v>222</v>
      </c>
      <c r="Q911">
        <v>107157.85</v>
      </c>
      <c r="R911" t="s">
        <v>33</v>
      </c>
      <c r="S911" t="s">
        <v>63</v>
      </c>
      <c r="T911" t="s">
        <v>35</v>
      </c>
      <c r="U911" t="s">
        <v>36</v>
      </c>
      <c r="V911" t="s">
        <v>37</v>
      </c>
      <c r="W911">
        <v>3</v>
      </c>
      <c r="X911" t="s">
        <v>38</v>
      </c>
      <c r="Y911">
        <v>2</v>
      </c>
      <c r="Z911" t="s">
        <v>39</v>
      </c>
    </row>
    <row r="912" spans="1:26" x14ac:dyDescent="0.3">
      <c r="A912" t="s">
        <v>1573</v>
      </c>
      <c r="B912" s="2">
        <v>45834</v>
      </c>
      <c r="C912" t="s">
        <v>209</v>
      </c>
      <c r="D912" t="s">
        <v>80</v>
      </c>
      <c r="E912" t="s">
        <v>29</v>
      </c>
      <c r="F912">
        <v>25</v>
      </c>
      <c r="G912" t="s">
        <v>134</v>
      </c>
      <c r="H912" t="s">
        <v>31</v>
      </c>
      <c r="I912" t="s">
        <v>134</v>
      </c>
      <c r="J912" t="s">
        <v>102</v>
      </c>
      <c r="K912">
        <v>3</v>
      </c>
      <c r="L912">
        <v>12886</v>
      </c>
      <c r="M912">
        <v>5</v>
      </c>
      <c r="N912">
        <v>1932.9</v>
      </c>
      <c r="O912">
        <v>6610.52</v>
      </c>
      <c r="P912">
        <v>485</v>
      </c>
      <c r="Q912">
        <v>43820.62</v>
      </c>
      <c r="R912" t="s">
        <v>83</v>
      </c>
      <c r="S912" t="s">
        <v>34</v>
      </c>
      <c r="T912" t="s">
        <v>55</v>
      </c>
      <c r="U912" t="s">
        <v>56</v>
      </c>
      <c r="V912" t="s">
        <v>57</v>
      </c>
      <c r="W912">
        <v>2</v>
      </c>
      <c r="X912" t="s">
        <v>47</v>
      </c>
      <c r="Y912">
        <v>3</v>
      </c>
      <c r="Z912" t="s">
        <v>58</v>
      </c>
    </row>
    <row r="913" spans="1:26" x14ac:dyDescent="0.3">
      <c r="A913" t="s">
        <v>1574</v>
      </c>
      <c r="B913" s="2">
        <v>45899</v>
      </c>
      <c r="C913" t="s">
        <v>488</v>
      </c>
      <c r="D913" t="s">
        <v>111</v>
      </c>
      <c r="E913" t="s">
        <v>43</v>
      </c>
      <c r="F913">
        <v>28</v>
      </c>
      <c r="G913" t="s">
        <v>51</v>
      </c>
      <c r="H913" t="s">
        <v>52</v>
      </c>
      <c r="I913" t="s">
        <v>51</v>
      </c>
      <c r="J913" t="s">
        <v>69</v>
      </c>
      <c r="K913">
        <v>4</v>
      </c>
      <c r="L913">
        <v>35630</v>
      </c>
      <c r="M913">
        <v>15</v>
      </c>
      <c r="N913">
        <v>21378</v>
      </c>
      <c r="O913">
        <v>21805.56</v>
      </c>
      <c r="P913">
        <v>107</v>
      </c>
      <c r="Q913">
        <v>143054.56</v>
      </c>
      <c r="R913" t="s">
        <v>45</v>
      </c>
      <c r="S913" t="s">
        <v>63</v>
      </c>
      <c r="T913" t="s">
        <v>35</v>
      </c>
      <c r="U913" t="s">
        <v>36</v>
      </c>
      <c r="V913" t="s">
        <v>37</v>
      </c>
      <c r="W913">
        <v>3</v>
      </c>
      <c r="X913" t="s">
        <v>38</v>
      </c>
      <c r="Y913">
        <v>1</v>
      </c>
      <c r="Z913" t="s">
        <v>47</v>
      </c>
    </row>
    <row r="914" spans="1:26" x14ac:dyDescent="0.3">
      <c r="A914" t="s">
        <v>1575</v>
      </c>
      <c r="B914" s="2">
        <v>45804</v>
      </c>
      <c r="C914" t="s">
        <v>1576</v>
      </c>
      <c r="D914" t="s">
        <v>42</v>
      </c>
      <c r="E914" t="s">
        <v>43</v>
      </c>
      <c r="F914">
        <v>59</v>
      </c>
      <c r="G914" t="s">
        <v>139</v>
      </c>
      <c r="H914" t="s">
        <v>31</v>
      </c>
      <c r="I914" t="s">
        <v>139</v>
      </c>
      <c r="J914" t="s">
        <v>150</v>
      </c>
      <c r="K914">
        <v>2</v>
      </c>
      <c r="L914">
        <v>36760</v>
      </c>
      <c r="M914">
        <v>20</v>
      </c>
      <c r="N914">
        <v>14704</v>
      </c>
      <c r="O914">
        <v>10586.88</v>
      </c>
      <c r="P914">
        <v>454</v>
      </c>
      <c r="Q914">
        <v>69856.88</v>
      </c>
      <c r="R914" t="s">
        <v>54</v>
      </c>
      <c r="S914" t="s">
        <v>34</v>
      </c>
      <c r="T914" t="s">
        <v>55</v>
      </c>
      <c r="U914" t="s">
        <v>56</v>
      </c>
      <c r="V914" t="s">
        <v>57</v>
      </c>
      <c r="W914">
        <v>8</v>
      </c>
      <c r="X914" t="s">
        <v>47</v>
      </c>
      <c r="Y914">
        <v>2</v>
      </c>
      <c r="Z914" t="s">
        <v>91</v>
      </c>
    </row>
    <row r="915" spans="1:26" x14ac:dyDescent="0.3">
      <c r="A915" t="s">
        <v>1577</v>
      </c>
      <c r="B915" s="2">
        <v>45803</v>
      </c>
      <c r="C915" t="s">
        <v>1245</v>
      </c>
      <c r="D915" t="s">
        <v>111</v>
      </c>
      <c r="E915" t="s">
        <v>43</v>
      </c>
      <c r="F915">
        <v>49</v>
      </c>
      <c r="G915" t="s">
        <v>134</v>
      </c>
      <c r="H915" t="s">
        <v>31</v>
      </c>
      <c r="I915" t="s">
        <v>134</v>
      </c>
      <c r="J915" t="s">
        <v>102</v>
      </c>
      <c r="K915">
        <v>1</v>
      </c>
      <c r="L915">
        <v>18286</v>
      </c>
      <c r="M915">
        <v>20</v>
      </c>
      <c r="N915">
        <v>3657.2</v>
      </c>
      <c r="O915">
        <v>2633.18</v>
      </c>
      <c r="P915">
        <v>99</v>
      </c>
      <c r="Q915">
        <v>17360.98</v>
      </c>
      <c r="R915" t="s">
        <v>54</v>
      </c>
      <c r="S915" t="s">
        <v>34</v>
      </c>
      <c r="T915" t="s">
        <v>70</v>
      </c>
      <c r="U915" t="s">
        <v>56</v>
      </c>
      <c r="V915" t="s">
        <v>57</v>
      </c>
      <c r="W915">
        <v>3</v>
      </c>
      <c r="X915" t="s">
        <v>47</v>
      </c>
      <c r="Y915">
        <v>3</v>
      </c>
      <c r="Z915" t="s">
        <v>47</v>
      </c>
    </row>
    <row r="916" spans="1:26" x14ac:dyDescent="0.3">
      <c r="A916" t="s">
        <v>1578</v>
      </c>
      <c r="B916" s="2">
        <v>45794</v>
      </c>
      <c r="C916" t="s">
        <v>1579</v>
      </c>
      <c r="D916" t="s">
        <v>89</v>
      </c>
      <c r="E916" t="s">
        <v>29</v>
      </c>
      <c r="F916">
        <v>52</v>
      </c>
      <c r="G916" t="s">
        <v>51</v>
      </c>
      <c r="H916" t="s">
        <v>52</v>
      </c>
      <c r="I916" t="s">
        <v>51</v>
      </c>
      <c r="J916" t="s">
        <v>32</v>
      </c>
      <c r="K916">
        <v>2</v>
      </c>
      <c r="L916">
        <v>25487</v>
      </c>
      <c r="M916">
        <v>20</v>
      </c>
      <c r="N916">
        <v>10194.799999999999</v>
      </c>
      <c r="O916">
        <v>7340.26</v>
      </c>
      <c r="P916">
        <v>126</v>
      </c>
      <c r="Q916">
        <v>48245.46</v>
      </c>
      <c r="R916" t="s">
        <v>33</v>
      </c>
      <c r="S916" t="s">
        <v>63</v>
      </c>
      <c r="T916" t="s">
        <v>103</v>
      </c>
      <c r="U916" t="s">
        <v>103</v>
      </c>
      <c r="V916" t="s">
        <v>57</v>
      </c>
      <c r="W916">
        <v>4</v>
      </c>
      <c r="X916" t="s">
        <v>47</v>
      </c>
      <c r="Y916">
        <v>5</v>
      </c>
      <c r="Z916" t="s">
        <v>47</v>
      </c>
    </row>
    <row r="917" spans="1:26" x14ac:dyDescent="0.3">
      <c r="A917" t="s">
        <v>1580</v>
      </c>
      <c r="B917" s="2">
        <v>45972</v>
      </c>
      <c r="C917" t="s">
        <v>1497</v>
      </c>
      <c r="D917" t="s">
        <v>111</v>
      </c>
      <c r="E917" t="s">
        <v>43</v>
      </c>
      <c r="F917">
        <v>51</v>
      </c>
      <c r="G917" t="s">
        <v>74</v>
      </c>
      <c r="H917" t="s">
        <v>31</v>
      </c>
      <c r="I917" t="s">
        <v>74</v>
      </c>
      <c r="J917" t="s">
        <v>69</v>
      </c>
      <c r="K917">
        <v>3</v>
      </c>
      <c r="L917">
        <v>3238</v>
      </c>
      <c r="M917">
        <v>0</v>
      </c>
      <c r="N917">
        <v>0</v>
      </c>
      <c r="O917">
        <v>1748.52</v>
      </c>
      <c r="P917">
        <v>121</v>
      </c>
      <c r="Q917">
        <v>11583.52</v>
      </c>
      <c r="R917" t="s">
        <v>54</v>
      </c>
      <c r="S917" t="s">
        <v>34</v>
      </c>
      <c r="T917" t="s">
        <v>103</v>
      </c>
      <c r="U917" t="s">
        <v>103</v>
      </c>
      <c r="V917" t="s">
        <v>57</v>
      </c>
      <c r="W917">
        <v>3</v>
      </c>
      <c r="X917" t="s">
        <v>38</v>
      </c>
      <c r="Y917">
        <v>3</v>
      </c>
      <c r="Z917" t="s">
        <v>91</v>
      </c>
    </row>
    <row r="918" spans="1:26" x14ac:dyDescent="0.3">
      <c r="A918" t="s">
        <v>1581</v>
      </c>
      <c r="B918" s="2">
        <v>45786</v>
      </c>
      <c r="C918" t="s">
        <v>1582</v>
      </c>
      <c r="D918" t="s">
        <v>28</v>
      </c>
      <c r="E918" t="s">
        <v>43</v>
      </c>
      <c r="F918">
        <v>59</v>
      </c>
      <c r="G918" t="s">
        <v>99</v>
      </c>
      <c r="H918" t="s">
        <v>52</v>
      </c>
      <c r="I918" t="s">
        <v>99</v>
      </c>
      <c r="J918" t="s">
        <v>150</v>
      </c>
      <c r="K918">
        <v>4</v>
      </c>
      <c r="L918">
        <v>9369</v>
      </c>
      <c r="M918">
        <v>5</v>
      </c>
      <c r="N918">
        <v>1873.8</v>
      </c>
      <c r="O918">
        <v>6408.4</v>
      </c>
      <c r="P918">
        <v>483</v>
      </c>
      <c r="Q918">
        <v>42493.599999999999</v>
      </c>
      <c r="R918" t="s">
        <v>33</v>
      </c>
      <c r="S918" t="s">
        <v>34</v>
      </c>
      <c r="T918" t="s">
        <v>84</v>
      </c>
      <c r="U918" t="s">
        <v>85</v>
      </c>
      <c r="V918" t="s">
        <v>86</v>
      </c>
      <c r="W918">
        <v>2</v>
      </c>
      <c r="X918" t="s">
        <v>38</v>
      </c>
      <c r="Y918">
        <v>2</v>
      </c>
      <c r="Z918" t="s">
        <v>58</v>
      </c>
    </row>
    <row r="919" spans="1:26" x14ac:dyDescent="0.3">
      <c r="A919" t="s">
        <v>1583</v>
      </c>
      <c r="B919" s="2">
        <v>46033</v>
      </c>
      <c r="C919" t="s">
        <v>1584</v>
      </c>
      <c r="D919" t="s">
        <v>73</v>
      </c>
      <c r="E919" t="s">
        <v>43</v>
      </c>
      <c r="F919">
        <v>20</v>
      </c>
      <c r="G919" t="s">
        <v>67</v>
      </c>
      <c r="H919" t="s">
        <v>68</v>
      </c>
      <c r="I919" t="s">
        <v>67</v>
      </c>
      <c r="J919" t="s">
        <v>53</v>
      </c>
      <c r="K919">
        <v>5</v>
      </c>
      <c r="L919">
        <v>7487</v>
      </c>
      <c r="M919">
        <v>20</v>
      </c>
      <c r="N919">
        <v>7487</v>
      </c>
      <c r="O919">
        <v>5390.64</v>
      </c>
      <c r="P919">
        <v>492</v>
      </c>
      <c r="Q919">
        <v>35830.639999999999</v>
      </c>
      <c r="R919" t="s">
        <v>83</v>
      </c>
      <c r="S919" t="s">
        <v>34</v>
      </c>
      <c r="T919" t="s">
        <v>55</v>
      </c>
      <c r="U919" t="s">
        <v>56</v>
      </c>
      <c r="V919" t="s">
        <v>57</v>
      </c>
      <c r="W919">
        <v>4</v>
      </c>
      <c r="X919" t="s">
        <v>38</v>
      </c>
      <c r="Y919">
        <v>4</v>
      </c>
      <c r="Z919" t="s">
        <v>47</v>
      </c>
    </row>
    <row r="920" spans="1:26" x14ac:dyDescent="0.3">
      <c r="A920" t="s">
        <v>1585</v>
      </c>
      <c r="B920" s="2">
        <v>45879</v>
      </c>
      <c r="C920" t="s">
        <v>386</v>
      </c>
      <c r="D920" t="s">
        <v>108</v>
      </c>
      <c r="E920" t="s">
        <v>29</v>
      </c>
      <c r="F920">
        <v>42</v>
      </c>
      <c r="G920" t="s">
        <v>90</v>
      </c>
      <c r="H920" t="s">
        <v>31</v>
      </c>
      <c r="I920" t="s">
        <v>90</v>
      </c>
      <c r="J920" t="s">
        <v>75</v>
      </c>
      <c r="K920">
        <v>5</v>
      </c>
      <c r="L920">
        <v>8615</v>
      </c>
      <c r="M920">
        <v>5</v>
      </c>
      <c r="N920">
        <v>2153.75</v>
      </c>
      <c r="O920">
        <v>7365.82</v>
      </c>
      <c r="P920">
        <v>143</v>
      </c>
      <c r="Q920">
        <v>48430.07</v>
      </c>
      <c r="R920" t="s">
        <v>54</v>
      </c>
      <c r="S920" t="s">
        <v>34</v>
      </c>
      <c r="T920" t="s">
        <v>35</v>
      </c>
      <c r="U920" t="s">
        <v>36</v>
      </c>
      <c r="V920" t="s">
        <v>37</v>
      </c>
      <c r="W920">
        <v>7</v>
      </c>
      <c r="X920" t="s">
        <v>38</v>
      </c>
      <c r="Y920">
        <v>5</v>
      </c>
      <c r="Z920" t="s">
        <v>39</v>
      </c>
    </row>
    <row r="921" spans="1:26" x14ac:dyDescent="0.3">
      <c r="A921" t="s">
        <v>1586</v>
      </c>
      <c r="B921" s="2">
        <v>45945</v>
      </c>
      <c r="C921" t="s">
        <v>359</v>
      </c>
      <c r="D921" t="s">
        <v>80</v>
      </c>
      <c r="E921" t="s">
        <v>29</v>
      </c>
      <c r="F921">
        <v>47</v>
      </c>
      <c r="G921" t="s">
        <v>30</v>
      </c>
      <c r="H921" t="s">
        <v>31</v>
      </c>
      <c r="I921" t="s">
        <v>30</v>
      </c>
      <c r="J921" t="s">
        <v>75</v>
      </c>
      <c r="K921">
        <v>1</v>
      </c>
      <c r="L921">
        <v>17074</v>
      </c>
      <c r="M921">
        <v>15</v>
      </c>
      <c r="N921">
        <v>2561.1</v>
      </c>
      <c r="O921">
        <v>2612.3200000000002</v>
      </c>
      <c r="P921">
        <v>197</v>
      </c>
      <c r="Q921">
        <v>17322.22</v>
      </c>
      <c r="R921" t="s">
        <v>83</v>
      </c>
      <c r="S921" t="s">
        <v>63</v>
      </c>
      <c r="T921" t="s">
        <v>103</v>
      </c>
      <c r="U921" t="s">
        <v>103</v>
      </c>
      <c r="V921" t="s">
        <v>57</v>
      </c>
      <c r="W921">
        <v>10</v>
      </c>
      <c r="X921" t="s">
        <v>47</v>
      </c>
      <c r="Y921">
        <v>2</v>
      </c>
      <c r="Z921" t="s">
        <v>39</v>
      </c>
    </row>
    <row r="922" spans="1:26" x14ac:dyDescent="0.3">
      <c r="A922" t="s">
        <v>1587</v>
      </c>
      <c r="B922" s="2">
        <v>45828</v>
      </c>
      <c r="C922" t="s">
        <v>307</v>
      </c>
      <c r="D922" t="s">
        <v>89</v>
      </c>
      <c r="E922" t="s">
        <v>29</v>
      </c>
      <c r="F922">
        <v>22</v>
      </c>
      <c r="G922" t="s">
        <v>94</v>
      </c>
      <c r="H922" t="s">
        <v>31</v>
      </c>
      <c r="I922" t="s">
        <v>94</v>
      </c>
      <c r="J922" t="s">
        <v>75</v>
      </c>
      <c r="K922">
        <v>5</v>
      </c>
      <c r="L922">
        <v>31555</v>
      </c>
      <c r="M922">
        <v>0</v>
      </c>
      <c r="N922">
        <v>0</v>
      </c>
      <c r="O922">
        <v>28399.5</v>
      </c>
      <c r="P922">
        <v>290</v>
      </c>
      <c r="Q922">
        <v>186464.5</v>
      </c>
      <c r="R922" t="s">
        <v>83</v>
      </c>
      <c r="S922" t="s">
        <v>34</v>
      </c>
      <c r="T922" t="s">
        <v>76</v>
      </c>
      <c r="U922" t="s">
        <v>77</v>
      </c>
      <c r="V922" t="s">
        <v>57</v>
      </c>
      <c r="W922">
        <v>5</v>
      </c>
      <c r="X922" t="s">
        <v>47</v>
      </c>
      <c r="Y922">
        <v>2</v>
      </c>
      <c r="Z922" t="s">
        <v>39</v>
      </c>
    </row>
    <row r="923" spans="1:26" x14ac:dyDescent="0.3">
      <c r="A923" t="s">
        <v>1588</v>
      </c>
      <c r="B923" s="2">
        <v>45965</v>
      </c>
      <c r="C923" t="s">
        <v>1589</v>
      </c>
      <c r="D923" t="s">
        <v>73</v>
      </c>
      <c r="E923" t="s">
        <v>43</v>
      </c>
      <c r="F923">
        <v>42</v>
      </c>
      <c r="G923" t="s">
        <v>90</v>
      </c>
      <c r="H923" t="s">
        <v>31</v>
      </c>
      <c r="I923" t="s">
        <v>90</v>
      </c>
      <c r="J923" t="s">
        <v>150</v>
      </c>
      <c r="K923">
        <v>2</v>
      </c>
      <c r="L923">
        <v>36468</v>
      </c>
      <c r="M923">
        <v>10</v>
      </c>
      <c r="N923">
        <v>7293.6</v>
      </c>
      <c r="O923">
        <v>11815.63</v>
      </c>
      <c r="P923">
        <v>106</v>
      </c>
      <c r="Q923">
        <v>77564.03</v>
      </c>
      <c r="R923" t="s">
        <v>33</v>
      </c>
      <c r="S923" t="s">
        <v>63</v>
      </c>
      <c r="T923" t="s">
        <v>95</v>
      </c>
      <c r="U923" t="s">
        <v>96</v>
      </c>
      <c r="V923" t="s">
        <v>57</v>
      </c>
      <c r="W923">
        <v>7</v>
      </c>
      <c r="X923" t="s">
        <v>38</v>
      </c>
      <c r="Y923">
        <v>1</v>
      </c>
      <c r="Z923" t="s">
        <v>39</v>
      </c>
    </row>
    <row r="924" spans="1:26" x14ac:dyDescent="0.3">
      <c r="A924" t="s">
        <v>1590</v>
      </c>
      <c r="B924" s="2">
        <v>46109</v>
      </c>
      <c r="C924" t="s">
        <v>1591</v>
      </c>
      <c r="D924" t="s">
        <v>42</v>
      </c>
      <c r="E924" t="s">
        <v>29</v>
      </c>
      <c r="F924">
        <v>19</v>
      </c>
      <c r="G924" t="s">
        <v>99</v>
      </c>
      <c r="H924" t="s">
        <v>52</v>
      </c>
      <c r="I924" t="s">
        <v>99</v>
      </c>
      <c r="J924" t="s">
        <v>125</v>
      </c>
      <c r="K924">
        <v>1</v>
      </c>
      <c r="L924">
        <v>17001</v>
      </c>
      <c r="M924">
        <v>20</v>
      </c>
      <c r="N924">
        <v>3400.2</v>
      </c>
      <c r="O924">
        <v>2448.14</v>
      </c>
      <c r="P924">
        <v>72</v>
      </c>
      <c r="Q924">
        <v>16120.94</v>
      </c>
      <c r="R924" t="s">
        <v>54</v>
      </c>
      <c r="S924" t="s">
        <v>34</v>
      </c>
      <c r="T924" t="s">
        <v>70</v>
      </c>
      <c r="U924" t="s">
        <v>56</v>
      </c>
      <c r="V924" t="s">
        <v>57</v>
      </c>
      <c r="W924">
        <v>3</v>
      </c>
      <c r="X924" t="s">
        <v>38</v>
      </c>
      <c r="Y924">
        <v>4</v>
      </c>
      <c r="Z924" t="s">
        <v>39</v>
      </c>
    </row>
    <row r="925" spans="1:26" x14ac:dyDescent="0.3">
      <c r="A925" t="s">
        <v>1592</v>
      </c>
      <c r="B925" s="2">
        <v>45823</v>
      </c>
      <c r="C925" t="s">
        <v>897</v>
      </c>
      <c r="D925" t="s">
        <v>66</v>
      </c>
      <c r="E925" t="s">
        <v>43</v>
      </c>
      <c r="F925">
        <v>24</v>
      </c>
      <c r="G925" t="s">
        <v>99</v>
      </c>
      <c r="H925" t="s">
        <v>52</v>
      </c>
      <c r="I925" t="s">
        <v>99</v>
      </c>
      <c r="J925" t="s">
        <v>62</v>
      </c>
      <c r="K925">
        <v>1</v>
      </c>
      <c r="L925">
        <v>2091</v>
      </c>
      <c r="M925">
        <v>10</v>
      </c>
      <c r="N925">
        <v>209.1</v>
      </c>
      <c r="O925">
        <v>338.74</v>
      </c>
      <c r="P925">
        <v>95</v>
      </c>
      <c r="Q925">
        <v>2315.64</v>
      </c>
      <c r="R925" t="s">
        <v>45</v>
      </c>
      <c r="S925" t="s">
        <v>63</v>
      </c>
      <c r="T925" t="s">
        <v>46</v>
      </c>
      <c r="U925" t="s">
        <v>36</v>
      </c>
      <c r="V925" t="s">
        <v>37</v>
      </c>
      <c r="W925">
        <v>4</v>
      </c>
      <c r="X925" t="s">
        <v>47</v>
      </c>
      <c r="Y925">
        <v>4</v>
      </c>
      <c r="Z925" t="s">
        <v>58</v>
      </c>
    </row>
    <row r="926" spans="1:26" x14ac:dyDescent="0.3">
      <c r="A926" t="s">
        <v>1593</v>
      </c>
      <c r="B926" s="2">
        <v>45767</v>
      </c>
      <c r="C926" t="s">
        <v>1521</v>
      </c>
      <c r="D926" t="s">
        <v>111</v>
      </c>
      <c r="E926" t="s">
        <v>29</v>
      </c>
      <c r="F926">
        <v>24</v>
      </c>
      <c r="G926" t="s">
        <v>74</v>
      </c>
      <c r="H926" t="s">
        <v>31</v>
      </c>
      <c r="I926" t="s">
        <v>74</v>
      </c>
      <c r="J926" t="s">
        <v>201</v>
      </c>
      <c r="K926">
        <v>5</v>
      </c>
      <c r="L926">
        <v>27061</v>
      </c>
      <c r="M926">
        <v>15</v>
      </c>
      <c r="N926">
        <v>20295.75</v>
      </c>
      <c r="O926">
        <v>20701.669999999998</v>
      </c>
      <c r="P926">
        <v>389</v>
      </c>
      <c r="Q926">
        <v>136099.92000000001</v>
      </c>
      <c r="R926" t="s">
        <v>54</v>
      </c>
      <c r="S926" t="s">
        <v>63</v>
      </c>
      <c r="T926" t="s">
        <v>76</v>
      </c>
      <c r="U926" t="s">
        <v>77</v>
      </c>
      <c r="V926" t="s">
        <v>57</v>
      </c>
      <c r="W926">
        <v>4</v>
      </c>
      <c r="X926" t="s">
        <v>38</v>
      </c>
      <c r="Y926">
        <v>2</v>
      </c>
      <c r="Z926" t="s">
        <v>58</v>
      </c>
    </row>
    <row r="927" spans="1:26" x14ac:dyDescent="0.3">
      <c r="A927" t="s">
        <v>1594</v>
      </c>
      <c r="B927" s="2">
        <v>46000</v>
      </c>
      <c r="C927" t="s">
        <v>1595</v>
      </c>
      <c r="D927" t="s">
        <v>61</v>
      </c>
      <c r="E927" t="s">
        <v>29</v>
      </c>
      <c r="F927">
        <v>35</v>
      </c>
      <c r="G927" t="s">
        <v>74</v>
      </c>
      <c r="H927" t="s">
        <v>31</v>
      </c>
      <c r="I927" t="s">
        <v>74</v>
      </c>
      <c r="J927" t="s">
        <v>102</v>
      </c>
      <c r="K927">
        <v>3</v>
      </c>
      <c r="L927">
        <v>9812</v>
      </c>
      <c r="M927">
        <v>20</v>
      </c>
      <c r="N927">
        <v>5887.2</v>
      </c>
      <c r="O927">
        <v>4238.78</v>
      </c>
      <c r="P927">
        <v>136</v>
      </c>
      <c r="Q927">
        <v>27923.58</v>
      </c>
      <c r="R927" t="s">
        <v>45</v>
      </c>
      <c r="S927" t="s">
        <v>34</v>
      </c>
      <c r="T927" t="s">
        <v>103</v>
      </c>
      <c r="U927" t="s">
        <v>103</v>
      </c>
      <c r="V927" t="s">
        <v>57</v>
      </c>
      <c r="W927">
        <v>5</v>
      </c>
      <c r="X927" t="s">
        <v>47</v>
      </c>
      <c r="Y927">
        <v>5</v>
      </c>
      <c r="Z927" t="s">
        <v>58</v>
      </c>
    </row>
    <row r="928" spans="1:26" x14ac:dyDescent="0.3">
      <c r="A928" t="s">
        <v>1596</v>
      </c>
      <c r="B928" s="2">
        <v>45907</v>
      </c>
      <c r="C928" t="s">
        <v>441</v>
      </c>
      <c r="D928" t="s">
        <v>50</v>
      </c>
      <c r="E928" t="s">
        <v>29</v>
      </c>
      <c r="F928">
        <v>48</v>
      </c>
      <c r="G928" t="s">
        <v>134</v>
      </c>
      <c r="H928" t="s">
        <v>31</v>
      </c>
      <c r="I928" t="s">
        <v>134</v>
      </c>
      <c r="J928" t="s">
        <v>53</v>
      </c>
      <c r="K928">
        <v>2</v>
      </c>
      <c r="L928">
        <v>42773</v>
      </c>
      <c r="M928">
        <v>0</v>
      </c>
      <c r="N928">
        <v>0</v>
      </c>
      <c r="O928">
        <v>15398.28</v>
      </c>
      <c r="P928">
        <v>254</v>
      </c>
      <c r="Q928">
        <v>101198.28</v>
      </c>
      <c r="R928" t="s">
        <v>45</v>
      </c>
      <c r="S928" t="s">
        <v>34</v>
      </c>
      <c r="T928" t="s">
        <v>46</v>
      </c>
      <c r="U928" t="s">
        <v>36</v>
      </c>
      <c r="V928" t="s">
        <v>37</v>
      </c>
      <c r="W928">
        <v>3</v>
      </c>
      <c r="X928" t="s">
        <v>47</v>
      </c>
      <c r="Y928">
        <v>2</v>
      </c>
      <c r="Z928" t="s">
        <v>58</v>
      </c>
    </row>
    <row r="929" spans="1:26" x14ac:dyDescent="0.3">
      <c r="A929" t="s">
        <v>1597</v>
      </c>
      <c r="B929" s="2">
        <v>46119</v>
      </c>
      <c r="C929" t="s">
        <v>141</v>
      </c>
      <c r="D929" t="s">
        <v>61</v>
      </c>
      <c r="E929" t="s">
        <v>43</v>
      </c>
      <c r="F929">
        <v>42</v>
      </c>
      <c r="G929" t="s">
        <v>90</v>
      </c>
      <c r="H929" t="s">
        <v>31</v>
      </c>
      <c r="I929" t="s">
        <v>90</v>
      </c>
      <c r="J929" t="s">
        <v>125</v>
      </c>
      <c r="K929">
        <v>1</v>
      </c>
      <c r="L929">
        <v>14852</v>
      </c>
      <c r="M929">
        <v>15</v>
      </c>
      <c r="N929">
        <v>2227.8000000000002</v>
      </c>
      <c r="O929">
        <v>2272.36</v>
      </c>
      <c r="P929">
        <v>109</v>
      </c>
      <c r="Q929">
        <v>15005.56</v>
      </c>
      <c r="R929" t="s">
        <v>83</v>
      </c>
      <c r="S929" t="s">
        <v>63</v>
      </c>
      <c r="T929" t="s">
        <v>103</v>
      </c>
      <c r="U929" t="s">
        <v>103</v>
      </c>
      <c r="V929" t="s">
        <v>57</v>
      </c>
      <c r="W929">
        <v>5</v>
      </c>
      <c r="X929" t="s">
        <v>38</v>
      </c>
      <c r="Y929">
        <v>5</v>
      </c>
      <c r="Z929" t="s">
        <v>47</v>
      </c>
    </row>
    <row r="930" spans="1:26" x14ac:dyDescent="0.3">
      <c r="A930" t="s">
        <v>1598</v>
      </c>
      <c r="B930" s="2">
        <v>45906</v>
      </c>
      <c r="C930" t="s">
        <v>848</v>
      </c>
      <c r="D930" t="s">
        <v>108</v>
      </c>
      <c r="E930" t="s">
        <v>43</v>
      </c>
      <c r="F930">
        <v>58</v>
      </c>
      <c r="G930" t="s">
        <v>139</v>
      </c>
      <c r="H930" t="s">
        <v>31</v>
      </c>
      <c r="I930" t="s">
        <v>139</v>
      </c>
      <c r="J930" t="s">
        <v>69</v>
      </c>
      <c r="K930">
        <v>3</v>
      </c>
      <c r="L930">
        <v>8496</v>
      </c>
      <c r="M930">
        <v>15</v>
      </c>
      <c r="N930">
        <v>3823.2</v>
      </c>
      <c r="O930">
        <v>3899.66</v>
      </c>
      <c r="P930">
        <v>138</v>
      </c>
      <c r="Q930">
        <v>25702.46</v>
      </c>
      <c r="R930" t="s">
        <v>33</v>
      </c>
      <c r="S930" t="s">
        <v>34</v>
      </c>
      <c r="T930" t="s">
        <v>103</v>
      </c>
      <c r="U930" t="s">
        <v>103</v>
      </c>
      <c r="V930" t="s">
        <v>57</v>
      </c>
      <c r="W930">
        <v>9</v>
      </c>
      <c r="X930" t="s">
        <v>38</v>
      </c>
      <c r="Y930">
        <v>3</v>
      </c>
      <c r="Z930" t="s">
        <v>91</v>
      </c>
    </row>
    <row r="931" spans="1:26" x14ac:dyDescent="0.3">
      <c r="A931" t="s">
        <v>1599</v>
      </c>
      <c r="B931" s="2">
        <v>45955</v>
      </c>
      <c r="C931" t="s">
        <v>1600</v>
      </c>
      <c r="D931" t="s">
        <v>108</v>
      </c>
      <c r="E931" t="s">
        <v>43</v>
      </c>
      <c r="F931">
        <v>49</v>
      </c>
      <c r="G931" t="s">
        <v>139</v>
      </c>
      <c r="H931" t="s">
        <v>31</v>
      </c>
      <c r="I931" t="s">
        <v>139</v>
      </c>
      <c r="J931" t="s">
        <v>62</v>
      </c>
      <c r="K931">
        <v>3</v>
      </c>
      <c r="L931">
        <v>8963</v>
      </c>
      <c r="M931">
        <v>20</v>
      </c>
      <c r="N931">
        <v>5377.8</v>
      </c>
      <c r="O931">
        <v>3872.02</v>
      </c>
      <c r="P931">
        <v>168</v>
      </c>
      <c r="Q931">
        <v>25551.22</v>
      </c>
      <c r="R931" t="s">
        <v>45</v>
      </c>
      <c r="S931" t="s">
        <v>34</v>
      </c>
      <c r="T931" t="s">
        <v>103</v>
      </c>
      <c r="U931" t="s">
        <v>103</v>
      </c>
      <c r="V931" t="s">
        <v>57</v>
      </c>
      <c r="W931">
        <v>8</v>
      </c>
      <c r="X931" t="s">
        <v>47</v>
      </c>
      <c r="Y931">
        <v>1</v>
      </c>
      <c r="Z931" t="s">
        <v>91</v>
      </c>
    </row>
    <row r="932" spans="1:26" x14ac:dyDescent="0.3">
      <c r="A932" t="s">
        <v>1601</v>
      </c>
      <c r="B932" s="2">
        <v>45949</v>
      </c>
      <c r="C932" t="s">
        <v>858</v>
      </c>
      <c r="D932" t="s">
        <v>73</v>
      </c>
      <c r="E932" t="s">
        <v>43</v>
      </c>
      <c r="F932">
        <v>41</v>
      </c>
      <c r="G932" t="s">
        <v>74</v>
      </c>
      <c r="H932" t="s">
        <v>31</v>
      </c>
      <c r="I932" t="s">
        <v>74</v>
      </c>
      <c r="J932" t="s">
        <v>69</v>
      </c>
      <c r="K932">
        <v>5</v>
      </c>
      <c r="L932">
        <v>13929</v>
      </c>
      <c r="M932">
        <v>0</v>
      </c>
      <c r="N932">
        <v>0</v>
      </c>
      <c r="O932">
        <v>12536.1</v>
      </c>
      <c r="P932">
        <v>429</v>
      </c>
      <c r="Q932">
        <v>82610.100000000006</v>
      </c>
      <c r="R932" t="s">
        <v>83</v>
      </c>
      <c r="S932" t="s">
        <v>34</v>
      </c>
      <c r="T932" t="s">
        <v>35</v>
      </c>
      <c r="U932" t="s">
        <v>36</v>
      </c>
      <c r="V932" t="s">
        <v>37</v>
      </c>
      <c r="W932">
        <v>1</v>
      </c>
      <c r="X932" t="s">
        <v>38</v>
      </c>
      <c r="Y932">
        <v>2</v>
      </c>
      <c r="Z932" t="s">
        <v>39</v>
      </c>
    </row>
    <row r="933" spans="1:26" x14ac:dyDescent="0.3">
      <c r="A933" t="s">
        <v>1602</v>
      </c>
      <c r="B933" s="2">
        <v>46092</v>
      </c>
      <c r="C933" t="s">
        <v>1431</v>
      </c>
      <c r="D933" t="s">
        <v>28</v>
      </c>
      <c r="E933" t="s">
        <v>43</v>
      </c>
      <c r="F933">
        <v>20</v>
      </c>
      <c r="G933" t="s">
        <v>94</v>
      </c>
      <c r="H933" t="s">
        <v>31</v>
      </c>
      <c r="I933" t="s">
        <v>94</v>
      </c>
      <c r="J933" t="s">
        <v>75</v>
      </c>
      <c r="K933">
        <v>3</v>
      </c>
      <c r="L933">
        <v>5257</v>
      </c>
      <c r="M933">
        <v>0</v>
      </c>
      <c r="N933">
        <v>0</v>
      </c>
      <c r="O933">
        <v>2838.78</v>
      </c>
      <c r="P933">
        <v>305</v>
      </c>
      <c r="Q933">
        <v>18914.78</v>
      </c>
      <c r="R933" t="s">
        <v>45</v>
      </c>
      <c r="S933" t="s">
        <v>63</v>
      </c>
      <c r="T933" t="s">
        <v>46</v>
      </c>
      <c r="U933" t="s">
        <v>36</v>
      </c>
      <c r="V933" t="s">
        <v>37</v>
      </c>
      <c r="W933">
        <v>8</v>
      </c>
      <c r="X933" t="s">
        <v>47</v>
      </c>
      <c r="Y933">
        <v>1</v>
      </c>
      <c r="Z933" t="s">
        <v>58</v>
      </c>
    </row>
    <row r="934" spans="1:26" x14ac:dyDescent="0.3">
      <c r="A934" t="s">
        <v>1603</v>
      </c>
      <c r="B934" s="2">
        <v>45994</v>
      </c>
      <c r="C934" t="s">
        <v>1453</v>
      </c>
      <c r="D934" t="s">
        <v>42</v>
      </c>
      <c r="E934" t="s">
        <v>29</v>
      </c>
      <c r="F934">
        <v>34</v>
      </c>
      <c r="G934" t="s">
        <v>67</v>
      </c>
      <c r="H934" t="s">
        <v>68</v>
      </c>
      <c r="I934" t="s">
        <v>67</v>
      </c>
      <c r="J934" t="s">
        <v>75</v>
      </c>
      <c r="K934">
        <v>5</v>
      </c>
      <c r="L934">
        <v>38726</v>
      </c>
      <c r="M934">
        <v>10</v>
      </c>
      <c r="N934">
        <v>19363</v>
      </c>
      <c r="O934">
        <v>31368.06</v>
      </c>
      <c r="P934">
        <v>69</v>
      </c>
      <c r="Q934">
        <v>205704.06</v>
      </c>
      <c r="R934" t="s">
        <v>45</v>
      </c>
      <c r="S934" t="s">
        <v>34</v>
      </c>
      <c r="T934" t="s">
        <v>84</v>
      </c>
      <c r="U934" t="s">
        <v>85</v>
      </c>
      <c r="V934" t="s">
        <v>86</v>
      </c>
      <c r="W934">
        <v>5</v>
      </c>
      <c r="X934" t="s">
        <v>38</v>
      </c>
      <c r="Y934">
        <v>3</v>
      </c>
      <c r="Z934" t="s">
        <v>91</v>
      </c>
    </row>
    <row r="935" spans="1:26" x14ac:dyDescent="0.3">
      <c r="A935" t="s">
        <v>1604</v>
      </c>
      <c r="B935" s="2">
        <v>45782</v>
      </c>
      <c r="C935" t="s">
        <v>1234</v>
      </c>
      <c r="D935" t="s">
        <v>28</v>
      </c>
      <c r="E935" t="s">
        <v>29</v>
      </c>
      <c r="F935">
        <v>37</v>
      </c>
      <c r="G935" t="s">
        <v>139</v>
      </c>
      <c r="H935" t="s">
        <v>31</v>
      </c>
      <c r="I935" t="s">
        <v>139</v>
      </c>
      <c r="J935" t="s">
        <v>69</v>
      </c>
      <c r="K935">
        <v>3</v>
      </c>
      <c r="L935">
        <v>36827</v>
      </c>
      <c r="M935">
        <v>20</v>
      </c>
      <c r="N935">
        <v>22096.2</v>
      </c>
      <c r="O935">
        <v>15909.26</v>
      </c>
      <c r="P935">
        <v>406</v>
      </c>
      <c r="Q935">
        <v>104700.06</v>
      </c>
      <c r="R935" t="s">
        <v>83</v>
      </c>
      <c r="S935" t="s">
        <v>63</v>
      </c>
      <c r="T935" t="s">
        <v>76</v>
      </c>
      <c r="U935" t="s">
        <v>77</v>
      </c>
      <c r="V935" t="s">
        <v>57</v>
      </c>
      <c r="W935">
        <v>2</v>
      </c>
      <c r="X935" t="s">
        <v>38</v>
      </c>
      <c r="Y935">
        <v>1</v>
      </c>
      <c r="Z935" t="s">
        <v>58</v>
      </c>
    </row>
    <row r="936" spans="1:26" x14ac:dyDescent="0.3">
      <c r="A936" t="s">
        <v>1605</v>
      </c>
      <c r="B936" s="2">
        <v>46095</v>
      </c>
      <c r="C936" t="s">
        <v>1267</v>
      </c>
      <c r="D936" t="s">
        <v>42</v>
      </c>
      <c r="E936" t="s">
        <v>43</v>
      </c>
      <c r="F936">
        <v>41</v>
      </c>
      <c r="G936" t="s">
        <v>74</v>
      </c>
      <c r="H936" t="s">
        <v>31</v>
      </c>
      <c r="I936" t="s">
        <v>74</v>
      </c>
      <c r="J936" t="s">
        <v>75</v>
      </c>
      <c r="K936">
        <v>5</v>
      </c>
      <c r="L936">
        <v>41450</v>
      </c>
      <c r="M936">
        <v>15</v>
      </c>
      <c r="N936">
        <v>31087.5</v>
      </c>
      <c r="O936">
        <v>31709.25</v>
      </c>
      <c r="P936">
        <v>432</v>
      </c>
      <c r="Q936">
        <v>208303.75</v>
      </c>
      <c r="R936" t="s">
        <v>83</v>
      </c>
      <c r="S936" t="s">
        <v>63</v>
      </c>
      <c r="T936" t="s">
        <v>95</v>
      </c>
      <c r="U936" t="s">
        <v>96</v>
      </c>
      <c r="V936" t="s">
        <v>57</v>
      </c>
      <c r="W936">
        <v>10</v>
      </c>
      <c r="X936" t="s">
        <v>47</v>
      </c>
      <c r="Y936">
        <v>3</v>
      </c>
      <c r="Z936" t="s">
        <v>91</v>
      </c>
    </row>
    <row r="937" spans="1:26" x14ac:dyDescent="0.3">
      <c r="A937" t="s">
        <v>1606</v>
      </c>
      <c r="B937" s="2">
        <v>45950</v>
      </c>
      <c r="C937" t="s">
        <v>1607</v>
      </c>
      <c r="D937" t="s">
        <v>108</v>
      </c>
      <c r="E937" t="s">
        <v>29</v>
      </c>
      <c r="F937">
        <v>49</v>
      </c>
      <c r="G937" t="s">
        <v>99</v>
      </c>
      <c r="H937" t="s">
        <v>52</v>
      </c>
      <c r="I937" t="s">
        <v>99</v>
      </c>
      <c r="J937" t="s">
        <v>53</v>
      </c>
      <c r="K937">
        <v>4</v>
      </c>
      <c r="L937">
        <v>26576</v>
      </c>
      <c r="M937">
        <v>5</v>
      </c>
      <c r="N937">
        <v>5315.2</v>
      </c>
      <c r="O937">
        <v>18177.98</v>
      </c>
      <c r="P937">
        <v>152</v>
      </c>
      <c r="Q937">
        <v>119318.78</v>
      </c>
      <c r="R937" t="s">
        <v>45</v>
      </c>
      <c r="S937" t="s">
        <v>63</v>
      </c>
      <c r="T937" t="s">
        <v>103</v>
      </c>
      <c r="U937" t="s">
        <v>103</v>
      </c>
      <c r="V937" t="s">
        <v>57</v>
      </c>
      <c r="W937">
        <v>9</v>
      </c>
      <c r="X937" t="s">
        <v>47</v>
      </c>
      <c r="Y937">
        <v>4</v>
      </c>
      <c r="Z937" t="s">
        <v>91</v>
      </c>
    </row>
    <row r="938" spans="1:26" x14ac:dyDescent="0.3">
      <c r="A938" t="s">
        <v>1608</v>
      </c>
      <c r="B938" s="2">
        <v>45800</v>
      </c>
      <c r="C938" t="s">
        <v>1110</v>
      </c>
      <c r="D938" t="s">
        <v>50</v>
      </c>
      <c r="E938" t="s">
        <v>43</v>
      </c>
      <c r="F938">
        <v>29</v>
      </c>
      <c r="G938" t="s">
        <v>30</v>
      </c>
      <c r="H938" t="s">
        <v>31</v>
      </c>
      <c r="I938" t="s">
        <v>30</v>
      </c>
      <c r="J938" t="s">
        <v>102</v>
      </c>
      <c r="K938">
        <v>1</v>
      </c>
      <c r="L938">
        <v>24845</v>
      </c>
      <c r="M938">
        <v>5</v>
      </c>
      <c r="N938">
        <v>1242.25</v>
      </c>
      <c r="O938">
        <v>4248.49</v>
      </c>
      <c r="P938">
        <v>17</v>
      </c>
      <c r="Q938">
        <v>27868.240000000002</v>
      </c>
      <c r="R938" t="s">
        <v>45</v>
      </c>
      <c r="S938" t="s">
        <v>34</v>
      </c>
      <c r="T938" t="s">
        <v>35</v>
      </c>
      <c r="U938" t="s">
        <v>36</v>
      </c>
      <c r="V938" t="s">
        <v>37</v>
      </c>
      <c r="W938">
        <v>9</v>
      </c>
      <c r="X938" t="s">
        <v>47</v>
      </c>
      <c r="Y938">
        <v>4</v>
      </c>
      <c r="Z938" t="s">
        <v>39</v>
      </c>
    </row>
    <row r="939" spans="1:26" x14ac:dyDescent="0.3">
      <c r="A939" t="s">
        <v>1609</v>
      </c>
      <c r="B939" s="2">
        <v>46115</v>
      </c>
      <c r="C939" t="s">
        <v>375</v>
      </c>
      <c r="D939" t="s">
        <v>111</v>
      </c>
      <c r="E939" t="s">
        <v>43</v>
      </c>
      <c r="F939">
        <v>55</v>
      </c>
      <c r="G939" t="s">
        <v>30</v>
      </c>
      <c r="H939" t="s">
        <v>31</v>
      </c>
      <c r="I939" t="s">
        <v>30</v>
      </c>
      <c r="J939" t="s">
        <v>53</v>
      </c>
      <c r="K939">
        <v>2</v>
      </c>
      <c r="L939">
        <v>49886</v>
      </c>
      <c r="M939">
        <v>15</v>
      </c>
      <c r="N939">
        <v>14965.8</v>
      </c>
      <c r="O939">
        <v>15265.12</v>
      </c>
      <c r="P939">
        <v>266</v>
      </c>
      <c r="Q939">
        <v>100337.32</v>
      </c>
      <c r="R939" t="s">
        <v>54</v>
      </c>
      <c r="S939" t="s">
        <v>34</v>
      </c>
      <c r="T939" t="s">
        <v>55</v>
      </c>
      <c r="U939" t="s">
        <v>56</v>
      </c>
      <c r="V939" t="s">
        <v>57</v>
      </c>
      <c r="W939">
        <v>1</v>
      </c>
      <c r="X939" t="s">
        <v>38</v>
      </c>
      <c r="Y939">
        <v>5</v>
      </c>
      <c r="Z939" t="s">
        <v>91</v>
      </c>
    </row>
    <row r="940" spans="1:26" x14ac:dyDescent="0.3">
      <c r="A940" t="s">
        <v>1610</v>
      </c>
      <c r="B940" s="2">
        <v>45946</v>
      </c>
      <c r="C940" t="s">
        <v>299</v>
      </c>
      <c r="D940" t="s">
        <v>108</v>
      </c>
      <c r="E940" t="s">
        <v>29</v>
      </c>
      <c r="F940">
        <v>52</v>
      </c>
      <c r="G940" t="s">
        <v>94</v>
      </c>
      <c r="H940" t="s">
        <v>31</v>
      </c>
      <c r="I940" t="s">
        <v>94</v>
      </c>
      <c r="J940" t="s">
        <v>32</v>
      </c>
      <c r="K940">
        <v>5</v>
      </c>
      <c r="L940">
        <v>31838</v>
      </c>
      <c r="M940">
        <v>15</v>
      </c>
      <c r="N940">
        <v>23878.5</v>
      </c>
      <c r="O940">
        <v>24356.07</v>
      </c>
      <c r="P940">
        <v>154</v>
      </c>
      <c r="Q940">
        <v>159821.57</v>
      </c>
      <c r="R940" t="s">
        <v>33</v>
      </c>
      <c r="S940" t="s">
        <v>34</v>
      </c>
      <c r="T940" t="s">
        <v>76</v>
      </c>
      <c r="U940" t="s">
        <v>77</v>
      </c>
      <c r="V940" t="s">
        <v>57</v>
      </c>
      <c r="W940">
        <v>4</v>
      </c>
      <c r="X940" t="s">
        <v>38</v>
      </c>
      <c r="Y940">
        <v>1</v>
      </c>
      <c r="Z940" t="s">
        <v>91</v>
      </c>
    </row>
    <row r="941" spans="1:26" x14ac:dyDescent="0.3">
      <c r="A941" t="s">
        <v>1611</v>
      </c>
      <c r="B941" s="2">
        <v>45829</v>
      </c>
      <c r="C941" t="s">
        <v>1612</v>
      </c>
      <c r="D941" t="s">
        <v>111</v>
      </c>
      <c r="E941" t="s">
        <v>29</v>
      </c>
      <c r="F941">
        <v>43</v>
      </c>
      <c r="G941" t="s">
        <v>51</v>
      </c>
      <c r="H941" t="s">
        <v>52</v>
      </c>
      <c r="I941" t="s">
        <v>51</v>
      </c>
      <c r="J941" t="s">
        <v>201</v>
      </c>
      <c r="K941">
        <v>5</v>
      </c>
      <c r="L941">
        <v>41624</v>
      </c>
      <c r="M941">
        <v>5</v>
      </c>
      <c r="N941">
        <v>10406</v>
      </c>
      <c r="O941">
        <v>35588.519999999997</v>
      </c>
      <c r="P941">
        <v>290</v>
      </c>
      <c r="Q941">
        <v>233592.52</v>
      </c>
      <c r="R941" t="s">
        <v>33</v>
      </c>
      <c r="S941" t="s">
        <v>34</v>
      </c>
      <c r="T941" t="s">
        <v>84</v>
      </c>
      <c r="U941" t="s">
        <v>85</v>
      </c>
      <c r="V941" t="s">
        <v>86</v>
      </c>
      <c r="W941">
        <v>3</v>
      </c>
      <c r="X941" t="s">
        <v>38</v>
      </c>
      <c r="Y941">
        <v>2</v>
      </c>
      <c r="Z941" t="s">
        <v>91</v>
      </c>
    </row>
    <row r="942" spans="1:26" x14ac:dyDescent="0.3">
      <c r="A942" t="s">
        <v>1613</v>
      </c>
      <c r="B942" s="2">
        <v>45943</v>
      </c>
      <c r="C942" t="s">
        <v>1614</v>
      </c>
      <c r="D942" t="s">
        <v>89</v>
      </c>
      <c r="E942" t="s">
        <v>29</v>
      </c>
      <c r="F942">
        <v>40</v>
      </c>
      <c r="G942" t="s">
        <v>51</v>
      </c>
      <c r="H942" t="s">
        <v>52</v>
      </c>
      <c r="I942" t="s">
        <v>51</v>
      </c>
      <c r="J942" t="s">
        <v>201</v>
      </c>
      <c r="K942">
        <v>5</v>
      </c>
      <c r="L942">
        <v>7734</v>
      </c>
      <c r="M942">
        <v>0</v>
      </c>
      <c r="N942">
        <v>0</v>
      </c>
      <c r="O942">
        <v>6960.6</v>
      </c>
      <c r="P942">
        <v>264</v>
      </c>
      <c r="Q942">
        <v>45894.6</v>
      </c>
      <c r="R942" t="s">
        <v>54</v>
      </c>
      <c r="S942" t="s">
        <v>63</v>
      </c>
      <c r="T942" t="s">
        <v>35</v>
      </c>
      <c r="U942" t="s">
        <v>36</v>
      </c>
      <c r="V942" t="s">
        <v>37</v>
      </c>
      <c r="W942">
        <v>5</v>
      </c>
      <c r="X942" t="s">
        <v>38</v>
      </c>
      <c r="Y942">
        <v>5</v>
      </c>
      <c r="Z942" t="s">
        <v>39</v>
      </c>
    </row>
    <row r="943" spans="1:26" x14ac:dyDescent="0.3">
      <c r="A943" t="s">
        <v>1615</v>
      </c>
      <c r="B943" s="2">
        <v>46001</v>
      </c>
      <c r="C943" t="s">
        <v>268</v>
      </c>
      <c r="D943" t="s">
        <v>61</v>
      </c>
      <c r="E943" t="s">
        <v>29</v>
      </c>
      <c r="F943">
        <v>46</v>
      </c>
      <c r="G943" t="s">
        <v>67</v>
      </c>
      <c r="H943" t="s">
        <v>68</v>
      </c>
      <c r="I943" t="s">
        <v>67</v>
      </c>
      <c r="J943" t="s">
        <v>201</v>
      </c>
      <c r="K943">
        <v>1</v>
      </c>
      <c r="L943">
        <v>13846</v>
      </c>
      <c r="M943">
        <v>5</v>
      </c>
      <c r="N943">
        <v>692.3</v>
      </c>
      <c r="O943">
        <v>2367.67</v>
      </c>
      <c r="P943">
        <v>300</v>
      </c>
      <c r="Q943">
        <v>15821.37</v>
      </c>
      <c r="R943" t="s">
        <v>54</v>
      </c>
      <c r="S943" t="s">
        <v>63</v>
      </c>
      <c r="T943" t="s">
        <v>55</v>
      </c>
      <c r="U943" t="s">
        <v>56</v>
      </c>
      <c r="V943" t="s">
        <v>57</v>
      </c>
      <c r="W943">
        <v>6</v>
      </c>
      <c r="X943" t="s">
        <v>47</v>
      </c>
      <c r="Y943">
        <v>5</v>
      </c>
      <c r="Z943" t="s">
        <v>58</v>
      </c>
    </row>
    <row r="944" spans="1:26" x14ac:dyDescent="0.3">
      <c r="A944" t="s">
        <v>1616</v>
      </c>
      <c r="B944" s="2">
        <v>46073</v>
      </c>
      <c r="C944" t="s">
        <v>713</v>
      </c>
      <c r="D944" t="s">
        <v>42</v>
      </c>
      <c r="E944" t="s">
        <v>43</v>
      </c>
      <c r="F944">
        <v>51</v>
      </c>
      <c r="G944" t="s">
        <v>67</v>
      </c>
      <c r="H944" t="s">
        <v>68</v>
      </c>
      <c r="I944" t="s">
        <v>67</v>
      </c>
      <c r="J944" t="s">
        <v>201</v>
      </c>
      <c r="K944">
        <v>3</v>
      </c>
      <c r="L944">
        <v>7577</v>
      </c>
      <c r="M944">
        <v>10</v>
      </c>
      <c r="N944">
        <v>2273.1</v>
      </c>
      <c r="O944">
        <v>3682.42</v>
      </c>
      <c r="P944">
        <v>242</v>
      </c>
      <c r="Q944">
        <v>24382.32</v>
      </c>
      <c r="R944" t="s">
        <v>33</v>
      </c>
      <c r="S944" t="s">
        <v>34</v>
      </c>
      <c r="T944" t="s">
        <v>70</v>
      </c>
      <c r="U944" t="s">
        <v>56</v>
      </c>
      <c r="V944" t="s">
        <v>57</v>
      </c>
      <c r="W944">
        <v>1</v>
      </c>
      <c r="X944" t="s">
        <v>38</v>
      </c>
      <c r="Y944">
        <v>2</v>
      </c>
      <c r="Z944" t="s">
        <v>47</v>
      </c>
    </row>
    <row r="945" spans="1:26" x14ac:dyDescent="0.3">
      <c r="A945" t="s">
        <v>1617</v>
      </c>
      <c r="B945" s="2">
        <v>46119</v>
      </c>
      <c r="C945" t="s">
        <v>1618</v>
      </c>
      <c r="D945" t="s">
        <v>61</v>
      </c>
      <c r="E945" t="s">
        <v>29</v>
      </c>
      <c r="F945">
        <v>20</v>
      </c>
      <c r="G945" t="s">
        <v>44</v>
      </c>
      <c r="H945" t="s">
        <v>31</v>
      </c>
      <c r="I945" t="s">
        <v>44</v>
      </c>
      <c r="J945" t="s">
        <v>53</v>
      </c>
      <c r="K945">
        <v>5</v>
      </c>
      <c r="L945">
        <v>32146</v>
      </c>
      <c r="M945">
        <v>10</v>
      </c>
      <c r="N945">
        <v>16073</v>
      </c>
      <c r="O945">
        <v>26038.26</v>
      </c>
      <c r="P945">
        <v>38</v>
      </c>
      <c r="Q945">
        <v>170733.26</v>
      </c>
      <c r="R945" t="s">
        <v>33</v>
      </c>
      <c r="S945" t="s">
        <v>63</v>
      </c>
      <c r="T945" t="s">
        <v>70</v>
      </c>
      <c r="U945" t="s">
        <v>56</v>
      </c>
      <c r="V945" t="s">
        <v>57</v>
      </c>
      <c r="W945">
        <v>3</v>
      </c>
      <c r="X945" t="s">
        <v>47</v>
      </c>
      <c r="Y945">
        <v>1</v>
      </c>
      <c r="Z945" t="s">
        <v>47</v>
      </c>
    </row>
    <row r="946" spans="1:26" x14ac:dyDescent="0.3">
      <c r="A946" t="s">
        <v>1619</v>
      </c>
      <c r="B946" s="2">
        <v>45976</v>
      </c>
      <c r="C946" t="s">
        <v>1187</v>
      </c>
      <c r="D946" t="s">
        <v>61</v>
      </c>
      <c r="E946" t="s">
        <v>29</v>
      </c>
      <c r="F946">
        <v>37</v>
      </c>
      <c r="G946" t="s">
        <v>134</v>
      </c>
      <c r="H946" t="s">
        <v>31</v>
      </c>
      <c r="I946" t="s">
        <v>134</v>
      </c>
      <c r="J946" t="s">
        <v>32</v>
      </c>
      <c r="K946">
        <v>2</v>
      </c>
      <c r="L946">
        <v>36331</v>
      </c>
      <c r="M946">
        <v>15</v>
      </c>
      <c r="N946">
        <v>10899.3</v>
      </c>
      <c r="O946">
        <v>11117.29</v>
      </c>
      <c r="P946">
        <v>386</v>
      </c>
      <c r="Q946">
        <v>73265.990000000005</v>
      </c>
      <c r="R946" t="s">
        <v>45</v>
      </c>
      <c r="S946" t="s">
        <v>34</v>
      </c>
      <c r="T946" t="s">
        <v>35</v>
      </c>
      <c r="U946" t="s">
        <v>36</v>
      </c>
      <c r="V946" t="s">
        <v>37</v>
      </c>
      <c r="W946">
        <v>3</v>
      </c>
      <c r="X946" t="s">
        <v>47</v>
      </c>
      <c r="Y946">
        <v>5</v>
      </c>
      <c r="Z946" t="s">
        <v>91</v>
      </c>
    </row>
    <row r="947" spans="1:26" x14ac:dyDescent="0.3">
      <c r="A947" t="s">
        <v>1620</v>
      </c>
      <c r="B947" s="2">
        <v>45970</v>
      </c>
      <c r="C947" t="s">
        <v>1621</v>
      </c>
      <c r="D947" t="s">
        <v>61</v>
      </c>
      <c r="E947" t="s">
        <v>43</v>
      </c>
      <c r="F947">
        <v>54</v>
      </c>
      <c r="G947" t="s">
        <v>67</v>
      </c>
      <c r="H947" t="s">
        <v>68</v>
      </c>
      <c r="I947" t="s">
        <v>67</v>
      </c>
      <c r="J947" t="s">
        <v>62</v>
      </c>
      <c r="K947">
        <v>3</v>
      </c>
      <c r="L947">
        <v>30863</v>
      </c>
      <c r="M947">
        <v>0</v>
      </c>
      <c r="N947">
        <v>0</v>
      </c>
      <c r="O947">
        <v>16666.02</v>
      </c>
      <c r="P947">
        <v>493</v>
      </c>
      <c r="Q947">
        <v>109748.02</v>
      </c>
      <c r="R947" t="s">
        <v>83</v>
      </c>
      <c r="S947" t="s">
        <v>63</v>
      </c>
      <c r="T947" t="s">
        <v>70</v>
      </c>
      <c r="U947" t="s">
        <v>56</v>
      </c>
      <c r="V947" t="s">
        <v>57</v>
      </c>
      <c r="W947">
        <v>10</v>
      </c>
      <c r="X947" t="s">
        <v>38</v>
      </c>
      <c r="Y947">
        <v>3</v>
      </c>
      <c r="Z947" t="s">
        <v>58</v>
      </c>
    </row>
    <row r="948" spans="1:26" x14ac:dyDescent="0.3">
      <c r="A948" t="s">
        <v>1622</v>
      </c>
      <c r="B948" s="2">
        <v>46095</v>
      </c>
      <c r="C948" t="s">
        <v>1265</v>
      </c>
      <c r="D948" t="s">
        <v>42</v>
      </c>
      <c r="E948" t="s">
        <v>43</v>
      </c>
      <c r="F948">
        <v>18</v>
      </c>
      <c r="G948" t="s">
        <v>134</v>
      </c>
      <c r="H948" t="s">
        <v>31</v>
      </c>
      <c r="I948" t="s">
        <v>134</v>
      </c>
      <c r="J948" t="s">
        <v>69</v>
      </c>
      <c r="K948">
        <v>1</v>
      </c>
      <c r="L948">
        <v>14652</v>
      </c>
      <c r="M948">
        <v>0</v>
      </c>
      <c r="N948">
        <v>0</v>
      </c>
      <c r="O948">
        <v>2637.36</v>
      </c>
      <c r="P948">
        <v>24</v>
      </c>
      <c r="Q948">
        <v>17313.36</v>
      </c>
      <c r="R948" t="s">
        <v>83</v>
      </c>
      <c r="S948" t="s">
        <v>63</v>
      </c>
      <c r="T948" t="s">
        <v>55</v>
      </c>
      <c r="U948" t="s">
        <v>56</v>
      </c>
      <c r="V948" t="s">
        <v>57</v>
      </c>
      <c r="W948">
        <v>4</v>
      </c>
      <c r="X948" t="s">
        <v>38</v>
      </c>
      <c r="Y948">
        <v>4</v>
      </c>
      <c r="Z948" t="s">
        <v>47</v>
      </c>
    </row>
    <row r="949" spans="1:26" x14ac:dyDescent="0.3">
      <c r="A949" t="s">
        <v>1623</v>
      </c>
      <c r="B949" s="2">
        <v>46118</v>
      </c>
      <c r="C949" t="s">
        <v>740</v>
      </c>
      <c r="D949" t="s">
        <v>80</v>
      </c>
      <c r="E949" t="s">
        <v>43</v>
      </c>
      <c r="F949">
        <v>21</v>
      </c>
      <c r="G949" t="s">
        <v>30</v>
      </c>
      <c r="H949" t="s">
        <v>31</v>
      </c>
      <c r="I949" t="s">
        <v>30</v>
      </c>
      <c r="J949" t="s">
        <v>201</v>
      </c>
      <c r="K949">
        <v>5</v>
      </c>
      <c r="L949">
        <v>1032</v>
      </c>
      <c r="M949">
        <v>10</v>
      </c>
      <c r="N949">
        <v>516</v>
      </c>
      <c r="O949">
        <v>835.92</v>
      </c>
      <c r="P949">
        <v>234</v>
      </c>
      <c r="Q949">
        <v>5713.92</v>
      </c>
      <c r="R949" t="s">
        <v>83</v>
      </c>
      <c r="S949" t="s">
        <v>34</v>
      </c>
      <c r="T949" t="s">
        <v>35</v>
      </c>
      <c r="U949" t="s">
        <v>36</v>
      </c>
      <c r="V949" t="s">
        <v>37</v>
      </c>
      <c r="W949">
        <v>4</v>
      </c>
      <c r="X949" t="s">
        <v>38</v>
      </c>
      <c r="Y949">
        <v>3</v>
      </c>
      <c r="Z949" t="s">
        <v>39</v>
      </c>
    </row>
    <row r="950" spans="1:26" x14ac:dyDescent="0.3">
      <c r="A950" t="s">
        <v>1624</v>
      </c>
      <c r="B950" s="2">
        <v>45766</v>
      </c>
      <c r="C950" t="s">
        <v>1625</v>
      </c>
      <c r="D950" t="s">
        <v>89</v>
      </c>
      <c r="E950" t="s">
        <v>29</v>
      </c>
      <c r="F950">
        <v>42</v>
      </c>
      <c r="G950" t="s">
        <v>90</v>
      </c>
      <c r="H950" t="s">
        <v>31</v>
      </c>
      <c r="I950" t="s">
        <v>90</v>
      </c>
      <c r="J950" t="s">
        <v>62</v>
      </c>
      <c r="K950">
        <v>5</v>
      </c>
      <c r="L950">
        <v>4697</v>
      </c>
      <c r="M950">
        <v>0</v>
      </c>
      <c r="N950">
        <v>0</v>
      </c>
      <c r="O950">
        <v>4227.3</v>
      </c>
      <c r="P950">
        <v>377</v>
      </c>
      <c r="Q950">
        <v>28089.3</v>
      </c>
      <c r="R950" t="s">
        <v>83</v>
      </c>
      <c r="S950" t="s">
        <v>63</v>
      </c>
      <c r="T950" t="s">
        <v>46</v>
      </c>
      <c r="U950" t="s">
        <v>36</v>
      </c>
      <c r="V950" t="s">
        <v>37</v>
      </c>
      <c r="W950">
        <v>7</v>
      </c>
      <c r="X950" t="s">
        <v>38</v>
      </c>
      <c r="Y950">
        <v>3</v>
      </c>
      <c r="Z950" t="s">
        <v>39</v>
      </c>
    </row>
    <row r="951" spans="1:26" x14ac:dyDescent="0.3">
      <c r="A951" t="s">
        <v>1626</v>
      </c>
      <c r="B951" s="2">
        <v>46079</v>
      </c>
      <c r="C951" t="s">
        <v>1627</v>
      </c>
      <c r="D951" t="s">
        <v>73</v>
      </c>
      <c r="E951" t="s">
        <v>43</v>
      </c>
      <c r="F951">
        <v>44</v>
      </c>
      <c r="G951" t="s">
        <v>139</v>
      </c>
      <c r="H951" t="s">
        <v>31</v>
      </c>
      <c r="I951" t="s">
        <v>139</v>
      </c>
      <c r="J951" t="s">
        <v>75</v>
      </c>
      <c r="K951">
        <v>1</v>
      </c>
      <c r="L951">
        <v>5912</v>
      </c>
      <c r="M951">
        <v>10</v>
      </c>
      <c r="N951">
        <v>591.20000000000005</v>
      </c>
      <c r="O951">
        <v>957.74</v>
      </c>
      <c r="P951">
        <v>45</v>
      </c>
      <c r="Q951">
        <v>6323.54</v>
      </c>
      <c r="R951" t="s">
        <v>33</v>
      </c>
      <c r="S951" t="s">
        <v>34</v>
      </c>
      <c r="T951" t="s">
        <v>35</v>
      </c>
      <c r="U951" t="s">
        <v>36</v>
      </c>
      <c r="V951" t="s">
        <v>37</v>
      </c>
      <c r="W951">
        <v>2</v>
      </c>
      <c r="X951" t="s">
        <v>47</v>
      </c>
      <c r="Y951">
        <v>2</v>
      </c>
      <c r="Z951" t="s">
        <v>39</v>
      </c>
    </row>
    <row r="952" spans="1:26" x14ac:dyDescent="0.3">
      <c r="A952" t="s">
        <v>1628</v>
      </c>
      <c r="B952" s="2">
        <v>45973</v>
      </c>
      <c r="C952" t="s">
        <v>1629</v>
      </c>
      <c r="D952" t="s">
        <v>80</v>
      </c>
      <c r="E952" t="s">
        <v>29</v>
      </c>
      <c r="F952">
        <v>39</v>
      </c>
      <c r="G952" t="s">
        <v>51</v>
      </c>
      <c r="H952" t="s">
        <v>52</v>
      </c>
      <c r="I952" t="s">
        <v>51</v>
      </c>
      <c r="J952" t="s">
        <v>53</v>
      </c>
      <c r="K952">
        <v>2</v>
      </c>
      <c r="L952">
        <v>43132</v>
      </c>
      <c r="M952">
        <v>0</v>
      </c>
      <c r="N952">
        <v>0</v>
      </c>
      <c r="O952">
        <v>15527.52</v>
      </c>
      <c r="P952">
        <v>296</v>
      </c>
      <c r="Q952">
        <v>102087.52</v>
      </c>
      <c r="R952" t="s">
        <v>45</v>
      </c>
      <c r="S952" t="s">
        <v>34</v>
      </c>
      <c r="T952" t="s">
        <v>55</v>
      </c>
      <c r="U952" t="s">
        <v>56</v>
      </c>
      <c r="V952" t="s">
        <v>57</v>
      </c>
      <c r="W952">
        <v>7</v>
      </c>
      <c r="X952" t="s">
        <v>47</v>
      </c>
      <c r="Y952">
        <v>1</v>
      </c>
      <c r="Z952" t="s">
        <v>39</v>
      </c>
    </row>
    <row r="953" spans="1:26" x14ac:dyDescent="0.3">
      <c r="A953" t="s">
        <v>1630</v>
      </c>
      <c r="B953" s="2">
        <v>45772</v>
      </c>
      <c r="C953" t="s">
        <v>1097</v>
      </c>
      <c r="D953" t="s">
        <v>66</v>
      </c>
      <c r="E953" t="s">
        <v>43</v>
      </c>
      <c r="F953">
        <v>23</v>
      </c>
      <c r="G953" t="s">
        <v>139</v>
      </c>
      <c r="H953" t="s">
        <v>31</v>
      </c>
      <c r="I953" t="s">
        <v>139</v>
      </c>
      <c r="J953" t="s">
        <v>69</v>
      </c>
      <c r="K953">
        <v>1</v>
      </c>
      <c r="L953">
        <v>47653</v>
      </c>
      <c r="M953">
        <v>5</v>
      </c>
      <c r="N953">
        <v>2382.65</v>
      </c>
      <c r="O953">
        <v>8148.66</v>
      </c>
      <c r="P953">
        <v>319</v>
      </c>
      <c r="Q953">
        <v>53738.01</v>
      </c>
      <c r="R953" t="s">
        <v>33</v>
      </c>
      <c r="S953" t="s">
        <v>34</v>
      </c>
      <c r="T953" t="s">
        <v>84</v>
      </c>
      <c r="U953" t="s">
        <v>85</v>
      </c>
      <c r="V953" t="s">
        <v>86</v>
      </c>
      <c r="W953">
        <v>9</v>
      </c>
      <c r="X953" t="s">
        <v>47</v>
      </c>
      <c r="Y953">
        <v>3</v>
      </c>
      <c r="Z953" t="s">
        <v>39</v>
      </c>
    </row>
    <row r="954" spans="1:26" x14ac:dyDescent="0.3">
      <c r="A954" t="s">
        <v>1631</v>
      </c>
      <c r="B954" s="2">
        <v>46063</v>
      </c>
      <c r="C954" t="s">
        <v>1426</v>
      </c>
      <c r="D954" t="s">
        <v>108</v>
      </c>
      <c r="E954" t="s">
        <v>43</v>
      </c>
      <c r="F954">
        <v>49</v>
      </c>
      <c r="G954" t="s">
        <v>139</v>
      </c>
      <c r="H954" t="s">
        <v>31</v>
      </c>
      <c r="I954" t="s">
        <v>139</v>
      </c>
      <c r="J954" t="s">
        <v>75</v>
      </c>
      <c r="K954">
        <v>5</v>
      </c>
      <c r="L954">
        <v>34519</v>
      </c>
      <c r="M954">
        <v>10</v>
      </c>
      <c r="N954">
        <v>17259.5</v>
      </c>
      <c r="O954">
        <v>27960.39</v>
      </c>
      <c r="P954">
        <v>202</v>
      </c>
      <c r="Q954">
        <v>183497.89</v>
      </c>
      <c r="R954" t="s">
        <v>33</v>
      </c>
      <c r="S954" t="s">
        <v>34</v>
      </c>
      <c r="T954" t="s">
        <v>46</v>
      </c>
      <c r="U954" t="s">
        <v>36</v>
      </c>
      <c r="V954" t="s">
        <v>37</v>
      </c>
      <c r="W954">
        <v>4</v>
      </c>
      <c r="X954" t="s">
        <v>38</v>
      </c>
      <c r="Y954">
        <v>1</v>
      </c>
      <c r="Z954" t="s">
        <v>58</v>
      </c>
    </row>
    <row r="955" spans="1:26" x14ac:dyDescent="0.3">
      <c r="A955" t="s">
        <v>1632</v>
      </c>
      <c r="B955" s="2">
        <v>45971</v>
      </c>
      <c r="C955" t="s">
        <v>1633</v>
      </c>
      <c r="D955" t="s">
        <v>80</v>
      </c>
      <c r="E955" t="s">
        <v>29</v>
      </c>
      <c r="F955">
        <v>23</v>
      </c>
      <c r="G955" t="s">
        <v>99</v>
      </c>
      <c r="H955" t="s">
        <v>52</v>
      </c>
      <c r="I955" t="s">
        <v>99</v>
      </c>
      <c r="J955" t="s">
        <v>150</v>
      </c>
      <c r="K955">
        <v>3</v>
      </c>
      <c r="L955">
        <v>39182</v>
      </c>
      <c r="M955">
        <v>15</v>
      </c>
      <c r="N955">
        <v>17631.900000000001</v>
      </c>
      <c r="O955">
        <v>17984.54</v>
      </c>
      <c r="P955">
        <v>76</v>
      </c>
      <c r="Q955">
        <v>117974.64</v>
      </c>
      <c r="R955" t="s">
        <v>54</v>
      </c>
      <c r="S955" t="s">
        <v>34</v>
      </c>
      <c r="T955" t="s">
        <v>76</v>
      </c>
      <c r="U955" t="s">
        <v>77</v>
      </c>
      <c r="V955" t="s">
        <v>57</v>
      </c>
      <c r="W955">
        <v>6</v>
      </c>
      <c r="X955" t="s">
        <v>38</v>
      </c>
      <c r="Y955">
        <v>5</v>
      </c>
      <c r="Z955" t="s">
        <v>39</v>
      </c>
    </row>
    <row r="956" spans="1:26" x14ac:dyDescent="0.3">
      <c r="A956" t="s">
        <v>1634</v>
      </c>
      <c r="B956" s="2">
        <v>45793</v>
      </c>
      <c r="C956" t="s">
        <v>1001</v>
      </c>
      <c r="D956" t="s">
        <v>50</v>
      </c>
      <c r="E956" t="s">
        <v>29</v>
      </c>
      <c r="F956">
        <v>51</v>
      </c>
      <c r="G956" t="s">
        <v>139</v>
      </c>
      <c r="H956" t="s">
        <v>31</v>
      </c>
      <c r="I956" t="s">
        <v>139</v>
      </c>
      <c r="J956" t="s">
        <v>32</v>
      </c>
      <c r="K956">
        <v>4</v>
      </c>
      <c r="L956">
        <v>34291</v>
      </c>
      <c r="M956">
        <v>20</v>
      </c>
      <c r="N956">
        <v>27432.799999999999</v>
      </c>
      <c r="O956">
        <v>19751.62</v>
      </c>
      <c r="P956">
        <v>458</v>
      </c>
      <c r="Q956">
        <v>129940.82</v>
      </c>
      <c r="R956" t="s">
        <v>83</v>
      </c>
      <c r="S956" t="s">
        <v>63</v>
      </c>
      <c r="T956" t="s">
        <v>35</v>
      </c>
      <c r="U956" t="s">
        <v>36</v>
      </c>
      <c r="V956" t="s">
        <v>37</v>
      </c>
      <c r="W956">
        <v>7</v>
      </c>
      <c r="X956" t="s">
        <v>47</v>
      </c>
      <c r="Y956">
        <v>4</v>
      </c>
      <c r="Z956" t="s">
        <v>39</v>
      </c>
    </row>
    <row r="957" spans="1:26" x14ac:dyDescent="0.3">
      <c r="A957" t="s">
        <v>1635</v>
      </c>
      <c r="B957" s="2">
        <v>45790</v>
      </c>
      <c r="C957" t="s">
        <v>509</v>
      </c>
      <c r="D957" t="s">
        <v>61</v>
      </c>
      <c r="E957" t="s">
        <v>43</v>
      </c>
      <c r="F957">
        <v>44</v>
      </c>
      <c r="G957" t="s">
        <v>99</v>
      </c>
      <c r="H957" t="s">
        <v>52</v>
      </c>
      <c r="I957" t="s">
        <v>99</v>
      </c>
      <c r="J957" t="s">
        <v>62</v>
      </c>
      <c r="K957">
        <v>4</v>
      </c>
      <c r="L957">
        <v>30226</v>
      </c>
      <c r="M957">
        <v>0</v>
      </c>
      <c r="N957">
        <v>0</v>
      </c>
      <c r="O957">
        <v>21762.720000000001</v>
      </c>
      <c r="P957">
        <v>174</v>
      </c>
      <c r="Q957">
        <v>142840.72</v>
      </c>
      <c r="R957" t="s">
        <v>33</v>
      </c>
      <c r="S957" t="s">
        <v>63</v>
      </c>
      <c r="T957" t="s">
        <v>76</v>
      </c>
      <c r="U957" t="s">
        <v>77</v>
      </c>
      <c r="V957" t="s">
        <v>57</v>
      </c>
      <c r="W957">
        <v>7</v>
      </c>
      <c r="X957" t="s">
        <v>38</v>
      </c>
      <c r="Y957">
        <v>3</v>
      </c>
      <c r="Z957" t="s">
        <v>47</v>
      </c>
    </row>
    <row r="958" spans="1:26" x14ac:dyDescent="0.3">
      <c r="A958" t="s">
        <v>1636</v>
      </c>
      <c r="B958" s="2">
        <v>46091</v>
      </c>
      <c r="C958" t="s">
        <v>971</v>
      </c>
      <c r="D958" t="s">
        <v>108</v>
      </c>
      <c r="E958" t="s">
        <v>29</v>
      </c>
      <c r="F958">
        <v>54</v>
      </c>
      <c r="G958" t="s">
        <v>90</v>
      </c>
      <c r="H958" t="s">
        <v>31</v>
      </c>
      <c r="I958" t="s">
        <v>90</v>
      </c>
      <c r="J958" t="s">
        <v>150</v>
      </c>
      <c r="K958">
        <v>3</v>
      </c>
      <c r="L958">
        <v>3452</v>
      </c>
      <c r="M958">
        <v>20</v>
      </c>
      <c r="N958">
        <v>2071.1999999999998</v>
      </c>
      <c r="O958">
        <v>1491.26</v>
      </c>
      <c r="P958">
        <v>219</v>
      </c>
      <c r="Q958">
        <v>9995.06</v>
      </c>
      <c r="R958" t="s">
        <v>45</v>
      </c>
      <c r="S958" t="s">
        <v>34</v>
      </c>
      <c r="T958" t="s">
        <v>76</v>
      </c>
      <c r="U958" t="s">
        <v>77</v>
      </c>
      <c r="V958" t="s">
        <v>57</v>
      </c>
      <c r="W958">
        <v>5</v>
      </c>
      <c r="X958" t="s">
        <v>47</v>
      </c>
      <c r="Y958">
        <v>3</v>
      </c>
      <c r="Z958" t="s">
        <v>91</v>
      </c>
    </row>
    <row r="959" spans="1:26" x14ac:dyDescent="0.3">
      <c r="A959" t="s">
        <v>1637</v>
      </c>
      <c r="B959" s="2">
        <v>46002</v>
      </c>
      <c r="C959" t="s">
        <v>1304</v>
      </c>
      <c r="D959" t="s">
        <v>42</v>
      </c>
      <c r="E959" t="s">
        <v>43</v>
      </c>
      <c r="F959">
        <v>24</v>
      </c>
      <c r="G959" t="s">
        <v>94</v>
      </c>
      <c r="H959" t="s">
        <v>31</v>
      </c>
      <c r="I959" t="s">
        <v>94</v>
      </c>
      <c r="J959" t="s">
        <v>69</v>
      </c>
      <c r="K959">
        <v>4</v>
      </c>
      <c r="L959">
        <v>29812</v>
      </c>
      <c r="M959">
        <v>5</v>
      </c>
      <c r="N959">
        <v>5962.4</v>
      </c>
      <c r="O959">
        <v>20391.41</v>
      </c>
      <c r="P959">
        <v>257</v>
      </c>
      <c r="Q959">
        <v>133934.01</v>
      </c>
      <c r="R959" t="s">
        <v>83</v>
      </c>
      <c r="S959" t="s">
        <v>34</v>
      </c>
      <c r="T959" t="s">
        <v>84</v>
      </c>
      <c r="U959" t="s">
        <v>85</v>
      </c>
      <c r="V959" t="s">
        <v>86</v>
      </c>
      <c r="W959">
        <v>7</v>
      </c>
      <c r="X959" t="s">
        <v>47</v>
      </c>
      <c r="Y959">
        <v>3</v>
      </c>
      <c r="Z959" t="s">
        <v>39</v>
      </c>
    </row>
    <row r="960" spans="1:26" x14ac:dyDescent="0.3">
      <c r="A960" t="s">
        <v>1638</v>
      </c>
      <c r="B960" s="2">
        <v>45757</v>
      </c>
      <c r="C960" t="s">
        <v>1466</v>
      </c>
      <c r="D960" t="s">
        <v>108</v>
      </c>
      <c r="E960" t="s">
        <v>29</v>
      </c>
      <c r="F960">
        <v>33</v>
      </c>
      <c r="G960" t="s">
        <v>94</v>
      </c>
      <c r="H960" t="s">
        <v>31</v>
      </c>
      <c r="I960" t="s">
        <v>94</v>
      </c>
      <c r="J960" t="s">
        <v>125</v>
      </c>
      <c r="K960">
        <v>4</v>
      </c>
      <c r="L960">
        <v>12665</v>
      </c>
      <c r="M960">
        <v>10</v>
      </c>
      <c r="N960">
        <v>5066</v>
      </c>
      <c r="O960">
        <v>8206.92</v>
      </c>
      <c r="P960">
        <v>304</v>
      </c>
      <c r="Q960">
        <v>54104.92</v>
      </c>
      <c r="R960" t="s">
        <v>33</v>
      </c>
      <c r="S960" t="s">
        <v>34</v>
      </c>
      <c r="T960" t="s">
        <v>76</v>
      </c>
      <c r="U960" t="s">
        <v>77</v>
      </c>
      <c r="V960" t="s">
        <v>57</v>
      </c>
      <c r="W960">
        <v>9</v>
      </c>
      <c r="X960" t="s">
        <v>47</v>
      </c>
      <c r="Y960">
        <v>3</v>
      </c>
      <c r="Z960" t="s">
        <v>47</v>
      </c>
    </row>
    <row r="961" spans="1:26" x14ac:dyDescent="0.3">
      <c r="A961" t="s">
        <v>1639</v>
      </c>
      <c r="B961" s="2">
        <v>45989</v>
      </c>
      <c r="C961" t="s">
        <v>858</v>
      </c>
      <c r="D961" t="s">
        <v>73</v>
      </c>
      <c r="E961" t="s">
        <v>43</v>
      </c>
      <c r="F961">
        <v>34</v>
      </c>
      <c r="G961" t="s">
        <v>30</v>
      </c>
      <c r="H961" t="s">
        <v>31</v>
      </c>
      <c r="I961" t="s">
        <v>30</v>
      </c>
      <c r="J961" t="s">
        <v>69</v>
      </c>
      <c r="K961">
        <v>2</v>
      </c>
      <c r="L961">
        <v>19888</v>
      </c>
      <c r="M961">
        <v>5</v>
      </c>
      <c r="N961">
        <v>1988.8</v>
      </c>
      <c r="O961">
        <v>6801.7</v>
      </c>
      <c r="P961">
        <v>174</v>
      </c>
      <c r="Q961">
        <v>44762.9</v>
      </c>
      <c r="R961" t="s">
        <v>45</v>
      </c>
      <c r="S961" t="s">
        <v>63</v>
      </c>
      <c r="T961" t="s">
        <v>103</v>
      </c>
      <c r="U961" t="s">
        <v>103</v>
      </c>
      <c r="V961" t="s">
        <v>57</v>
      </c>
      <c r="W961">
        <v>7</v>
      </c>
      <c r="X961" t="s">
        <v>47</v>
      </c>
      <c r="Y961">
        <v>3</v>
      </c>
      <c r="Z961" t="s">
        <v>91</v>
      </c>
    </row>
    <row r="962" spans="1:26" x14ac:dyDescent="0.3">
      <c r="A962" t="s">
        <v>1640</v>
      </c>
      <c r="B962" s="2">
        <v>45982</v>
      </c>
      <c r="C962" t="s">
        <v>1159</v>
      </c>
      <c r="D962" t="s">
        <v>61</v>
      </c>
      <c r="E962" t="s">
        <v>43</v>
      </c>
      <c r="F962">
        <v>58</v>
      </c>
      <c r="G962" t="s">
        <v>44</v>
      </c>
      <c r="H962" t="s">
        <v>31</v>
      </c>
      <c r="I962" t="s">
        <v>44</v>
      </c>
      <c r="J962" t="s">
        <v>201</v>
      </c>
      <c r="K962">
        <v>5</v>
      </c>
      <c r="L962">
        <v>24187</v>
      </c>
      <c r="M962">
        <v>20</v>
      </c>
      <c r="N962">
        <v>24187</v>
      </c>
      <c r="O962">
        <v>17414.64</v>
      </c>
      <c r="P962">
        <v>271</v>
      </c>
      <c r="Q962">
        <v>114433.64</v>
      </c>
      <c r="R962" t="s">
        <v>33</v>
      </c>
      <c r="S962" t="s">
        <v>63</v>
      </c>
      <c r="T962" t="s">
        <v>103</v>
      </c>
      <c r="U962" t="s">
        <v>103</v>
      </c>
      <c r="V962" t="s">
        <v>57</v>
      </c>
      <c r="W962">
        <v>9</v>
      </c>
      <c r="X962" t="s">
        <v>47</v>
      </c>
      <c r="Y962">
        <v>2</v>
      </c>
      <c r="Z962" t="s">
        <v>39</v>
      </c>
    </row>
    <row r="963" spans="1:26" x14ac:dyDescent="0.3">
      <c r="A963" t="s">
        <v>1641</v>
      </c>
      <c r="B963" s="2">
        <v>45860</v>
      </c>
      <c r="C963" t="s">
        <v>693</v>
      </c>
      <c r="D963" t="s">
        <v>73</v>
      </c>
      <c r="E963" t="s">
        <v>43</v>
      </c>
      <c r="F963">
        <v>21</v>
      </c>
      <c r="G963" t="s">
        <v>51</v>
      </c>
      <c r="H963" t="s">
        <v>52</v>
      </c>
      <c r="I963" t="s">
        <v>51</v>
      </c>
      <c r="J963" t="s">
        <v>75</v>
      </c>
      <c r="K963">
        <v>1</v>
      </c>
      <c r="L963">
        <v>27343</v>
      </c>
      <c r="M963">
        <v>5</v>
      </c>
      <c r="N963">
        <v>1367.15</v>
      </c>
      <c r="O963">
        <v>4675.6499999999996</v>
      </c>
      <c r="P963">
        <v>427</v>
      </c>
      <c r="Q963">
        <v>31078.5</v>
      </c>
      <c r="R963" t="s">
        <v>83</v>
      </c>
      <c r="S963" t="s">
        <v>34</v>
      </c>
      <c r="T963" t="s">
        <v>55</v>
      </c>
      <c r="U963" t="s">
        <v>56</v>
      </c>
      <c r="V963" t="s">
        <v>57</v>
      </c>
      <c r="W963">
        <v>6</v>
      </c>
      <c r="X963" t="s">
        <v>38</v>
      </c>
      <c r="Y963">
        <v>1</v>
      </c>
      <c r="Z963" t="s">
        <v>91</v>
      </c>
    </row>
    <row r="964" spans="1:26" x14ac:dyDescent="0.3">
      <c r="A964" t="s">
        <v>1642</v>
      </c>
      <c r="B964" s="2">
        <v>45953</v>
      </c>
      <c r="C964" t="s">
        <v>264</v>
      </c>
      <c r="D964" t="s">
        <v>61</v>
      </c>
      <c r="E964" t="s">
        <v>29</v>
      </c>
      <c r="F964">
        <v>23</v>
      </c>
      <c r="G964" t="s">
        <v>74</v>
      </c>
      <c r="H964" t="s">
        <v>31</v>
      </c>
      <c r="I964" t="s">
        <v>74</v>
      </c>
      <c r="J964" t="s">
        <v>62</v>
      </c>
      <c r="K964">
        <v>1</v>
      </c>
      <c r="L964">
        <v>36253</v>
      </c>
      <c r="M964">
        <v>0</v>
      </c>
      <c r="N964">
        <v>0</v>
      </c>
      <c r="O964">
        <v>6525.54</v>
      </c>
      <c r="P964">
        <v>493</v>
      </c>
      <c r="Q964">
        <v>43271.54</v>
      </c>
      <c r="R964" t="s">
        <v>54</v>
      </c>
      <c r="S964" t="s">
        <v>34</v>
      </c>
      <c r="T964" t="s">
        <v>70</v>
      </c>
      <c r="U964" t="s">
        <v>56</v>
      </c>
      <c r="V964" t="s">
        <v>57</v>
      </c>
      <c r="W964">
        <v>7</v>
      </c>
      <c r="X964" t="s">
        <v>38</v>
      </c>
      <c r="Y964">
        <v>2</v>
      </c>
      <c r="Z964" t="s">
        <v>39</v>
      </c>
    </row>
    <row r="965" spans="1:26" x14ac:dyDescent="0.3">
      <c r="A965" t="s">
        <v>1643</v>
      </c>
      <c r="B965" s="2">
        <v>45914</v>
      </c>
      <c r="C965" t="s">
        <v>944</v>
      </c>
      <c r="D965" t="s">
        <v>73</v>
      </c>
      <c r="E965" t="s">
        <v>43</v>
      </c>
      <c r="F965">
        <v>47</v>
      </c>
      <c r="G965" t="s">
        <v>94</v>
      </c>
      <c r="H965" t="s">
        <v>31</v>
      </c>
      <c r="I965" t="s">
        <v>94</v>
      </c>
      <c r="J965" t="s">
        <v>69</v>
      </c>
      <c r="K965">
        <v>2</v>
      </c>
      <c r="L965">
        <v>6461</v>
      </c>
      <c r="M965">
        <v>0</v>
      </c>
      <c r="N965">
        <v>0</v>
      </c>
      <c r="O965">
        <v>2325.96</v>
      </c>
      <c r="P965">
        <v>137</v>
      </c>
      <c r="Q965">
        <v>15384.96</v>
      </c>
      <c r="R965" t="s">
        <v>33</v>
      </c>
      <c r="S965" t="s">
        <v>63</v>
      </c>
      <c r="T965" t="s">
        <v>35</v>
      </c>
      <c r="U965" t="s">
        <v>36</v>
      </c>
      <c r="V965" t="s">
        <v>37</v>
      </c>
      <c r="W965">
        <v>4</v>
      </c>
      <c r="X965" t="s">
        <v>47</v>
      </c>
      <c r="Y965">
        <v>2</v>
      </c>
      <c r="Z965" t="s">
        <v>58</v>
      </c>
    </row>
    <row r="966" spans="1:26" x14ac:dyDescent="0.3">
      <c r="A966" t="s">
        <v>1644</v>
      </c>
      <c r="B966" s="2">
        <v>45937</v>
      </c>
      <c r="C966" t="s">
        <v>1645</v>
      </c>
      <c r="D966" t="s">
        <v>42</v>
      </c>
      <c r="E966" t="s">
        <v>29</v>
      </c>
      <c r="F966">
        <v>26</v>
      </c>
      <c r="G966" t="s">
        <v>30</v>
      </c>
      <c r="H966" t="s">
        <v>31</v>
      </c>
      <c r="I966" t="s">
        <v>30</v>
      </c>
      <c r="J966" t="s">
        <v>32</v>
      </c>
      <c r="K966">
        <v>5</v>
      </c>
      <c r="L966">
        <v>34990</v>
      </c>
      <c r="M966">
        <v>20</v>
      </c>
      <c r="N966">
        <v>34990</v>
      </c>
      <c r="O966">
        <v>25192.799999999999</v>
      </c>
      <c r="P966">
        <v>340</v>
      </c>
      <c r="Q966">
        <v>165492.79999999999</v>
      </c>
      <c r="R966" t="s">
        <v>83</v>
      </c>
      <c r="S966" t="s">
        <v>34</v>
      </c>
      <c r="T966" t="s">
        <v>95</v>
      </c>
      <c r="U966" t="s">
        <v>96</v>
      </c>
      <c r="V966" t="s">
        <v>57</v>
      </c>
      <c r="W966">
        <v>2</v>
      </c>
      <c r="X966" t="s">
        <v>47</v>
      </c>
      <c r="Y966">
        <v>1</v>
      </c>
      <c r="Z966" t="s">
        <v>91</v>
      </c>
    </row>
    <row r="967" spans="1:26" x14ac:dyDescent="0.3">
      <c r="A967" t="s">
        <v>1646</v>
      </c>
      <c r="B967" s="2">
        <v>46080</v>
      </c>
      <c r="C967" t="s">
        <v>455</v>
      </c>
      <c r="D967" t="s">
        <v>50</v>
      </c>
      <c r="E967" t="s">
        <v>43</v>
      </c>
      <c r="F967">
        <v>33</v>
      </c>
      <c r="G967" t="s">
        <v>44</v>
      </c>
      <c r="H967" t="s">
        <v>31</v>
      </c>
      <c r="I967" t="s">
        <v>44</v>
      </c>
      <c r="J967" t="s">
        <v>53</v>
      </c>
      <c r="K967">
        <v>3</v>
      </c>
      <c r="L967">
        <v>6736</v>
      </c>
      <c r="M967">
        <v>15</v>
      </c>
      <c r="N967">
        <v>3031.2</v>
      </c>
      <c r="O967">
        <v>3091.82</v>
      </c>
      <c r="P967">
        <v>130</v>
      </c>
      <c r="Q967">
        <v>20398.62</v>
      </c>
      <c r="R967" t="s">
        <v>54</v>
      </c>
      <c r="S967" t="s">
        <v>34</v>
      </c>
      <c r="T967" t="s">
        <v>103</v>
      </c>
      <c r="U967" t="s">
        <v>103</v>
      </c>
      <c r="V967" t="s">
        <v>57</v>
      </c>
      <c r="W967">
        <v>8</v>
      </c>
      <c r="X967" t="s">
        <v>47</v>
      </c>
      <c r="Y967">
        <v>3</v>
      </c>
      <c r="Z967" t="s">
        <v>58</v>
      </c>
    </row>
    <row r="968" spans="1:26" x14ac:dyDescent="0.3">
      <c r="A968" t="s">
        <v>1647</v>
      </c>
      <c r="B968" s="2">
        <v>46062</v>
      </c>
      <c r="C968" t="s">
        <v>840</v>
      </c>
      <c r="D968" t="s">
        <v>80</v>
      </c>
      <c r="E968" t="s">
        <v>29</v>
      </c>
      <c r="F968">
        <v>27</v>
      </c>
      <c r="G968" t="s">
        <v>30</v>
      </c>
      <c r="H968" t="s">
        <v>31</v>
      </c>
      <c r="I968" t="s">
        <v>30</v>
      </c>
      <c r="J968" t="s">
        <v>112</v>
      </c>
      <c r="K968">
        <v>1</v>
      </c>
      <c r="L968">
        <v>24799</v>
      </c>
      <c r="M968">
        <v>0</v>
      </c>
      <c r="N968">
        <v>0</v>
      </c>
      <c r="O968">
        <v>4463.82</v>
      </c>
      <c r="P968">
        <v>488</v>
      </c>
      <c r="Q968">
        <v>29750.82</v>
      </c>
      <c r="R968" t="s">
        <v>83</v>
      </c>
      <c r="S968" t="s">
        <v>63</v>
      </c>
      <c r="T968" t="s">
        <v>55</v>
      </c>
      <c r="U968" t="s">
        <v>56</v>
      </c>
      <c r="V968" t="s">
        <v>57</v>
      </c>
      <c r="W968">
        <v>1</v>
      </c>
      <c r="X968" t="s">
        <v>47</v>
      </c>
      <c r="Y968">
        <v>4</v>
      </c>
      <c r="Z968" t="s">
        <v>91</v>
      </c>
    </row>
    <row r="969" spans="1:26" x14ac:dyDescent="0.3">
      <c r="A969" t="s">
        <v>1648</v>
      </c>
      <c r="B969" s="2">
        <v>45790</v>
      </c>
      <c r="C969" t="s">
        <v>540</v>
      </c>
      <c r="D969" t="s">
        <v>28</v>
      </c>
      <c r="E969" t="s">
        <v>43</v>
      </c>
      <c r="F969">
        <v>47</v>
      </c>
      <c r="G969" t="s">
        <v>139</v>
      </c>
      <c r="H969" t="s">
        <v>31</v>
      </c>
      <c r="I969" t="s">
        <v>139</v>
      </c>
      <c r="J969" t="s">
        <v>112</v>
      </c>
      <c r="K969">
        <v>1</v>
      </c>
      <c r="L969">
        <v>9195</v>
      </c>
      <c r="M969">
        <v>20</v>
      </c>
      <c r="N969">
        <v>1839</v>
      </c>
      <c r="O969">
        <v>1324.08</v>
      </c>
      <c r="P969">
        <v>174</v>
      </c>
      <c r="Q969">
        <v>8854.08</v>
      </c>
      <c r="R969" t="s">
        <v>54</v>
      </c>
      <c r="S969" t="s">
        <v>34</v>
      </c>
      <c r="T969" t="s">
        <v>103</v>
      </c>
      <c r="U969" t="s">
        <v>103</v>
      </c>
      <c r="V969" t="s">
        <v>57</v>
      </c>
      <c r="W969">
        <v>2</v>
      </c>
      <c r="X969" t="s">
        <v>47</v>
      </c>
      <c r="Y969">
        <v>5</v>
      </c>
      <c r="Z969" t="s">
        <v>47</v>
      </c>
    </row>
    <row r="970" spans="1:26" x14ac:dyDescent="0.3">
      <c r="A970" t="s">
        <v>1649</v>
      </c>
      <c r="B970" s="2">
        <v>46119</v>
      </c>
      <c r="C970" t="s">
        <v>1650</v>
      </c>
      <c r="D970" t="s">
        <v>111</v>
      </c>
      <c r="E970" t="s">
        <v>29</v>
      </c>
      <c r="F970">
        <v>41</v>
      </c>
      <c r="G970" t="s">
        <v>44</v>
      </c>
      <c r="H970" t="s">
        <v>31</v>
      </c>
      <c r="I970" t="s">
        <v>44</v>
      </c>
      <c r="J970" t="s">
        <v>201</v>
      </c>
      <c r="K970">
        <v>3</v>
      </c>
      <c r="L970">
        <v>46281</v>
      </c>
      <c r="M970">
        <v>5</v>
      </c>
      <c r="N970">
        <v>6942.15</v>
      </c>
      <c r="O970">
        <v>23742.15</v>
      </c>
      <c r="P970">
        <v>54</v>
      </c>
      <c r="Q970">
        <v>155697</v>
      </c>
      <c r="R970" t="s">
        <v>54</v>
      </c>
      <c r="S970" t="s">
        <v>63</v>
      </c>
      <c r="T970" t="s">
        <v>35</v>
      </c>
      <c r="U970" t="s">
        <v>36</v>
      </c>
      <c r="V970" t="s">
        <v>37</v>
      </c>
      <c r="W970">
        <v>8</v>
      </c>
      <c r="X970" t="s">
        <v>47</v>
      </c>
      <c r="Y970">
        <v>2</v>
      </c>
      <c r="Z970" t="s">
        <v>58</v>
      </c>
    </row>
    <row r="971" spans="1:26" x14ac:dyDescent="0.3">
      <c r="A971" t="s">
        <v>1651</v>
      </c>
      <c r="B971" s="2">
        <v>46000</v>
      </c>
      <c r="C971" t="s">
        <v>1652</v>
      </c>
      <c r="D971" t="s">
        <v>73</v>
      </c>
      <c r="E971" t="s">
        <v>43</v>
      </c>
      <c r="F971">
        <v>47</v>
      </c>
      <c r="G971" t="s">
        <v>44</v>
      </c>
      <c r="H971" t="s">
        <v>31</v>
      </c>
      <c r="I971" t="s">
        <v>44</v>
      </c>
      <c r="J971" t="s">
        <v>150</v>
      </c>
      <c r="K971">
        <v>3</v>
      </c>
      <c r="L971">
        <v>11665</v>
      </c>
      <c r="M971">
        <v>15</v>
      </c>
      <c r="N971">
        <v>5249.25</v>
      </c>
      <c r="O971">
        <v>5354.23</v>
      </c>
      <c r="P971">
        <v>392</v>
      </c>
      <c r="Q971">
        <v>35491.99</v>
      </c>
      <c r="R971" t="s">
        <v>83</v>
      </c>
      <c r="S971" t="s">
        <v>63</v>
      </c>
      <c r="T971" t="s">
        <v>76</v>
      </c>
      <c r="U971" t="s">
        <v>77</v>
      </c>
      <c r="V971" t="s">
        <v>57</v>
      </c>
      <c r="W971">
        <v>6</v>
      </c>
      <c r="X971" t="s">
        <v>38</v>
      </c>
      <c r="Y971">
        <v>5</v>
      </c>
      <c r="Z971" t="s">
        <v>47</v>
      </c>
    </row>
    <row r="972" spans="1:26" x14ac:dyDescent="0.3">
      <c r="A972" t="s">
        <v>1653</v>
      </c>
      <c r="B972" s="2">
        <v>45778</v>
      </c>
      <c r="C972" t="s">
        <v>1654</v>
      </c>
      <c r="D972" t="s">
        <v>42</v>
      </c>
      <c r="E972" t="s">
        <v>29</v>
      </c>
      <c r="F972">
        <v>23</v>
      </c>
      <c r="G972" t="s">
        <v>44</v>
      </c>
      <c r="H972" t="s">
        <v>31</v>
      </c>
      <c r="I972" t="s">
        <v>44</v>
      </c>
      <c r="J972" t="s">
        <v>32</v>
      </c>
      <c r="K972">
        <v>2</v>
      </c>
      <c r="L972">
        <v>41905</v>
      </c>
      <c r="M972">
        <v>20</v>
      </c>
      <c r="N972">
        <v>16762</v>
      </c>
      <c r="O972">
        <v>12068.64</v>
      </c>
      <c r="P972">
        <v>427</v>
      </c>
      <c r="Q972">
        <v>79543.64</v>
      </c>
      <c r="R972" t="s">
        <v>54</v>
      </c>
      <c r="S972" t="s">
        <v>63</v>
      </c>
      <c r="T972" t="s">
        <v>70</v>
      </c>
      <c r="U972" t="s">
        <v>56</v>
      </c>
      <c r="V972" t="s">
        <v>57</v>
      </c>
      <c r="W972">
        <v>5</v>
      </c>
      <c r="X972" t="s">
        <v>38</v>
      </c>
      <c r="Y972">
        <v>1</v>
      </c>
      <c r="Z972" t="s">
        <v>58</v>
      </c>
    </row>
    <row r="973" spans="1:26" x14ac:dyDescent="0.3">
      <c r="A973" t="s">
        <v>1655</v>
      </c>
      <c r="B973" s="2">
        <v>45896</v>
      </c>
      <c r="C973" t="s">
        <v>1589</v>
      </c>
      <c r="D973" t="s">
        <v>50</v>
      </c>
      <c r="E973" t="s">
        <v>43</v>
      </c>
      <c r="F973">
        <v>38</v>
      </c>
      <c r="G973" t="s">
        <v>44</v>
      </c>
      <c r="H973" t="s">
        <v>31</v>
      </c>
      <c r="I973" t="s">
        <v>44</v>
      </c>
      <c r="J973" t="s">
        <v>75</v>
      </c>
      <c r="K973">
        <v>1</v>
      </c>
      <c r="L973">
        <v>13855</v>
      </c>
      <c r="M973">
        <v>15</v>
      </c>
      <c r="N973">
        <v>2078.25</v>
      </c>
      <c r="O973">
        <v>2119.8200000000002</v>
      </c>
      <c r="P973">
        <v>127</v>
      </c>
      <c r="Q973">
        <v>14023.57</v>
      </c>
      <c r="R973" t="s">
        <v>45</v>
      </c>
      <c r="S973" t="s">
        <v>34</v>
      </c>
      <c r="T973" t="s">
        <v>76</v>
      </c>
      <c r="U973" t="s">
        <v>77</v>
      </c>
      <c r="V973" t="s">
        <v>57</v>
      </c>
      <c r="W973">
        <v>7</v>
      </c>
      <c r="X973" t="s">
        <v>47</v>
      </c>
      <c r="Y973">
        <v>5</v>
      </c>
      <c r="Z973" t="s">
        <v>39</v>
      </c>
    </row>
    <row r="974" spans="1:26" x14ac:dyDescent="0.3">
      <c r="A974" t="s">
        <v>1656</v>
      </c>
      <c r="B974" s="2">
        <v>46077</v>
      </c>
      <c r="C974" t="s">
        <v>1657</v>
      </c>
      <c r="D974" t="s">
        <v>73</v>
      </c>
      <c r="E974" t="s">
        <v>43</v>
      </c>
      <c r="F974">
        <v>51</v>
      </c>
      <c r="G974" t="s">
        <v>51</v>
      </c>
      <c r="H974" t="s">
        <v>52</v>
      </c>
      <c r="I974" t="s">
        <v>51</v>
      </c>
      <c r="J974" t="s">
        <v>32</v>
      </c>
      <c r="K974">
        <v>4</v>
      </c>
      <c r="L974">
        <v>29217</v>
      </c>
      <c r="M974">
        <v>0</v>
      </c>
      <c r="N974">
        <v>0</v>
      </c>
      <c r="O974">
        <v>21036.240000000002</v>
      </c>
      <c r="P974">
        <v>188</v>
      </c>
      <c r="Q974">
        <v>138092.24</v>
      </c>
      <c r="R974" t="s">
        <v>54</v>
      </c>
      <c r="S974" t="s">
        <v>63</v>
      </c>
      <c r="T974" t="s">
        <v>35</v>
      </c>
      <c r="U974" t="s">
        <v>36</v>
      </c>
      <c r="V974" t="s">
        <v>37</v>
      </c>
      <c r="W974">
        <v>10</v>
      </c>
      <c r="X974" t="s">
        <v>38</v>
      </c>
      <c r="Y974">
        <v>1</v>
      </c>
      <c r="Z974" t="s">
        <v>39</v>
      </c>
    </row>
    <row r="975" spans="1:26" x14ac:dyDescent="0.3">
      <c r="A975" t="s">
        <v>1658</v>
      </c>
      <c r="B975" s="2">
        <v>45816</v>
      </c>
      <c r="C975" t="s">
        <v>1129</v>
      </c>
      <c r="D975" t="s">
        <v>61</v>
      </c>
      <c r="E975" t="s">
        <v>29</v>
      </c>
      <c r="F975">
        <v>19</v>
      </c>
      <c r="G975" t="s">
        <v>67</v>
      </c>
      <c r="H975" t="s">
        <v>68</v>
      </c>
      <c r="I975" t="s">
        <v>67</v>
      </c>
      <c r="J975" t="s">
        <v>112</v>
      </c>
      <c r="K975">
        <v>3</v>
      </c>
      <c r="L975">
        <v>34047</v>
      </c>
      <c r="M975">
        <v>0</v>
      </c>
      <c r="N975">
        <v>0</v>
      </c>
      <c r="O975">
        <v>18385.38</v>
      </c>
      <c r="P975">
        <v>42</v>
      </c>
      <c r="Q975">
        <v>120568.38</v>
      </c>
      <c r="R975" t="s">
        <v>54</v>
      </c>
      <c r="S975" t="s">
        <v>63</v>
      </c>
      <c r="T975" t="s">
        <v>103</v>
      </c>
      <c r="U975" t="s">
        <v>103</v>
      </c>
      <c r="V975" t="s">
        <v>57</v>
      </c>
      <c r="W975">
        <v>3</v>
      </c>
      <c r="X975" t="s">
        <v>38</v>
      </c>
      <c r="Y975">
        <v>5</v>
      </c>
      <c r="Z975" t="s">
        <v>39</v>
      </c>
    </row>
    <row r="976" spans="1:26" x14ac:dyDescent="0.3">
      <c r="A976" t="s">
        <v>1659</v>
      </c>
      <c r="B976" s="2">
        <v>45855</v>
      </c>
      <c r="C976" t="s">
        <v>1074</v>
      </c>
      <c r="D976" t="s">
        <v>111</v>
      </c>
      <c r="E976" t="s">
        <v>43</v>
      </c>
      <c r="F976">
        <v>47</v>
      </c>
      <c r="G976" t="s">
        <v>99</v>
      </c>
      <c r="H976" t="s">
        <v>52</v>
      </c>
      <c r="I976" t="s">
        <v>99</v>
      </c>
      <c r="J976" t="s">
        <v>53</v>
      </c>
      <c r="K976">
        <v>4</v>
      </c>
      <c r="L976">
        <v>40544</v>
      </c>
      <c r="M976">
        <v>5</v>
      </c>
      <c r="N976">
        <v>8108.8</v>
      </c>
      <c r="O976">
        <v>27732.1</v>
      </c>
      <c r="P976">
        <v>384</v>
      </c>
      <c r="Q976">
        <v>182183.3</v>
      </c>
      <c r="R976" t="s">
        <v>45</v>
      </c>
      <c r="S976" t="s">
        <v>34</v>
      </c>
      <c r="T976" t="s">
        <v>103</v>
      </c>
      <c r="U976" t="s">
        <v>103</v>
      </c>
      <c r="V976" t="s">
        <v>57</v>
      </c>
      <c r="W976">
        <v>10</v>
      </c>
      <c r="X976" t="s">
        <v>47</v>
      </c>
      <c r="Y976">
        <v>1</v>
      </c>
      <c r="Z976" t="s">
        <v>58</v>
      </c>
    </row>
    <row r="977" spans="1:26" x14ac:dyDescent="0.3">
      <c r="A977" t="s">
        <v>1660</v>
      </c>
      <c r="B977" s="2">
        <v>45927</v>
      </c>
      <c r="C977" t="s">
        <v>1026</v>
      </c>
      <c r="D977" t="s">
        <v>28</v>
      </c>
      <c r="E977" t="s">
        <v>43</v>
      </c>
      <c r="F977">
        <v>23</v>
      </c>
      <c r="G977" t="s">
        <v>30</v>
      </c>
      <c r="H977" t="s">
        <v>31</v>
      </c>
      <c r="I977" t="s">
        <v>30</v>
      </c>
      <c r="J977" t="s">
        <v>112</v>
      </c>
      <c r="K977">
        <v>1</v>
      </c>
      <c r="L977">
        <v>34177</v>
      </c>
      <c r="M977">
        <v>15</v>
      </c>
      <c r="N977">
        <v>5126.55</v>
      </c>
      <c r="O977">
        <v>5229.08</v>
      </c>
      <c r="P977">
        <v>114</v>
      </c>
      <c r="Q977">
        <v>34393.53</v>
      </c>
      <c r="R977" t="s">
        <v>83</v>
      </c>
      <c r="S977" t="s">
        <v>34</v>
      </c>
      <c r="T977" t="s">
        <v>84</v>
      </c>
      <c r="U977" t="s">
        <v>85</v>
      </c>
      <c r="V977" t="s">
        <v>86</v>
      </c>
      <c r="W977">
        <v>7</v>
      </c>
      <c r="X977" t="s">
        <v>38</v>
      </c>
      <c r="Y977">
        <v>5</v>
      </c>
      <c r="Z977" t="s">
        <v>58</v>
      </c>
    </row>
    <row r="978" spans="1:26" x14ac:dyDescent="0.3">
      <c r="A978" t="s">
        <v>1661</v>
      </c>
      <c r="B978" s="2">
        <v>45910</v>
      </c>
      <c r="C978" t="s">
        <v>578</v>
      </c>
      <c r="D978" t="s">
        <v>42</v>
      </c>
      <c r="E978" t="s">
        <v>43</v>
      </c>
      <c r="F978">
        <v>35</v>
      </c>
      <c r="G978" t="s">
        <v>99</v>
      </c>
      <c r="H978" t="s">
        <v>52</v>
      </c>
      <c r="I978" t="s">
        <v>99</v>
      </c>
      <c r="J978" t="s">
        <v>32</v>
      </c>
      <c r="K978">
        <v>4</v>
      </c>
      <c r="L978">
        <v>32481</v>
      </c>
      <c r="M978">
        <v>20</v>
      </c>
      <c r="N978">
        <v>25984.799999999999</v>
      </c>
      <c r="O978">
        <v>18709.060000000001</v>
      </c>
      <c r="P978">
        <v>431</v>
      </c>
      <c r="Q978">
        <v>123079.26</v>
      </c>
      <c r="R978" t="s">
        <v>54</v>
      </c>
      <c r="S978" t="s">
        <v>63</v>
      </c>
      <c r="T978" t="s">
        <v>35</v>
      </c>
      <c r="U978" t="s">
        <v>36</v>
      </c>
      <c r="V978" t="s">
        <v>37</v>
      </c>
      <c r="W978">
        <v>5</v>
      </c>
      <c r="X978" t="s">
        <v>47</v>
      </c>
      <c r="Y978">
        <v>3</v>
      </c>
      <c r="Z978" t="s">
        <v>58</v>
      </c>
    </row>
    <row r="979" spans="1:26" x14ac:dyDescent="0.3">
      <c r="A979" t="s">
        <v>1662</v>
      </c>
      <c r="B979" s="2">
        <v>45930</v>
      </c>
      <c r="C979" t="s">
        <v>635</v>
      </c>
      <c r="D979" t="s">
        <v>108</v>
      </c>
      <c r="E979" t="s">
        <v>43</v>
      </c>
      <c r="F979">
        <v>45</v>
      </c>
      <c r="G979" t="s">
        <v>90</v>
      </c>
      <c r="H979" t="s">
        <v>31</v>
      </c>
      <c r="I979" t="s">
        <v>90</v>
      </c>
      <c r="J979" t="s">
        <v>62</v>
      </c>
      <c r="K979">
        <v>4</v>
      </c>
      <c r="L979">
        <v>26540</v>
      </c>
      <c r="M979">
        <v>10</v>
      </c>
      <c r="N979">
        <v>10616</v>
      </c>
      <c r="O979">
        <v>17197.919999999998</v>
      </c>
      <c r="P979">
        <v>448</v>
      </c>
      <c r="Q979">
        <v>113189.92</v>
      </c>
      <c r="R979" t="s">
        <v>33</v>
      </c>
      <c r="S979" t="s">
        <v>63</v>
      </c>
      <c r="T979" t="s">
        <v>84</v>
      </c>
      <c r="U979" t="s">
        <v>85</v>
      </c>
      <c r="V979" t="s">
        <v>86</v>
      </c>
      <c r="W979">
        <v>8</v>
      </c>
      <c r="X979" t="s">
        <v>47</v>
      </c>
      <c r="Y979">
        <v>5</v>
      </c>
      <c r="Z979" t="s">
        <v>91</v>
      </c>
    </row>
    <row r="980" spans="1:26" x14ac:dyDescent="0.3">
      <c r="A980" t="s">
        <v>1663</v>
      </c>
      <c r="B980" s="2">
        <v>45889</v>
      </c>
      <c r="C980" t="s">
        <v>268</v>
      </c>
      <c r="D980" t="s">
        <v>42</v>
      </c>
      <c r="E980" t="s">
        <v>29</v>
      </c>
      <c r="F980">
        <v>57</v>
      </c>
      <c r="G980" t="s">
        <v>44</v>
      </c>
      <c r="H980" t="s">
        <v>31</v>
      </c>
      <c r="I980" t="s">
        <v>44</v>
      </c>
      <c r="J980" t="s">
        <v>53</v>
      </c>
      <c r="K980">
        <v>2</v>
      </c>
      <c r="L980">
        <v>7396</v>
      </c>
      <c r="M980">
        <v>20</v>
      </c>
      <c r="N980">
        <v>2958.4</v>
      </c>
      <c r="O980">
        <v>2130.0500000000002</v>
      </c>
      <c r="P980">
        <v>160</v>
      </c>
      <c r="Q980">
        <v>14123.65</v>
      </c>
      <c r="R980" t="s">
        <v>33</v>
      </c>
      <c r="S980" t="s">
        <v>63</v>
      </c>
      <c r="T980" t="s">
        <v>55</v>
      </c>
      <c r="U980" t="s">
        <v>56</v>
      </c>
      <c r="V980" t="s">
        <v>57</v>
      </c>
      <c r="W980">
        <v>2</v>
      </c>
      <c r="X980" t="s">
        <v>47</v>
      </c>
      <c r="Y980">
        <v>4</v>
      </c>
      <c r="Z980" t="s">
        <v>47</v>
      </c>
    </row>
    <row r="981" spans="1:26" x14ac:dyDescent="0.3">
      <c r="A981" t="s">
        <v>1664</v>
      </c>
      <c r="B981" s="2">
        <v>46095</v>
      </c>
      <c r="C981" t="s">
        <v>1194</v>
      </c>
      <c r="D981" t="s">
        <v>111</v>
      </c>
      <c r="E981" t="s">
        <v>43</v>
      </c>
      <c r="F981">
        <v>19</v>
      </c>
      <c r="G981" t="s">
        <v>74</v>
      </c>
      <c r="H981" t="s">
        <v>31</v>
      </c>
      <c r="I981" t="s">
        <v>74</v>
      </c>
      <c r="J981" t="s">
        <v>102</v>
      </c>
      <c r="K981">
        <v>4</v>
      </c>
      <c r="L981">
        <v>12010</v>
      </c>
      <c r="M981">
        <v>5</v>
      </c>
      <c r="N981">
        <v>2402</v>
      </c>
      <c r="O981">
        <v>8214.84</v>
      </c>
      <c r="P981">
        <v>40</v>
      </c>
      <c r="Q981">
        <v>53892.84</v>
      </c>
      <c r="R981" t="s">
        <v>45</v>
      </c>
      <c r="S981" t="s">
        <v>63</v>
      </c>
      <c r="T981" t="s">
        <v>35</v>
      </c>
      <c r="U981" t="s">
        <v>36</v>
      </c>
      <c r="V981" t="s">
        <v>37</v>
      </c>
      <c r="W981">
        <v>2</v>
      </c>
      <c r="X981" t="s">
        <v>47</v>
      </c>
      <c r="Y981">
        <v>1</v>
      </c>
      <c r="Z981" t="s">
        <v>47</v>
      </c>
    </row>
    <row r="982" spans="1:26" x14ac:dyDescent="0.3">
      <c r="A982" t="s">
        <v>1665</v>
      </c>
      <c r="B982" s="2">
        <v>45825</v>
      </c>
      <c r="C982" t="s">
        <v>1666</v>
      </c>
      <c r="D982" t="s">
        <v>111</v>
      </c>
      <c r="E982" t="s">
        <v>43</v>
      </c>
      <c r="F982">
        <v>26</v>
      </c>
      <c r="G982" t="s">
        <v>134</v>
      </c>
      <c r="H982" t="s">
        <v>31</v>
      </c>
      <c r="I982" t="s">
        <v>134</v>
      </c>
      <c r="J982" t="s">
        <v>150</v>
      </c>
      <c r="K982">
        <v>2</v>
      </c>
      <c r="L982">
        <v>2315</v>
      </c>
      <c r="M982">
        <v>20</v>
      </c>
      <c r="N982">
        <v>926</v>
      </c>
      <c r="O982">
        <v>666.72</v>
      </c>
      <c r="P982">
        <v>203</v>
      </c>
      <c r="Q982">
        <v>4573.72</v>
      </c>
      <c r="R982" t="s">
        <v>54</v>
      </c>
      <c r="S982" t="s">
        <v>63</v>
      </c>
      <c r="T982" t="s">
        <v>46</v>
      </c>
      <c r="U982" t="s">
        <v>36</v>
      </c>
      <c r="V982" t="s">
        <v>37</v>
      </c>
      <c r="W982">
        <v>10</v>
      </c>
      <c r="X982" t="s">
        <v>38</v>
      </c>
      <c r="Y982">
        <v>4</v>
      </c>
      <c r="Z982" t="s">
        <v>47</v>
      </c>
    </row>
    <row r="983" spans="1:26" x14ac:dyDescent="0.3">
      <c r="A983" t="s">
        <v>1667</v>
      </c>
      <c r="B983" s="2">
        <v>45935</v>
      </c>
      <c r="C983" t="s">
        <v>1668</v>
      </c>
      <c r="D983" t="s">
        <v>73</v>
      </c>
      <c r="E983" t="s">
        <v>43</v>
      </c>
      <c r="F983">
        <v>59</v>
      </c>
      <c r="G983" t="s">
        <v>74</v>
      </c>
      <c r="H983" t="s">
        <v>31</v>
      </c>
      <c r="I983" t="s">
        <v>74</v>
      </c>
      <c r="J983" t="s">
        <v>125</v>
      </c>
      <c r="K983">
        <v>2</v>
      </c>
      <c r="L983">
        <v>14022</v>
      </c>
      <c r="M983">
        <v>20</v>
      </c>
      <c r="N983">
        <v>5608.8</v>
      </c>
      <c r="O983">
        <v>4038.34</v>
      </c>
      <c r="P983">
        <v>455</v>
      </c>
      <c r="Q983">
        <v>26928.54</v>
      </c>
      <c r="R983" t="s">
        <v>83</v>
      </c>
      <c r="S983" t="s">
        <v>34</v>
      </c>
      <c r="T983" t="s">
        <v>103</v>
      </c>
      <c r="U983" t="s">
        <v>103</v>
      </c>
      <c r="V983" t="s">
        <v>57</v>
      </c>
      <c r="W983">
        <v>1</v>
      </c>
      <c r="X983" t="s">
        <v>38</v>
      </c>
      <c r="Y983">
        <v>3</v>
      </c>
      <c r="Z983" t="s">
        <v>47</v>
      </c>
    </row>
    <row r="984" spans="1:26" x14ac:dyDescent="0.3">
      <c r="A984" t="s">
        <v>1669</v>
      </c>
      <c r="B984" s="2">
        <v>46106</v>
      </c>
      <c r="C984" t="s">
        <v>1361</v>
      </c>
      <c r="D984" t="s">
        <v>28</v>
      </c>
      <c r="E984" t="s">
        <v>43</v>
      </c>
      <c r="F984">
        <v>58</v>
      </c>
      <c r="G984" t="s">
        <v>67</v>
      </c>
      <c r="H984" t="s">
        <v>68</v>
      </c>
      <c r="I984" t="s">
        <v>67</v>
      </c>
      <c r="J984" t="s">
        <v>32</v>
      </c>
      <c r="K984">
        <v>3</v>
      </c>
      <c r="L984">
        <v>31885</v>
      </c>
      <c r="M984">
        <v>5</v>
      </c>
      <c r="N984">
        <v>4782.75</v>
      </c>
      <c r="O984">
        <v>16357</v>
      </c>
      <c r="P984">
        <v>220</v>
      </c>
      <c r="Q984">
        <v>107449.26</v>
      </c>
      <c r="R984" t="s">
        <v>33</v>
      </c>
      <c r="S984" t="s">
        <v>34</v>
      </c>
      <c r="T984" t="s">
        <v>76</v>
      </c>
      <c r="U984" t="s">
        <v>77</v>
      </c>
      <c r="V984" t="s">
        <v>57</v>
      </c>
      <c r="W984">
        <v>8</v>
      </c>
      <c r="X984" t="s">
        <v>38</v>
      </c>
      <c r="Y984">
        <v>1</v>
      </c>
      <c r="Z984" t="s">
        <v>47</v>
      </c>
    </row>
    <row r="985" spans="1:26" x14ac:dyDescent="0.3">
      <c r="A985" t="s">
        <v>1670</v>
      </c>
      <c r="B985" s="2">
        <v>45969</v>
      </c>
      <c r="C985" t="s">
        <v>1671</v>
      </c>
      <c r="D985" t="s">
        <v>28</v>
      </c>
      <c r="E985" t="s">
        <v>43</v>
      </c>
      <c r="F985">
        <v>32</v>
      </c>
      <c r="G985" t="s">
        <v>67</v>
      </c>
      <c r="H985" t="s">
        <v>68</v>
      </c>
      <c r="I985" t="s">
        <v>67</v>
      </c>
      <c r="J985" t="s">
        <v>69</v>
      </c>
      <c r="K985">
        <v>2</v>
      </c>
      <c r="L985">
        <v>12286</v>
      </c>
      <c r="M985">
        <v>20</v>
      </c>
      <c r="N985">
        <v>4914.3999999999996</v>
      </c>
      <c r="O985">
        <v>3538.37</v>
      </c>
      <c r="P985">
        <v>422</v>
      </c>
      <c r="Q985">
        <v>23617.97</v>
      </c>
      <c r="R985" t="s">
        <v>83</v>
      </c>
      <c r="S985" t="s">
        <v>63</v>
      </c>
      <c r="T985" t="s">
        <v>70</v>
      </c>
      <c r="U985" t="s">
        <v>56</v>
      </c>
      <c r="V985" t="s">
        <v>57</v>
      </c>
      <c r="W985">
        <v>4</v>
      </c>
      <c r="X985" t="s">
        <v>38</v>
      </c>
      <c r="Y985">
        <v>3</v>
      </c>
      <c r="Z985" t="s">
        <v>58</v>
      </c>
    </row>
    <row r="986" spans="1:26" x14ac:dyDescent="0.3">
      <c r="A986" t="s">
        <v>1672</v>
      </c>
      <c r="B986" s="2">
        <v>45765</v>
      </c>
      <c r="C986" t="s">
        <v>1124</v>
      </c>
      <c r="D986" t="s">
        <v>111</v>
      </c>
      <c r="E986" t="s">
        <v>29</v>
      </c>
      <c r="F986">
        <v>23</v>
      </c>
      <c r="G986" t="s">
        <v>134</v>
      </c>
      <c r="H986" t="s">
        <v>31</v>
      </c>
      <c r="I986" t="s">
        <v>134</v>
      </c>
      <c r="J986" t="s">
        <v>112</v>
      </c>
      <c r="K986">
        <v>3</v>
      </c>
      <c r="L986">
        <v>49317</v>
      </c>
      <c r="M986">
        <v>20</v>
      </c>
      <c r="N986">
        <v>29590.2</v>
      </c>
      <c r="O986">
        <v>21304.94</v>
      </c>
      <c r="P986">
        <v>76</v>
      </c>
      <c r="Q986">
        <v>139741.74</v>
      </c>
      <c r="R986" t="s">
        <v>45</v>
      </c>
      <c r="S986" t="s">
        <v>34</v>
      </c>
      <c r="T986" t="s">
        <v>46</v>
      </c>
      <c r="U986" t="s">
        <v>36</v>
      </c>
      <c r="V986" t="s">
        <v>37</v>
      </c>
      <c r="W986">
        <v>7</v>
      </c>
      <c r="X986" t="s">
        <v>38</v>
      </c>
      <c r="Y986">
        <v>4</v>
      </c>
      <c r="Z986" t="s">
        <v>91</v>
      </c>
    </row>
    <row r="987" spans="1:26" x14ac:dyDescent="0.3">
      <c r="A987" t="s">
        <v>1673</v>
      </c>
      <c r="B987" s="2">
        <v>46066</v>
      </c>
      <c r="C987" t="s">
        <v>1674</v>
      </c>
      <c r="D987" t="s">
        <v>28</v>
      </c>
      <c r="E987" t="s">
        <v>43</v>
      </c>
      <c r="F987">
        <v>59</v>
      </c>
      <c r="G987" t="s">
        <v>94</v>
      </c>
      <c r="H987" t="s">
        <v>31</v>
      </c>
      <c r="I987" t="s">
        <v>94</v>
      </c>
      <c r="J987" t="s">
        <v>69</v>
      </c>
      <c r="K987">
        <v>1</v>
      </c>
      <c r="L987">
        <v>2308</v>
      </c>
      <c r="M987">
        <v>20</v>
      </c>
      <c r="N987">
        <v>461.6</v>
      </c>
      <c r="O987">
        <v>332.35</v>
      </c>
      <c r="P987">
        <v>445</v>
      </c>
      <c r="Q987">
        <v>2623.75</v>
      </c>
      <c r="R987" t="s">
        <v>45</v>
      </c>
      <c r="S987" t="s">
        <v>63</v>
      </c>
      <c r="T987" t="s">
        <v>84</v>
      </c>
      <c r="U987" t="s">
        <v>85</v>
      </c>
      <c r="V987" t="s">
        <v>86</v>
      </c>
      <c r="W987">
        <v>6</v>
      </c>
      <c r="X987" t="s">
        <v>38</v>
      </c>
      <c r="Y987">
        <v>5</v>
      </c>
      <c r="Z987" t="s">
        <v>91</v>
      </c>
    </row>
    <row r="988" spans="1:26" x14ac:dyDescent="0.3">
      <c r="A988" t="s">
        <v>1675</v>
      </c>
      <c r="B988" s="2">
        <v>46119</v>
      </c>
      <c r="C988" t="s">
        <v>1676</v>
      </c>
      <c r="D988" t="s">
        <v>73</v>
      </c>
      <c r="E988" t="s">
        <v>43</v>
      </c>
      <c r="F988">
        <v>49</v>
      </c>
      <c r="G988" t="s">
        <v>51</v>
      </c>
      <c r="H988" t="s">
        <v>52</v>
      </c>
      <c r="I988" t="s">
        <v>51</v>
      </c>
      <c r="J988" t="s">
        <v>150</v>
      </c>
      <c r="K988">
        <v>2</v>
      </c>
      <c r="L988">
        <v>12242</v>
      </c>
      <c r="M988">
        <v>5</v>
      </c>
      <c r="N988">
        <v>1224.2</v>
      </c>
      <c r="O988">
        <v>4186.76</v>
      </c>
      <c r="P988">
        <v>314</v>
      </c>
      <c r="Q988">
        <v>27760.560000000001</v>
      </c>
      <c r="R988" t="s">
        <v>33</v>
      </c>
      <c r="S988" t="s">
        <v>34</v>
      </c>
      <c r="T988" t="s">
        <v>103</v>
      </c>
      <c r="U988" t="s">
        <v>103</v>
      </c>
      <c r="V988" t="s">
        <v>57</v>
      </c>
      <c r="W988">
        <v>10</v>
      </c>
      <c r="X988" t="s">
        <v>47</v>
      </c>
      <c r="Y988">
        <v>4</v>
      </c>
      <c r="Z988" t="s">
        <v>47</v>
      </c>
    </row>
    <row r="989" spans="1:26" x14ac:dyDescent="0.3">
      <c r="A989" t="s">
        <v>1677</v>
      </c>
      <c r="B989" s="2">
        <v>45854</v>
      </c>
      <c r="C989" t="s">
        <v>336</v>
      </c>
      <c r="D989" t="s">
        <v>66</v>
      </c>
      <c r="E989" t="s">
        <v>43</v>
      </c>
      <c r="F989">
        <v>54</v>
      </c>
      <c r="G989" t="s">
        <v>139</v>
      </c>
      <c r="H989" t="s">
        <v>31</v>
      </c>
      <c r="I989" t="s">
        <v>139</v>
      </c>
      <c r="J989" t="s">
        <v>32</v>
      </c>
      <c r="K989">
        <v>4</v>
      </c>
      <c r="L989">
        <v>2691</v>
      </c>
      <c r="M989">
        <v>15</v>
      </c>
      <c r="N989">
        <v>1614.6</v>
      </c>
      <c r="O989">
        <v>1646.89</v>
      </c>
      <c r="P989">
        <v>248</v>
      </c>
      <c r="Q989">
        <v>11044.29</v>
      </c>
      <c r="R989" t="s">
        <v>33</v>
      </c>
      <c r="S989" t="s">
        <v>63</v>
      </c>
      <c r="T989" t="s">
        <v>55</v>
      </c>
      <c r="U989" t="s">
        <v>56</v>
      </c>
      <c r="V989" t="s">
        <v>57</v>
      </c>
      <c r="W989">
        <v>9</v>
      </c>
      <c r="X989" t="s">
        <v>38</v>
      </c>
      <c r="Y989">
        <v>1</v>
      </c>
      <c r="Z989" t="s">
        <v>47</v>
      </c>
    </row>
    <row r="990" spans="1:26" x14ac:dyDescent="0.3">
      <c r="A990" t="s">
        <v>1678</v>
      </c>
      <c r="B990" s="2">
        <v>45875</v>
      </c>
      <c r="C990" t="s">
        <v>1679</v>
      </c>
      <c r="D990" t="s">
        <v>108</v>
      </c>
      <c r="E990" t="s">
        <v>43</v>
      </c>
      <c r="F990">
        <v>52</v>
      </c>
      <c r="G990" t="s">
        <v>74</v>
      </c>
      <c r="H990" t="s">
        <v>31</v>
      </c>
      <c r="I990" t="s">
        <v>74</v>
      </c>
      <c r="J990" t="s">
        <v>150</v>
      </c>
      <c r="K990">
        <v>1</v>
      </c>
      <c r="L990">
        <v>3151</v>
      </c>
      <c r="M990">
        <v>15</v>
      </c>
      <c r="N990">
        <v>472.65</v>
      </c>
      <c r="O990">
        <v>482.1</v>
      </c>
      <c r="P990">
        <v>224</v>
      </c>
      <c r="Q990">
        <v>3384.45</v>
      </c>
      <c r="R990" t="s">
        <v>54</v>
      </c>
      <c r="S990" t="s">
        <v>63</v>
      </c>
      <c r="T990" t="s">
        <v>84</v>
      </c>
      <c r="U990" t="s">
        <v>85</v>
      </c>
      <c r="V990" t="s">
        <v>86</v>
      </c>
      <c r="W990">
        <v>6</v>
      </c>
      <c r="X990" t="s">
        <v>38</v>
      </c>
      <c r="Y990">
        <v>2</v>
      </c>
      <c r="Z990" t="s">
        <v>39</v>
      </c>
    </row>
    <row r="991" spans="1:26" x14ac:dyDescent="0.3">
      <c r="A991" t="s">
        <v>1680</v>
      </c>
      <c r="B991" s="2">
        <v>45974</v>
      </c>
      <c r="C991" t="s">
        <v>728</v>
      </c>
      <c r="D991" t="s">
        <v>111</v>
      </c>
      <c r="E991" t="s">
        <v>43</v>
      </c>
      <c r="F991">
        <v>52</v>
      </c>
      <c r="G991" t="s">
        <v>139</v>
      </c>
      <c r="H991" t="s">
        <v>31</v>
      </c>
      <c r="I991" t="s">
        <v>139</v>
      </c>
      <c r="J991" t="s">
        <v>112</v>
      </c>
      <c r="K991">
        <v>5</v>
      </c>
      <c r="L991">
        <v>31839</v>
      </c>
      <c r="M991">
        <v>15</v>
      </c>
      <c r="N991">
        <v>23879.25</v>
      </c>
      <c r="O991">
        <v>24356.83</v>
      </c>
      <c r="P991">
        <v>295</v>
      </c>
      <c r="Q991">
        <v>159967.57999999999</v>
      </c>
      <c r="R991" t="s">
        <v>33</v>
      </c>
      <c r="S991" t="s">
        <v>34</v>
      </c>
      <c r="T991" t="s">
        <v>46</v>
      </c>
      <c r="U991" t="s">
        <v>36</v>
      </c>
      <c r="V991" t="s">
        <v>37</v>
      </c>
      <c r="W991">
        <v>3</v>
      </c>
      <c r="X991" t="s">
        <v>47</v>
      </c>
      <c r="Y991">
        <v>4</v>
      </c>
      <c r="Z991" t="s">
        <v>47</v>
      </c>
    </row>
    <row r="992" spans="1:26" x14ac:dyDescent="0.3">
      <c r="A992" t="s">
        <v>1681</v>
      </c>
      <c r="B992" s="2">
        <v>45954</v>
      </c>
      <c r="C992" t="s">
        <v>551</v>
      </c>
      <c r="D992" t="s">
        <v>66</v>
      </c>
      <c r="E992" t="s">
        <v>43</v>
      </c>
      <c r="F992">
        <v>54</v>
      </c>
      <c r="G992" t="s">
        <v>67</v>
      </c>
      <c r="H992" t="s">
        <v>68</v>
      </c>
      <c r="I992" t="s">
        <v>67</v>
      </c>
      <c r="J992" t="s">
        <v>53</v>
      </c>
      <c r="K992">
        <v>1</v>
      </c>
      <c r="L992">
        <v>18336</v>
      </c>
      <c r="M992">
        <v>0</v>
      </c>
      <c r="N992">
        <v>0</v>
      </c>
      <c r="O992">
        <v>3300.48</v>
      </c>
      <c r="P992">
        <v>116</v>
      </c>
      <c r="Q992">
        <v>21752.48</v>
      </c>
      <c r="R992" t="s">
        <v>83</v>
      </c>
      <c r="S992" t="s">
        <v>63</v>
      </c>
      <c r="T992" t="s">
        <v>95</v>
      </c>
      <c r="U992" t="s">
        <v>96</v>
      </c>
      <c r="V992" t="s">
        <v>57</v>
      </c>
      <c r="W992">
        <v>8</v>
      </c>
      <c r="X992" t="s">
        <v>38</v>
      </c>
      <c r="Y992">
        <v>2</v>
      </c>
      <c r="Z992" t="s">
        <v>47</v>
      </c>
    </row>
    <row r="993" spans="1:26" x14ac:dyDescent="0.3">
      <c r="A993" t="s">
        <v>1682</v>
      </c>
      <c r="B993" s="2">
        <v>46053</v>
      </c>
      <c r="C993" t="s">
        <v>1584</v>
      </c>
      <c r="D993" t="s">
        <v>89</v>
      </c>
      <c r="E993" t="s">
        <v>29</v>
      </c>
      <c r="F993">
        <v>57</v>
      </c>
      <c r="G993" t="s">
        <v>51</v>
      </c>
      <c r="H993" t="s">
        <v>52</v>
      </c>
      <c r="I993" t="s">
        <v>51</v>
      </c>
      <c r="J993" t="s">
        <v>112</v>
      </c>
      <c r="K993">
        <v>5</v>
      </c>
      <c r="L993">
        <v>39114</v>
      </c>
      <c r="M993">
        <v>20</v>
      </c>
      <c r="N993">
        <v>39114</v>
      </c>
      <c r="O993">
        <v>28162.080000000002</v>
      </c>
      <c r="P993">
        <v>411</v>
      </c>
      <c r="Q993">
        <v>185029.08</v>
      </c>
      <c r="R993" t="s">
        <v>33</v>
      </c>
      <c r="S993" t="s">
        <v>63</v>
      </c>
      <c r="T993" t="s">
        <v>35</v>
      </c>
      <c r="U993" t="s">
        <v>36</v>
      </c>
      <c r="V993" t="s">
        <v>37</v>
      </c>
      <c r="W993">
        <v>8</v>
      </c>
      <c r="X993" t="s">
        <v>47</v>
      </c>
      <c r="Y993">
        <v>2</v>
      </c>
      <c r="Z993" t="s">
        <v>39</v>
      </c>
    </row>
    <row r="994" spans="1:26" x14ac:dyDescent="0.3">
      <c r="A994" t="s">
        <v>1683</v>
      </c>
      <c r="B994" s="2">
        <v>45899</v>
      </c>
      <c r="C994" t="s">
        <v>1684</v>
      </c>
      <c r="D994" t="s">
        <v>89</v>
      </c>
      <c r="E994" t="s">
        <v>43</v>
      </c>
      <c r="F994">
        <v>27</v>
      </c>
      <c r="G994" t="s">
        <v>67</v>
      </c>
      <c r="H994" t="s">
        <v>68</v>
      </c>
      <c r="I994" t="s">
        <v>67</v>
      </c>
      <c r="J994" t="s">
        <v>102</v>
      </c>
      <c r="K994">
        <v>1</v>
      </c>
      <c r="L994">
        <v>17294</v>
      </c>
      <c r="M994">
        <v>15</v>
      </c>
      <c r="N994">
        <v>2594.1</v>
      </c>
      <c r="O994">
        <v>2645.98</v>
      </c>
      <c r="P994">
        <v>210</v>
      </c>
      <c r="Q994">
        <v>17555.88</v>
      </c>
      <c r="R994" t="s">
        <v>45</v>
      </c>
      <c r="S994" t="s">
        <v>34</v>
      </c>
      <c r="T994" t="s">
        <v>76</v>
      </c>
      <c r="U994" t="s">
        <v>77</v>
      </c>
      <c r="V994" t="s">
        <v>57</v>
      </c>
      <c r="W994">
        <v>3</v>
      </c>
      <c r="X994" t="s">
        <v>47</v>
      </c>
      <c r="Y994">
        <v>2</v>
      </c>
      <c r="Z994" t="s">
        <v>91</v>
      </c>
    </row>
    <row r="995" spans="1:26" x14ac:dyDescent="0.3">
      <c r="A995" t="s">
        <v>1685</v>
      </c>
      <c r="B995" s="2">
        <v>46083</v>
      </c>
      <c r="C995" t="s">
        <v>133</v>
      </c>
      <c r="D995" t="s">
        <v>73</v>
      </c>
      <c r="E995" t="s">
        <v>29</v>
      </c>
      <c r="F995">
        <v>48</v>
      </c>
      <c r="G995" t="s">
        <v>99</v>
      </c>
      <c r="H995" t="s">
        <v>52</v>
      </c>
      <c r="I995" t="s">
        <v>99</v>
      </c>
      <c r="J995" t="s">
        <v>150</v>
      </c>
      <c r="K995">
        <v>1</v>
      </c>
      <c r="L995">
        <v>24272</v>
      </c>
      <c r="M995">
        <v>20</v>
      </c>
      <c r="N995">
        <v>4854.3999999999996</v>
      </c>
      <c r="O995">
        <v>3495.17</v>
      </c>
      <c r="P995">
        <v>462</v>
      </c>
      <c r="Q995">
        <v>23374.77</v>
      </c>
      <c r="R995" t="s">
        <v>83</v>
      </c>
      <c r="S995" t="s">
        <v>34</v>
      </c>
      <c r="T995" t="s">
        <v>84</v>
      </c>
      <c r="U995" t="s">
        <v>85</v>
      </c>
      <c r="V995" t="s">
        <v>86</v>
      </c>
      <c r="W995">
        <v>7</v>
      </c>
      <c r="X995" t="s">
        <v>47</v>
      </c>
      <c r="Y995">
        <v>4</v>
      </c>
      <c r="Z995" t="s">
        <v>58</v>
      </c>
    </row>
    <row r="996" spans="1:26" x14ac:dyDescent="0.3">
      <c r="A996" t="s">
        <v>1686</v>
      </c>
      <c r="B996" s="2">
        <v>45848</v>
      </c>
      <c r="C996" t="s">
        <v>1687</v>
      </c>
      <c r="D996" t="s">
        <v>66</v>
      </c>
      <c r="E996" t="s">
        <v>43</v>
      </c>
      <c r="F996">
        <v>50</v>
      </c>
      <c r="G996" t="s">
        <v>74</v>
      </c>
      <c r="H996" t="s">
        <v>31</v>
      </c>
      <c r="I996" t="s">
        <v>74</v>
      </c>
      <c r="J996" t="s">
        <v>69</v>
      </c>
      <c r="K996">
        <v>2</v>
      </c>
      <c r="L996">
        <v>39387</v>
      </c>
      <c r="M996">
        <v>15</v>
      </c>
      <c r="N996">
        <v>11816.1</v>
      </c>
      <c r="O996">
        <v>12052.42</v>
      </c>
      <c r="P996">
        <v>127</v>
      </c>
      <c r="Q996">
        <v>79137.320000000007</v>
      </c>
      <c r="R996" t="s">
        <v>54</v>
      </c>
      <c r="S996" t="s">
        <v>63</v>
      </c>
      <c r="T996" t="s">
        <v>103</v>
      </c>
      <c r="U996" t="s">
        <v>103</v>
      </c>
      <c r="V996" t="s">
        <v>57</v>
      </c>
      <c r="W996">
        <v>5</v>
      </c>
      <c r="X996" t="s">
        <v>38</v>
      </c>
      <c r="Y996">
        <v>5</v>
      </c>
      <c r="Z996" t="s">
        <v>39</v>
      </c>
    </row>
    <row r="997" spans="1:26" x14ac:dyDescent="0.3">
      <c r="A997" t="s">
        <v>1688</v>
      </c>
      <c r="B997" s="2">
        <v>45786</v>
      </c>
      <c r="C997" t="s">
        <v>1282</v>
      </c>
      <c r="D997" t="s">
        <v>89</v>
      </c>
      <c r="E997" t="s">
        <v>43</v>
      </c>
      <c r="F997">
        <v>30</v>
      </c>
      <c r="G997" t="s">
        <v>139</v>
      </c>
      <c r="H997" t="s">
        <v>31</v>
      </c>
      <c r="I997" t="s">
        <v>139</v>
      </c>
      <c r="J997" t="s">
        <v>75</v>
      </c>
      <c r="K997">
        <v>4</v>
      </c>
      <c r="L997">
        <v>1783</v>
      </c>
      <c r="M997">
        <v>5</v>
      </c>
      <c r="N997">
        <v>356.6</v>
      </c>
      <c r="O997">
        <v>1219.57</v>
      </c>
      <c r="P997">
        <v>382</v>
      </c>
      <c r="Q997">
        <v>8376.9699999999993</v>
      </c>
      <c r="R997" t="s">
        <v>54</v>
      </c>
      <c r="S997" t="s">
        <v>63</v>
      </c>
      <c r="T997" t="s">
        <v>55</v>
      </c>
      <c r="U997" t="s">
        <v>56</v>
      </c>
      <c r="V997" t="s">
        <v>57</v>
      </c>
      <c r="W997">
        <v>6</v>
      </c>
      <c r="X997" t="s">
        <v>47</v>
      </c>
      <c r="Y997">
        <v>5</v>
      </c>
      <c r="Z997" t="s">
        <v>39</v>
      </c>
    </row>
    <row r="998" spans="1:26" x14ac:dyDescent="0.3">
      <c r="A998" t="s">
        <v>1689</v>
      </c>
      <c r="B998" s="2">
        <v>45831</v>
      </c>
      <c r="C998" t="s">
        <v>1690</v>
      </c>
      <c r="D998" t="s">
        <v>28</v>
      </c>
      <c r="E998" t="s">
        <v>43</v>
      </c>
      <c r="F998">
        <v>34</v>
      </c>
      <c r="G998" t="s">
        <v>139</v>
      </c>
      <c r="H998" t="s">
        <v>31</v>
      </c>
      <c r="I998" t="s">
        <v>139</v>
      </c>
      <c r="J998" t="s">
        <v>112</v>
      </c>
      <c r="K998">
        <v>2</v>
      </c>
      <c r="L998">
        <v>9037</v>
      </c>
      <c r="M998">
        <v>20</v>
      </c>
      <c r="N998">
        <v>3614.8</v>
      </c>
      <c r="O998">
        <v>2602.66</v>
      </c>
      <c r="P998">
        <v>427</v>
      </c>
      <c r="Q998">
        <v>17488.86</v>
      </c>
      <c r="R998" t="s">
        <v>83</v>
      </c>
      <c r="S998" t="s">
        <v>63</v>
      </c>
      <c r="T998" t="s">
        <v>35</v>
      </c>
      <c r="U998" t="s">
        <v>36</v>
      </c>
      <c r="V998" t="s">
        <v>37</v>
      </c>
      <c r="W998">
        <v>8</v>
      </c>
      <c r="X998" t="s">
        <v>38</v>
      </c>
      <c r="Y998">
        <v>4</v>
      </c>
      <c r="Z998" t="s">
        <v>91</v>
      </c>
    </row>
    <row r="999" spans="1:26" x14ac:dyDescent="0.3">
      <c r="A999" t="s">
        <v>1691</v>
      </c>
      <c r="B999" s="2">
        <v>45946</v>
      </c>
      <c r="C999" t="s">
        <v>1692</v>
      </c>
      <c r="D999" t="s">
        <v>80</v>
      </c>
      <c r="E999" t="s">
        <v>29</v>
      </c>
      <c r="F999">
        <v>28</v>
      </c>
      <c r="G999" t="s">
        <v>99</v>
      </c>
      <c r="H999" t="s">
        <v>52</v>
      </c>
      <c r="I999" t="s">
        <v>99</v>
      </c>
      <c r="J999" t="s">
        <v>53</v>
      </c>
      <c r="K999">
        <v>4</v>
      </c>
      <c r="L999">
        <v>4700</v>
      </c>
      <c r="M999">
        <v>10</v>
      </c>
      <c r="N999">
        <v>1880</v>
      </c>
      <c r="O999">
        <v>3045.6</v>
      </c>
      <c r="P999">
        <v>112</v>
      </c>
      <c r="Q999">
        <v>20077.599999999999</v>
      </c>
      <c r="R999" t="s">
        <v>54</v>
      </c>
      <c r="S999" t="s">
        <v>34</v>
      </c>
      <c r="T999" t="s">
        <v>95</v>
      </c>
      <c r="U999" t="s">
        <v>96</v>
      </c>
      <c r="V999" t="s">
        <v>57</v>
      </c>
      <c r="W999">
        <v>2</v>
      </c>
      <c r="X999" t="s">
        <v>38</v>
      </c>
      <c r="Y999">
        <v>3</v>
      </c>
      <c r="Z999" t="s">
        <v>58</v>
      </c>
    </row>
    <row r="1000" spans="1:26" x14ac:dyDescent="0.3">
      <c r="A1000" t="s">
        <v>1693</v>
      </c>
      <c r="B1000" s="2">
        <v>46055</v>
      </c>
      <c r="C1000" t="s">
        <v>635</v>
      </c>
      <c r="D1000" t="s">
        <v>61</v>
      </c>
      <c r="E1000" t="s">
        <v>43</v>
      </c>
      <c r="F1000">
        <v>27</v>
      </c>
      <c r="G1000" t="s">
        <v>30</v>
      </c>
      <c r="H1000" t="s">
        <v>31</v>
      </c>
      <c r="I1000" t="s">
        <v>30</v>
      </c>
      <c r="J1000" t="s">
        <v>150</v>
      </c>
      <c r="K1000">
        <v>3</v>
      </c>
      <c r="L1000">
        <v>3766</v>
      </c>
      <c r="M1000">
        <v>0</v>
      </c>
      <c r="N1000">
        <v>0</v>
      </c>
      <c r="O1000">
        <v>2033.64</v>
      </c>
      <c r="P1000">
        <v>38</v>
      </c>
      <c r="Q1000">
        <v>13369.64</v>
      </c>
      <c r="R1000" t="s">
        <v>83</v>
      </c>
      <c r="S1000" t="s">
        <v>63</v>
      </c>
      <c r="T1000" t="s">
        <v>55</v>
      </c>
      <c r="U1000" t="s">
        <v>56</v>
      </c>
      <c r="V1000" t="s">
        <v>57</v>
      </c>
      <c r="W1000">
        <v>2</v>
      </c>
      <c r="X1000" t="s">
        <v>47</v>
      </c>
      <c r="Y1000">
        <v>5</v>
      </c>
      <c r="Z1000" t="s">
        <v>58</v>
      </c>
    </row>
    <row r="1001" spans="1:26" ht="15" thickBot="1" x14ac:dyDescent="0.35">
      <c r="A1001" s="4" t="s">
        <v>1694</v>
      </c>
      <c r="B1001" s="5">
        <v>46006</v>
      </c>
      <c r="C1001" s="4" t="s">
        <v>1069</v>
      </c>
      <c r="D1001" s="4" t="s">
        <v>73</v>
      </c>
      <c r="E1001" s="4" t="s">
        <v>29</v>
      </c>
      <c r="F1001" s="4">
        <v>39</v>
      </c>
      <c r="G1001" s="4" t="s">
        <v>30</v>
      </c>
      <c r="H1001" s="4" t="s">
        <v>31</v>
      </c>
      <c r="I1001" s="4" t="s">
        <v>30</v>
      </c>
      <c r="J1001" s="4" t="s">
        <v>201</v>
      </c>
      <c r="K1001" s="4">
        <v>3</v>
      </c>
      <c r="L1001" s="4">
        <v>26044</v>
      </c>
      <c r="M1001" s="4">
        <v>20</v>
      </c>
      <c r="N1001" s="4">
        <v>15626.4</v>
      </c>
      <c r="O1001" s="4">
        <v>11251.01</v>
      </c>
      <c r="P1001" s="4">
        <v>346</v>
      </c>
      <c r="Q1001" s="4">
        <v>74102.61</v>
      </c>
      <c r="R1001" s="4" t="s">
        <v>33</v>
      </c>
      <c r="S1001" s="4" t="s">
        <v>34</v>
      </c>
      <c r="T1001" s="4" t="s">
        <v>70</v>
      </c>
      <c r="U1001" s="4" t="s">
        <v>56</v>
      </c>
      <c r="V1001" s="4" t="s">
        <v>57</v>
      </c>
      <c r="W1001" s="4">
        <v>9</v>
      </c>
      <c r="X1001" s="4" t="s">
        <v>47</v>
      </c>
      <c r="Y1001" s="4">
        <v>3</v>
      </c>
      <c r="Z1001" s="4"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C8E48-DBE7-4417-A5A2-2D2EFB0C070E}">
  <sheetPr>
    <tabColor theme="7"/>
  </sheetPr>
  <dimension ref="A1:A26"/>
  <sheetViews>
    <sheetView workbookViewId="0">
      <selection activeCell="D1" sqref="D1"/>
    </sheetView>
  </sheetViews>
  <sheetFormatPr defaultRowHeight="14.4" x14ac:dyDescent="0.3"/>
  <cols>
    <col min="1" max="1" width="14.4414062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Sales Dashboard 2026</vt:lpstr>
      <vt:lpstr>Kpi's</vt:lpstr>
      <vt:lpstr>Dashboard data </vt:lpstr>
      <vt:lpstr>Data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verma</dc:creator>
  <cp:lastModifiedBy>aditya verma</cp:lastModifiedBy>
  <cp:lastPrinted>2026-09-16T11:20:36Z</cp:lastPrinted>
  <dcterms:created xsi:type="dcterms:W3CDTF">2026-09-11T07:50:33Z</dcterms:created>
  <dcterms:modified xsi:type="dcterms:W3CDTF">2026-09-16T17:22:08Z</dcterms:modified>
</cp:coreProperties>
</file>